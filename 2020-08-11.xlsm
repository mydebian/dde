
<file path=[Content_Types].xml><?xml version="1.0" encoding="utf-8"?>
<Types xmlns="http://schemas.openxmlformats.org/package/2006/content-types">
  <Default Extension="rels" ContentType="application/vnd.openxmlformats-package.relationships+xml"/>
  <Default Extension="xlbin" ContentType="application/vnd.openxmlformats-officedocument.spreadsheetml.printerSettings"/>
  <Default Extension="xml" ContentType="application/xml"/>
  <Default Extension="vml" ContentType="application/vnd.openxmlformats-officedocument.vmlDrawing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
  <Relationship Id="rId4" Type="http://schemas.openxmlformats.org/officeDocument/2006/relationships/custom-properties" Target="docProps/custom.xml"/>
  <Relationship Id="rId3" Type="http://schemas.openxmlformats.org/package/2006/relationships/metadata/core-properties" Target="docProps/core.xml"/>
  <Relationship Id="rId2" Type="http://schemas.openxmlformats.org/officeDocument/2006/relationships/extended-properties" Target="docProps/app.xml"/>
  <Relationship Id="rId1" Type="http://schemas.openxmlformats.org/officeDocument/2006/relationships/officeDocument" Target="xl/workbook.xml"/>
</Relationships>

</file>

<file path=xl/workbook.xml><?xml version="1.0" encoding="utf-8"?>
<workbook xmlns="http://schemas.openxmlformats.org/spreadsheetml/2006/main" xmlns:r="http://schemas.openxmlformats.org/officeDocument/2006/relationships">
  <fileVersion lastEdited="4" lowestEdited="4" rupBuild="3820"/>
  <workbookPr date1904="0"/>
  <bookViews>
    <workbookView activeTab="0" windowWidth="19200" windowHeight="9220"/>
  </bookViews>
  <sheets>
    <sheet name="Yeswin_DDE_2020-08-10" sheetId="1" r:id="rId1"/>
  </sheets>
  <definedNames>
    <definedName name="_xlnm.Print_Area" localSheetId="0">#"#REF!"</definedName>
    <definedName name="_xlnm.Sheet_Title" localSheetId="0">"Yeswin_DDE_2020-08-10"</definedName>
  </definedNames>
  <calcPr calcMode="auto" iterate="1" iterateCount="100" iterateDelta="0.001"/>
  <webPublishing allowPng="1" css="0" codePage="1252"/>
</workbook>
</file>

<file path=xl/sharedStrings.xml><?xml version="1.0" encoding="utf-8"?>
<sst xmlns="http://schemas.openxmlformats.org/spreadsheetml/2006/main" uniqueCount="90" count="90">
  <si>
    <t>--</t>
  </si>
  <si>
    <t>TW285Change</t>
  </si>
  <si>
    <t>TWTChange</t>
  </si>
  <si>
    <t>Bid</t>
  </si>
  <si>
    <t>Ask</t>
  </si>
  <si>
    <t>TWSE</t>
  </si>
  <si>
    <t>up</t>
  </si>
  <si>
    <t>down</t>
  </si>
  <si>
    <t>TE</t>
  </si>
  <si>
    <t>TF</t>
  </si>
  <si>
    <t>XIF</t>
  </si>
  <si>
    <t>OpenV</t>
  </si>
  <si>
    <t>DBM10-50</t>
  </si>
  <si>
    <t>DBM50</t>
  </si>
  <si>
    <t>DBM100</t>
  </si>
  <si>
    <t>DBM150</t>
  </si>
  <si>
    <t>DBM200</t>
  </si>
  <si>
    <t>UBM10-50</t>
  </si>
  <si>
    <t>UBM50</t>
  </si>
  <si>
    <t>UBM100</t>
  </si>
  <si>
    <t>UBM150</t>
  </si>
  <si>
    <t>UBM200</t>
  </si>
  <si>
    <t>DAM10-50</t>
  </si>
  <si>
    <t>DAM50</t>
  </si>
  <si>
    <t>DAM100</t>
  </si>
  <si>
    <t>DAM150</t>
  </si>
  <si>
    <t>DAM200</t>
  </si>
  <si>
    <t>UAM10-50</t>
  </si>
  <si>
    <t>UAM50</t>
  </si>
  <si>
    <t>UAM100</t>
  </si>
  <si>
    <t>UAM150</t>
  </si>
  <si>
    <t>UAM200</t>
  </si>
  <si>
    <t>Max</t>
  </si>
  <si>
    <t>Maxpoint</t>
  </si>
  <si>
    <t>L2</t>
  </si>
  <si>
    <t>L2p</t>
  </si>
  <si>
    <t>L3</t>
  </si>
  <si>
    <t>L3p</t>
  </si>
  <si>
    <t>L4</t>
  </si>
  <si>
    <t>L4p</t>
  </si>
  <si>
    <t>L5</t>
  </si>
  <si>
    <t>L5p</t>
  </si>
  <si>
    <t>Min</t>
  </si>
  <si>
    <t>Minpoint</t>
  </si>
  <si>
    <t>S2</t>
  </si>
  <si>
    <t>S2p</t>
  </si>
  <si>
    <t>S3</t>
  </si>
  <si>
    <t>S3p</t>
  </si>
  <si>
    <t>S4</t>
  </si>
  <si>
    <t>S4p</t>
  </si>
  <si>
    <t>S5</t>
  </si>
  <si>
    <t>S5p</t>
  </si>
  <si>
    <t>Code</t>
  </si>
  <si>
    <t>OpenStatus</t>
  </si>
  <si>
    <t>PriceStatus</t>
  </si>
  <si>
    <t>Week</t>
  </si>
  <si>
    <t>Month</t>
  </si>
  <si>
    <t>PV-P</t>
  </si>
  <si>
    <t>PV-V</t>
  </si>
  <si>
    <t>Turnover</t>
  </si>
  <si>
    <t>PreviousPrice</t>
  </si>
  <si>
    <t>PreOpenPrice</t>
  </si>
  <si>
    <t>Open</t>
  </si>
  <si>
    <t>Change</t>
  </si>
  <si>
    <t>ChangePercent</t>
  </si>
  <si>
    <t>Price</t>
  </si>
  <si>
    <t>Volume</t>
  </si>
  <si>
    <t>CumulativeVolume</t>
  </si>
  <si>
    <t>PreviousVolume</t>
  </si>
  <si>
    <t>TodayChangePercent</t>
  </si>
  <si>
    <t>Change-Effect</t>
  </si>
  <si>
    <t>Capital</t>
  </si>
  <si>
    <t>Price-Effect</t>
  </si>
  <si>
    <t>MarketPercentage</t>
  </si>
  <si>
    <t>PreviousMarketPercentage</t>
  </si>
  <si>
    <t>DB</t>
  </si>
  <si>
    <t>DA</t>
  </si>
  <si>
    <t>UA</t>
  </si>
  <si>
    <t>UB</t>
  </si>
  <si>
    <t>normal</t>
  </si>
  <si>
    <t>PVP-down</t>
  </si>
  <si>
    <t>PVV-up</t>
  </si>
  <si>
    <t>low</t>
  </si>
  <si>
    <t>PVP-up</t>
  </si>
  <si>
    <t>high</t>
  </si>
  <si>
    <t>DBL10</t>
  </si>
  <si>
    <t>UBL10</t>
  </si>
  <si>
    <t>PVV-down</t>
  </si>
  <si>
    <t>DAL10</t>
  </si>
  <si>
    <t>UAL10</t>
  </si>
</sst>
</file>

<file path=xl/styles.xml><?xml version="1.0" encoding="utf-8"?>
<styleSheet xmlns="http://schemas.openxmlformats.org/spreadsheetml/2006/main">
  <numFmts count="4">
    <numFmt formatCode="0.00_ " numFmtId="100"/>
    <numFmt formatCode="&quot;$&quot;#,##0.00" numFmtId="101"/>
    <numFmt formatCode="[$-409]h:mm\ AM/PM;@" numFmtId="102"/>
    <numFmt formatCode="0.000000_ " numFmtId="103"/>
  </numFmts>
  <fonts count="2">
    <font>
      <b val="0"/>
      <i val="0"/>
      <u val="none"/>
      <color rgb="FF000000"/>
      <name val="Sans"/>
      <vertAlign val="baseline"/>
      <sz val="10"/>
      <strike val="0"/>
    </font>
    <font>
      <b val="0"/>
      <i val="0"/>
      <u val="none"/>
      <color rgb="FF000000"/>
      <name val="新細明體"/>
      <vertAlign val="baseline"/>
      <sz val="12"/>
      <strike val="0"/>
    </font>
  </fonts>
  <fills count="2">
    <fill>
      <patternFill patternType="none"/>
    </fill>
    <fill>
      <patternFill patternType="gray125"/>
    </fill>
  </fills>
  <borders count="1">
    <border diagonalUp="0" diagonalDown="0">
      <left style="none">
        <color rgb="FFC7C7C7"/>
      </left>
      <right style="none">
        <color rgb="FFC7C7C7"/>
      </right>
      <top style="none">
        <color rgb="FFC7C7C7"/>
      </top>
      <bottom style="none">
        <color rgb="FFC7C7C7"/>
      </bottom>
    </border>
  </borders>
  <cellStyleXfs count="1">
    <xf fontId="0" fillId="0" borderId="0" numFmtId="0">
      <alignment horizontal="general" vertical="bottom" wrapText="0" shrinkToFit="0" textRotation="0" indent="0"/>
    </xf>
  </cellStyleXfs>
  <cellXfs count="41">
    <xf applyAlignment="1" applyBorder="1" applyFont="1" applyFill="1" applyNumberFormat="1" fontId="0" fillId="0" borderId="0" numFmtId="0" xfId="0">
      <alignment horizontal="general" vertical="bottom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100" xfId="0">
      <alignment horizontal="general" vertical="center" wrapText="0" shrinkToFit="0" textRotation="0" indent="0"/>
    </xf>
    <xf applyAlignment="1" applyBorder="1" applyFont="1" applyFill="1" applyNumberFormat="1" fontId="1" fillId="0" borderId="0" numFmtId="101" xfId="0">
      <alignment horizontal="general" vertical="center" wrapText="0" shrinkToFit="0" textRotation="0" indent="0"/>
    </xf>
    <xf applyAlignment="1" applyBorder="1" applyFont="1" applyFill="1" applyNumberFormat="1" fontId="1" fillId="0" borderId="0" numFmtId="102" xfId="0">
      <alignment horizontal="general" vertical="center" wrapText="0" shrinkToFit="0" textRotation="0" indent="0"/>
    </xf>
    <xf applyAlignment="1" applyBorder="1" applyFont="1" applyFill="1" applyNumberFormat="1" fontId="1" fillId="0" borderId="0" numFmtId="1" xfId="0">
      <alignment horizontal="general" vertical="center" wrapText="0" shrinkToFit="0" textRotation="0" indent="0"/>
    </xf>
    <xf applyAlignment="1" applyBorder="1" applyFont="1" applyFill="1" applyNumberFormat="1" fontId="1" fillId="0" borderId="0" numFmtId="14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103" xfId="0">
      <alignment horizontal="general" vertical="center" wrapText="0" shrinkToFit="0" textRotation="0" indent="0"/>
    </xf>
  </cellXfs>
  <dxfs count="33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</dxfs>
</styleSheet>
</file>

<file path=xl/_rels/workbook.xml.rels><?xml version="1.0" encoding="UTF-8"?>
<Relationships xmlns="http://schemas.openxmlformats.org/package/2006/relationships">
  <Relationship Id="rId3" Type="http://schemas.openxmlformats.org/officeDocument/2006/relationships/styles" Target="styles.xml"/>
  <Relationship Id="rId2" Type="http://schemas.openxmlformats.org/officeDocument/2006/relationships/sharedStrings" Target="sharedStrings.xml"/>
  <Relationship Id="rId1" Type="http://schemas.openxmlformats.org/officeDocument/2006/relationships/worksheet" Target="worksheets/sheet1.xml"/>
</Relationships>

</file>

<file path=xl/worksheets/sheet1.xml><?xml version="1.0" encoding="utf-8"?>
<worksheet xmlns="http://schemas.openxmlformats.org/spreadsheetml/2006/main" xmlns:r="http://schemas.openxmlformats.org/officeDocument/2006/relationships" xmlns:gnmx="http://www.gnumeric.org/ext/spreadsheetml">
  <sheetPr>
    <pageSetUpPr fitToPage="0"/>
  </sheetPr>
  <dimension ref="A1:AK323"/>
  <sheetViews>
    <sheetView workbookViewId="0" zoomScale="75" tabSelected="1">
      <selection activeCell="E4" sqref="E4"/>
    </sheetView>
  </sheetViews>
  <sheetFormatPr defaultRowHeight="16.5"/>
  <cols>
    <col min="1" max="7" style="1" width="9.142307692307693"/>
    <col min="8" max="8" style="1" width="10" bestFit="1" customWidth="1"/>
    <col min="9" max="19" style="1" width="9.142307692307693"/>
    <col min="20" max="20" style="1" width="19.04647435897436" customWidth="1"/>
    <col min="21" max="21" style="1" width="16.189503205128208" customWidth="1"/>
    <col min="22" max="22" style="1" width="14.856250000000001" customWidth="1"/>
    <col min="23" max="23" style="1" width="24.18902243589744" bestFit="1" customWidth="1"/>
    <col min="24" max="24" style="1" width="18.47508012820513" customWidth="1"/>
    <col min="25" max="25" style="1" width="30.66482371794872" customWidth="1"/>
    <col min="26" max="26" style="1" width="15.237179487179489" customWidth="1"/>
    <col min="27" max="27" style="1" width="15.999038461538463" customWidth="1"/>
    <col min="28" max="28" style="1" width="15.427644230769232" customWidth="1"/>
    <col min="29" max="29" style="1" width="9.142307692307693"/>
    <col min="30" max="32" style="1" width="23.125" bestFit="1" customWidth="1"/>
    <col min="33" max="16384" style="1" width="9.142307692307693"/>
  </cols>
  <sheetData>
    <row r="1" spans="1:37">
      <c r="A1" t="inlineStr">
        <is>
          <t>Time</t>
        </is>
      </c>
      <c r="B1" t="inlineStr">
        <is>
          <t>TWTPreOPen</t>
        </is>
      </c>
      <c r="C1" t="inlineStr">
        <is>
          <t>PreviousTW285</t>
        </is>
      </c>
      <c r="D1" t="inlineStr">
        <is>
          <t>TWTPreviousPrice</t>
        </is>
      </c>
      <c r="E1" t="inlineStr">
        <is>
          <t>MXF1PreviousPrice</t>
        </is>
      </c>
      <c r="F1" t="inlineStr">
        <is>
          <t>PriceDOWN</t>
        </is>
      </c>
      <c r="G1" t="inlineStr">
        <is>
          <t>Unchanged</t>
        </is>
      </c>
      <c r="H1" t="inlineStr">
        <is>
          <t>PriceUP</t>
        </is>
      </c>
      <c r="I1" t="inlineStr">
        <is>
          <t>NowPDown</t>
        </is>
      </c>
      <c r="J1" t="inlineStr">
        <is>
          <t>NowPlow</t>
        </is>
      </c>
      <c r="K1" t="inlineStr">
        <is>
          <t>NowPhigh</t>
        </is>
      </c>
      <c r="L1" t="inlineStr">
        <is>
          <t>NowPUp</t>
        </is>
      </c>
      <c r="M1" t="inlineStr">
        <is>
          <t>TXF1PreviousPrice</t>
        </is>
      </c>
      <c r="N1" t="inlineStr">
        <is>
          <t>EXF1PreviousPrice</t>
        </is>
      </c>
      <c r="O1" t="inlineStr">
        <is>
          <t>FXF1PreviousPrice</t>
        </is>
      </c>
      <c r="P1" t="inlineStr">
        <is>
          <t>XIF1PreviousPrice</t>
        </is>
      </c>
      <c r="Q1" t="inlineStr">
        <is>
          <t>EXF100Pre</t>
        </is>
      </c>
      <c r="R1" t="inlineStr">
        <is>
          <t>FXF35Pre</t>
        </is>
      </c>
      <c r="S1" t="inlineStr">
        <is>
          <t>XIF100Pre</t>
        </is>
      </c>
      <c r="T1" t="inlineStr">
        <is>
          <t>MaxChangePercent</t>
        </is>
      </c>
      <c r="U1" t="inlineStr">
        <is>
          <t>MaxVolume</t>
        </is>
      </c>
      <c r="V1" t="inlineStr">
        <is>
          <t>MaxCumulativeVolume</t>
        </is>
      </c>
      <c r="W1">
        <f>(LEFT(AF323,8)/39205781)*D2</f>
        <v>11838.554132769348</v>
      </c>
      <c r="X1" s="2">
        <f>(AF323/W1)/100</f>
        <v>30406221.178113002</v>
      </c>
      <c r="Y1" s="3">
        <f>AF323</f>
        <v>35996569539004.859</v>
      </c>
    </row>
    <row r="2" spans="1:37">
      <c r="A2" s="4">
        <v>0.57045138888888891</v>
      </c>
      <c r="B2" s="5">
        <f>(B4*39205781)/LEFT(AD323,8)</f>
        <v>12893.999832158674</v>
      </c>
      <c r="C2" s="5">
        <f>W1</f>
        <v>11838.554132769348</v>
      </c>
      <c r="D2">
        <v>12894</v>
      </c>
      <c r="E2">
        <v>12856</v>
      </c>
      <c r="F2">
        <f>COUNTIF(L38:L322,"&lt;0")</f>
        <v>162</v>
      </c>
      <c r="G2">
        <f>COUNTIF(L38:L322,"=0")</f>
        <v>25</v>
      </c>
      <c r="H2">
        <f>COUNTIF(L38:L322,"&gt;0")</f>
        <v>98</v>
      </c>
      <c r="I2">
        <f>COUNTIF(C38:C322,"down")</f>
        <v>21</v>
      </c>
      <c r="J2">
        <f>COUNTIF(C38:C322,"low")</f>
        <v>12</v>
      </c>
      <c r="K2">
        <f>COUNTIF(C38:C322,"high")</f>
        <v>24</v>
      </c>
      <c r="L2">
        <f>COUNTIF(C38:C322,"up")</f>
        <v>38</v>
      </c>
      <c r="M2">
        <v>12855</v>
      </c>
      <c r="N2">
        <v>617.79999999999995</v>
      </c>
      <c r="O2">
        <v>1259.4000000000001</v>
      </c>
      <c r="P2">
        <v>11826</v>
      </c>
      <c r="Q2">
        <f>W2</f>
        <v>7437.7497309389146</v>
      </c>
      <c r="R2">
        <f>W3</f>
        <v>1267.5291135763882</v>
      </c>
      <c r="S2">
        <f>W4</f>
        <v>3133.2749593739759</v>
      </c>
      <c r="T2">
        <f t="array" ref="T2">INDEX(A38:A322,MATCH(MAX(IF(ISNUMBER(L38:L322),L38:L322,0)),L38:L322,0))</f>
        <v>1590</v>
      </c>
      <c r="U2">
        <f t="array" ref="U2">INDEX(A38:A322,MATCH(MAX(IF(ISNUMBER(Q38:Q322),Q38:Q322,0)),Q38:Q322,0))</f>
        <v>2303</v>
      </c>
      <c r="V2">
        <f t="array" ref="V2">INDEX(A38:A322,MATCH(MAX(IF(ISNUMBER(R38:R322),R38:R322,0)),R38:R322,0))</f>
        <v>2303</v>
      </c>
      <c r="W2">
        <f>(LEFT(Y2,8)/39205781)*D2</f>
        <v>7437.7497309389146</v>
      </c>
      <c r="X2" s="2">
        <f>Y2/W2</f>
        <v>3040622114.0600061</v>
      </c>
      <c r="Y2" s="3">
        <f t="array" ref="Y2">SUM(IF(ISNUMBER(AF38:AF137),AF38:AF137))</f>
        <v>22615386310736.723</v>
      </c>
    </row>
    <row r="3" spans="1:37">
      <c r="A3" t="inlineStr">
        <is>
          <t>PDate</t>
        </is>
      </c>
      <c r="B3" t="inlineStr">
        <is>
          <t>PreOpenTW285</t>
        </is>
      </c>
      <c r="C3" t="inlineStr">
        <is>
          <t>TW285</t>
        </is>
      </c>
      <c r="D3" t="inlineStr">
        <is>
          <t>TWTPrice</t>
        </is>
      </c>
      <c r="E3" t="inlineStr">
        <is>
          <t>MXF1Price</t>
        </is>
      </c>
      <c r="F3" t="inlineStr">
        <is>
          <t>PVP-UP</t>
        </is>
      </c>
      <c r="G3" t="inlineStr">
        <is>
          <t>PVP-DOWN</t>
        </is>
      </c>
      <c r="H3" t="inlineStr">
        <is>
          <t>PVV-UP</t>
        </is>
      </c>
      <c r="I3" t="inlineStr">
        <is>
          <t>WeekPDown</t>
        </is>
      </c>
      <c r="J3" t="inlineStr">
        <is>
          <t>WeekPlow</t>
        </is>
      </c>
      <c r="K3" t="inlineStr">
        <is>
          <t>WeekPhigh</t>
        </is>
      </c>
      <c r="L3" t="inlineStr">
        <is>
          <t>WeekPUp</t>
        </is>
      </c>
      <c r="M3" t="inlineStr">
        <is>
          <t>TXF1Price</t>
        </is>
      </c>
      <c r="N3" t="inlineStr">
        <is>
          <t>EXF1Price</t>
        </is>
      </c>
      <c r="O3" t="inlineStr">
        <is>
          <t>FXF1Price</t>
        </is>
      </c>
      <c r="P3" t="inlineStr">
        <is>
          <t>XIF1Price</t>
        </is>
      </c>
      <c r="Q3" t="inlineStr">
        <is>
          <t>EXF100</t>
        </is>
      </c>
      <c r="R3" t="inlineStr">
        <is>
          <t>FXF35</t>
        </is>
      </c>
      <c r="S3" t="inlineStr">
        <is>
          <t>XIF100</t>
        </is>
      </c>
      <c r="T3" t="s">
        <v>0</v>
      </c>
      <c r="U3" t="s">
        <v>0</v>
      </c>
      <c r="V3" t="s">
        <v>0</v>
      </c>
      <c r="W3">
        <f>(LEFT(Y3,7)/39205781)*D2</f>
        <v>1267.5291135763882</v>
      </c>
      <c r="X3" s="2">
        <f>Y3/W3</f>
        <v>3040622590.0565338</v>
      </c>
      <c r="Y3" s="3">
        <f t="array" ref="Y3">SUM(IF(ISNUMBER(AF138:AF172),AF138:AF172))</f>
        <v>3854077656294.7002</v>
      </c>
    </row>
    <row r="4" spans="1:37">
      <c r="A4" s="6">
        <v>44053</v>
      </c>
      <c r="B4" s="5">
        <f>((AD323/X1)*100)/10000</f>
        <v>11728.606741653706</v>
      </c>
      <c r="C4" s="5">
        <f>((AE323/X1)*100)/10000</f>
        <v>11728.562477574274</v>
      </c>
      <c r="D4" s="5">
        <v>12780.190000000001</v>
      </c>
      <c r="E4">
        <v>12735</v>
      </c>
      <c r="F4">
        <f>COUNTIF(F38:F322,"PVP-up")</f>
        <v>99</v>
      </c>
      <c r="G4">
        <f>COUNTIF(F38:F322,"PVP-down")</f>
        <v>169</v>
      </c>
      <c r="H4">
        <f>COUNTIF(G38:G322,"PVV-up")</f>
        <v>276</v>
      </c>
      <c r="I4">
        <f>COUNTIF(D38:D322,"down")</f>
        <v>21</v>
      </c>
      <c r="J4">
        <f>COUNTIF(D38:D322,"low")</f>
        <v>12</v>
      </c>
      <c r="K4">
        <f>COUNTIF(D38:D322,"high")</f>
        <v>24</v>
      </c>
      <c r="L4">
        <f>COUNTIF(D38:D322,"up")</f>
        <v>38</v>
      </c>
      <c r="M4">
        <v>12734</v>
      </c>
      <c r="N4">
        <v>610.25</v>
      </c>
      <c r="O4">
        <v>1252.4000000000001</v>
      </c>
      <c r="P4">
        <v>11799</v>
      </c>
      <c r="Q4">
        <f t="array" ref="Q4">SUM(IF(ISNUMBER(AE38:AE137),AE38:AE137))/X2</f>
        <v>7349.504418806554</v>
      </c>
      <c r="R4">
        <f t="array" ref="R4">SUM(IF(ISNUMBER(AE138:AE172),AE138:AE172))/X3</f>
        <v>1261.2329488179089</v>
      </c>
      <c r="S4">
        <f t="array" ref="S4">SUM(IF(ISNUMBER(AE173:AE322),AE173:AE322))/X4</f>
        <v>3117.8247826349584</v>
      </c>
      <c r="T4" t="s">
        <v>0</v>
      </c>
      <c r="U4" t="s">
        <v>0</v>
      </c>
      <c r="V4" t="s">
        <v>0</v>
      </c>
      <c r="W4">
        <f>(LEFT(Y4,7)/39205781)*D2</f>
        <v>3133.2749593739759</v>
      </c>
      <c r="X4" s="2">
        <f>Y4/W4</f>
        <v>3040622254.8298039</v>
      </c>
      <c r="Y4" s="3">
        <f t="array" ref="Y4">SUM(IF(ISNUMBER(AF173:AF322),AF173:AF322))</f>
        <v>9527105571973.4609</v>
      </c>
    </row>
    <row r="5" spans="1:37">
      <c r="A5" t="s">
        <v>1</v>
      </c>
      <c r="B5" t="s">
        <v>2</v>
      </c>
      <c r="C5" t="s">
        <v>1</v>
      </c>
      <c r="D5" t="s">
        <v>2</v>
      </c>
      <c r="E5" t="inlineStr">
        <is>
          <t>MXF1Change</t>
        </is>
      </c>
      <c r="F5" t="inlineStr">
        <is>
          <t>AskAMT/BidAMT</t>
        </is>
      </c>
      <c r="G5" t="s">
        <v>3</v>
      </c>
      <c r="H5" t="s">
        <v>4</v>
      </c>
      <c r="I5" t="inlineStr">
        <is>
          <t>MonthPDown</t>
        </is>
      </c>
      <c r="J5" t="inlineStr">
        <is>
          <t>MonthPlow</t>
        </is>
      </c>
      <c r="K5" t="inlineStr">
        <is>
          <t>MonthPhigh</t>
        </is>
      </c>
      <c r="L5" t="inlineStr">
        <is>
          <t>MonthPUp</t>
        </is>
      </c>
      <c r="M5" t="inlineStr">
        <is>
          <t>TXF1Change</t>
        </is>
      </c>
      <c r="N5" t="inlineStr">
        <is>
          <t>EXF1Change</t>
        </is>
      </c>
      <c r="O5" t="inlineStr">
        <is>
          <t>FXF1Change</t>
        </is>
      </c>
      <c r="P5" t="inlineStr">
        <is>
          <t>XIF1Change</t>
        </is>
      </c>
      <c r="Q5" t="inlineStr">
        <is>
          <t>EXF100Change</t>
        </is>
      </c>
      <c r="R5" t="inlineStr">
        <is>
          <t>FXF35Change</t>
        </is>
      </c>
      <c r="S5" t="inlineStr">
        <is>
          <t>XIF100Change</t>
        </is>
      </c>
      <c r="T5" t="inlineStr">
        <is>
          <t>TW285change</t>
        </is>
      </c>
      <c r="U5" t="inlineStr">
        <is>
          <t>PreOpenchange</t>
        </is>
      </c>
      <c r="V5" t="inlineStr">
        <is>
          <t>PreTWTopen</t>
        </is>
      </c>
      <c r="W5">
        <f>SUM(W2:W4)</f>
        <v>11838.553803889279</v>
      </c>
    </row>
    <row r="6" spans="1:37">
      <c r="A6">
        <f t="array" ref="A6">SUM(IF(ISNUMBER(U38:U322),U38:U322))</f>
        <v>-86.009520243665477</v>
      </c>
      <c r="B6">
        <f t="array" ref="B6">SUM(IF(ISNUMBER(AA38:AA322),AA38:AA322))</f>
        <v>-95.384072222929547</v>
      </c>
      <c r="C6" s="5">
        <f>C4-C2</f>
        <v>-109.99165519507369</v>
      </c>
      <c r="D6" s="5">
        <f>D4-D2</f>
        <v>-113.80999999999949</v>
      </c>
      <c r="E6">
        <f>E4-E2</f>
        <v>-121</v>
      </c>
      <c r="F6">
        <f>W323/V323</f>
        <v>0.26202028478056527</v>
      </c>
      <c r="G6">
        <f>COUNTIF(V38:V322,"&gt;0")</f>
        <v>191</v>
      </c>
      <c r="H6">
        <f>COUNTIF(W38:W322,"&gt;0")</f>
        <v>87</v>
      </c>
      <c r="I6">
        <f>COUNTIF(E38:E322,"down")</f>
        <v>8</v>
      </c>
      <c r="J6">
        <f>COUNTIF(E38:E322,"low")</f>
        <v>4</v>
      </c>
      <c r="K6">
        <f>COUNTIF(E38:E322,"high")</f>
        <v>15</v>
      </c>
      <c r="L6">
        <f>COUNTIF(E38:E322,"up")</f>
        <v>28</v>
      </c>
      <c r="M6">
        <f>M4-M2</f>
        <v>-121</v>
      </c>
      <c r="N6">
        <f>N4-N2</f>
        <v>-7.5499999999999545</v>
      </c>
      <c r="O6">
        <f>O4-O2</f>
        <v>-7</v>
      </c>
      <c r="P6">
        <f>P4-P2</f>
        <v>-27</v>
      </c>
      <c r="Q6">
        <f>Q4-Q2</f>
        <v>-88.245312132360596</v>
      </c>
      <c r="R6">
        <f>R4-R2</f>
        <v>-6.2961647584793354</v>
      </c>
      <c r="S6">
        <f>S4-S2</f>
        <v>-15.450176739017479</v>
      </c>
      <c r="T6">
        <f>SUM(Q6,R6,S6)</f>
        <v>-109.99165362985741</v>
      </c>
      <c r="U6">
        <f>B4-C4</f>
        <v>0.044264079431741266</v>
      </c>
      <c r="V6" s="2">
        <f>C4+U6</f>
        <v>11728.606741653706</v>
      </c>
    </row>
    <row r="7" spans="1:37">
      <c r="A7" t="s">
        <v>5</v>
      </c>
      <c r="B7" t="s">
        <v>6</v>
      </c>
      <c r="C7" t="s">
        <v>7</v>
      </c>
      <c r="D7" t="s">
        <v>0</v>
      </c>
      <c r="E7" t="s">
        <v>8</v>
      </c>
      <c r="F7" t="s">
        <v>6</v>
      </c>
      <c r="G7" t="s">
        <v>7</v>
      </c>
      <c r="H7" t="s">
        <v>0</v>
      </c>
      <c r="I7" t="s">
        <v>9</v>
      </c>
      <c r="J7" t="s">
        <v>6</v>
      </c>
      <c r="K7" t="s">
        <v>7</v>
      </c>
      <c r="L7" t="s">
        <v>0</v>
      </c>
      <c r="M7" t="s">
        <v>10</v>
      </c>
      <c r="N7" t="s">
        <v>6</v>
      </c>
      <c r="O7" t="s">
        <v>7</v>
      </c>
    </row>
    <row r="8" spans="1:37">
      <c r="A8" t="s">
        <v>11</v>
      </c>
      <c r="B8">
        <f>COUNTIF(AK38:AK322,"up")</f>
        <v>212</v>
      </c>
      <c r="C8">
        <f>COUNTIF(AK38:AK322,"down")</f>
        <v>69</v>
      </c>
      <c r="D8" t="s">
        <v>0</v>
      </c>
      <c r="E8" t="s">
        <v>11</v>
      </c>
      <c r="F8">
        <f>COUNTIF(AK38:AK137,"up")</f>
        <v>84</v>
      </c>
      <c r="G8">
        <f>COUNTIF(AK38:AK137,"down")</f>
        <v>16</v>
      </c>
      <c r="H8" t="s">
        <v>0</v>
      </c>
      <c r="I8" t="s">
        <v>11</v>
      </c>
      <c r="J8">
        <f>COUNTIF(AK138:AK172,"up")</f>
        <v>21</v>
      </c>
      <c r="K8">
        <f>COUNTIF(AK138:AK172,"down")</f>
        <v>14</v>
      </c>
      <c r="L8" t="s">
        <v>0</v>
      </c>
      <c r="M8" t="s">
        <v>11</v>
      </c>
      <c r="N8">
        <f>COUNTIF(AK173:AK322,"up")</f>
        <v>107</v>
      </c>
      <c r="O8">
        <f>COUNTIF(AK173:AK322,"down")</f>
        <v>39</v>
      </c>
    </row>
    <row r="9" spans="1:37">
      <c r="A9" t="s">
        <v>5</v>
      </c>
      <c r="B9">
        <f>SUMIF(U38:U322,"&gt;0")</f>
        <v>18.924608838422099</v>
      </c>
      <c r="C9">
        <f>SUMIF(U38:U322,"&lt;0")</f>
        <v>-104.93412908208758</v>
      </c>
      <c r="D9">
        <f t="array" ref="D9">SUM(IF(ISNUMBER(U38:U322),U38:U322))</f>
        <v>-86.009520243665477</v>
      </c>
      <c r="E9" t="s">
        <v>0</v>
      </c>
      <c r="F9" t="s">
        <v>8</v>
      </c>
      <c r="G9">
        <f>SUMIF(U38:U137,"&gt;0")</f>
        <v>8.7266464074667915</v>
      </c>
      <c r="H9">
        <f>SUMIF(U38:U137,"&lt;0")</f>
        <v>-74.164526230985089</v>
      </c>
      <c r="I9" s="7">
        <f t="array" ref="I9">SUM(IF(ISNUMBER(U38:U137),U38:U137))</f>
        <v>-65.437879823518287</v>
      </c>
      <c r="J9" t="s">
        <v>0</v>
      </c>
      <c r="K9" t="s">
        <v>9</v>
      </c>
      <c r="L9">
        <f>SUMIF(U138:U172,"&gt;0")</f>
        <v>0.51077164337743552</v>
      </c>
      <c r="M9">
        <f>SUMIF(U138:U172,"&lt;0")</f>
        <v>-7.4593687210573023</v>
      </c>
      <c r="N9" s="8">
        <f t="array" ref="N9">SUM(IF(ISNUMBER(U138:U172),U138:U172))</f>
        <v>-6.9485970776798656</v>
      </c>
      <c r="O9" t="s">
        <v>0</v>
      </c>
      <c r="P9" t="s">
        <v>10</v>
      </c>
      <c r="Q9">
        <f>SUMIF(U173:U322,"&gt;0")</f>
        <v>9.6871907875778742</v>
      </c>
      <c r="R9">
        <f>SUMIF(U173:U322,"&lt;0")</f>
        <v>-23.310234130045192</v>
      </c>
      <c r="S9" s="9">
        <f t="array" ref="S9">SUM(IF(ISNUMBER(U173:U322),U173:U322))</f>
        <v>-13.623043342467319</v>
      </c>
    </row>
    <row r="10" spans="1:37">
      <c r="A10" t="s">
        <v>12</v>
      </c>
      <c r="B10" t="s">
        <v>12</v>
      </c>
      <c r="C10" t="s">
        <v>13</v>
      </c>
      <c r="D10" t="s">
        <v>13</v>
      </c>
      <c r="E10" t="s">
        <v>14</v>
      </c>
      <c r="F10" t="s">
        <v>14</v>
      </c>
      <c r="G10" t="s">
        <v>15</v>
      </c>
      <c r="H10" t="s">
        <v>15</v>
      </c>
      <c r="I10" t="s">
        <v>16</v>
      </c>
      <c r="J10" t="s">
        <v>16</v>
      </c>
      <c r="K10" t="s">
        <v>17</v>
      </c>
      <c r="L10" t="s">
        <v>17</v>
      </c>
      <c r="M10" t="s">
        <v>18</v>
      </c>
      <c r="N10" t="s">
        <v>18</v>
      </c>
      <c r="O10" t="s">
        <v>19</v>
      </c>
      <c r="P10" t="s">
        <v>19</v>
      </c>
      <c r="Q10" t="s">
        <v>20</v>
      </c>
      <c r="R10" t="s">
        <v>20</v>
      </c>
      <c r="S10" t="s">
        <v>21</v>
      </c>
      <c r="T10" t="s">
        <v>21</v>
      </c>
    </row>
    <row r="11" spans="1:37">
      <c r="A11">
        <f>INDEX(U38:U322,MATCH("DBM10-50",AG38:AG322,0))</f>
        <v>-0.9743606098755635</v>
      </c>
      <c r="B11">
        <f>COUNTIF(AG38:AG322,"DBM10-50")</f>
        <v>19</v>
      </c>
      <c r="C11">
        <f>INDEX(U38:U322,MATCH("DBM50",AG38:AG322,0))</f>
        <v>-1.9032698488970197</v>
      </c>
      <c r="D11">
        <f>COUNTIF(AG38:AG322,"DBM50")</f>
        <v>19</v>
      </c>
      <c r="E11">
        <f>INDEX(U38:U322,MATCH("DBM100",AG38:AG322,0))</f>
        <v>-0.24199908156919633</v>
      </c>
      <c r="F11">
        <f>COUNTIF(AG38:AG322,"DBM100")</f>
        <v>9</v>
      </c>
      <c r="G11">
        <f>INDEX(U38:U322,MATCH("DBM150",AG38:AG322,0))</f>
        <v>-3.329987967083162</v>
      </c>
      <c r="H11">
        <f>COUNTIF(AG38:AG322,"DBM150")</f>
        <v>8</v>
      </c>
      <c r="I11">
        <f>INDEX(U38:U322,MATCH("DBM200",AG38:AG322,0))</f>
        <v>-25.406289279400848</v>
      </c>
      <c r="J11">
        <f>COUNTIF(AG38:AG322,"DBM200")</f>
        <v>58</v>
      </c>
      <c r="K11">
        <f>INDEX(U38:U322,MATCH("UBM10-50",AJ38:AJ322,0))</f>
        <v>-0.22405422031832203</v>
      </c>
      <c r="L11">
        <f>COUNTIF(AJ38:AJ322,"UBM10-50")</f>
        <v>9</v>
      </c>
      <c r="M11">
        <f>INDEX(U38:U322,MATCH("UBM50",AJ38:AJ322,0))</f>
        <v>0.057455172301765292</v>
      </c>
      <c r="N11">
        <f>COUNTIF(AJ38:AJ322,"UBM50")</f>
        <v>7</v>
      </c>
      <c r="O11">
        <f>INDEX(U38:U322,MATCH("UBM100",AJ38:AJ322,0))</f>
        <v>0.7610699258965673</v>
      </c>
      <c r="P11">
        <f>COUNTIF(AJ38:AJ322,"UBM100")</f>
        <v>6</v>
      </c>
      <c r="Q11">
        <f>INDEX(U38:U322,MATCH("UBM150",AJ38:AJ322,0))</f>
        <v>0.14199523187468177</v>
      </c>
      <c r="R11">
        <f>COUNTIF(AJ38:AJ322,"UBM150")</f>
        <v>3</v>
      </c>
      <c r="S11">
        <f>INDEX(U38:U322,MATCH("UBM200",AJ38:AJ322,0))</f>
        <v>-0.088342829059788117</v>
      </c>
      <c r="T11">
        <f>COUNTIF(AJ38:AJ322,"UBM200")</f>
        <v>20</v>
      </c>
    </row>
    <row r="12" spans="1:37">
      <c r="A12" t="s">
        <v>22</v>
      </c>
      <c r="B12" t="s">
        <v>22</v>
      </c>
      <c r="C12" t="s">
        <v>23</v>
      </c>
      <c r="D12" t="s">
        <v>23</v>
      </c>
      <c r="E12" t="s">
        <v>24</v>
      </c>
      <c r="F12" t="s">
        <v>24</v>
      </c>
      <c r="G12" t="s">
        <v>25</v>
      </c>
      <c r="H12" t="s">
        <v>25</v>
      </c>
      <c r="I12" t="s">
        <v>26</v>
      </c>
      <c r="J12" t="s">
        <v>26</v>
      </c>
      <c r="K12" t="s">
        <v>27</v>
      </c>
      <c r="L12" t="s">
        <v>27</v>
      </c>
      <c r="M12" t="s">
        <v>28</v>
      </c>
      <c r="N12" t="s">
        <v>28</v>
      </c>
      <c r="O12" t="s">
        <v>29</v>
      </c>
      <c r="P12" t="s">
        <v>29</v>
      </c>
      <c r="Q12" t="s">
        <v>30</v>
      </c>
      <c r="R12" t="s">
        <v>30</v>
      </c>
      <c r="S12" t="s">
        <v>31</v>
      </c>
      <c r="T12" t="s">
        <v>31</v>
      </c>
    </row>
    <row r="13" spans="1:37">
      <c r="A13">
        <f>INDEX(U38:U322,MATCH("DAM10-50",AH38:AH322,0))</f>
        <v>-1.0375152071128664</v>
      </c>
      <c r="B13">
        <f>COUNTIF(AH38:AH322,"DAM10-50")</f>
        <v>5</v>
      </c>
      <c r="C13">
        <f>INDEX(U38:U322,MATCH("DAM50",AH38:AH322,0))</f>
        <v>-0.43258031565011229</v>
      </c>
      <c r="D13">
        <f>COUNTIF(AH38:AH322,"DAM50")</f>
        <v>5</v>
      </c>
      <c r="E13">
        <f>INDEX(U38:U322,MATCH("DAM100",AH38:AH322,0))</f>
        <v>-0.61168701920411495</v>
      </c>
      <c r="F13">
        <f>COUNTIF(AH38:AH322,"DAM100")</f>
        <v>4</v>
      </c>
      <c r="G13">
        <f>INDEX(U38:U322,MATCH("DAM150",AH38:AH322,0))</f>
        <v>-0.16388160234509219</v>
      </c>
      <c r="H13">
        <f>COUNTIF(AH38:AH322,"DAM150")</f>
        <v>1</v>
      </c>
      <c r="I13">
        <f>INDEX(U38:U322,MATCH("DAM200",AH38:AH322,0))</f>
        <v>-4.9824689806110225</v>
      </c>
      <c r="J13">
        <f>COUNTIF(AH38:AH322,"DAM200")</f>
        <v>16</v>
      </c>
      <c r="K13">
        <f>INDEX(U38:U322,MATCH("UAM10-50",AI38:AI322,0))</f>
        <v>0.0268752006031324</v>
      </c>
      <c r="L13">
        <f>COUNTIF(AI38:AI322,"UAM10-50")</f>
        <v>7</v>
      </c>
      <c r="M13">
        <f>INDEX(U38:U322,MATCH("UAM50",AI38:AI322,0))</f>
        <v>0</v>
      </c>
      <c r="N13">
        <f>COUNTIF(AI38:AI322,"UAM50")</f>
        <v>8</v>
      </c>
      <c r="O13">
        <f>INDEX(U38:U322,MATCH("UAM100",AI38:AI322,0))</f>
        <v>0.024052725776146075</v>
      </c>
      <c r="P13">
        <f>COUNTIF(AI38:AI322,"UAM100")</f>
        <v>6</v>
      </c>
      <c r="Q13">
        <f>INDEX(U38:U322,MATCH("UAM150",AI38:AI322,0))</f>
        <v>0.2233136920339418</v>
      </c>
      <c r="R13">
        <f>COUNTIF(AI38:AI322,"UAM150")</f>
        <v>2</v>
      </c>
      <c r="S13">
        <f>INDEX(U38:U322,MATCH("UAM200",AI38:AI322,0))</f>
        <v>0.27553195943232883</v>
      </c>
      <c r="T13">
        <f>COUNTIF(AI38:AI322,"UAM200")</f>
        <v>15</v>
      </c>
    </row>
    <row r="14" spans="1:37">
      <c r="A14" t="s">
        <v>32</v>
      </c>
      <c r="B14" t="s">
        <v>33</v>
      </c>
      <c r="C14" t="s">
        <v>34</v>
      </c>
      <c r="D14" t="s">
        <v>35</v>
      </c>
      <c r="E14" t="s">
        <v>36</v>
      </c>
      <c r="F14" t="s">
        <v>37</v>
      </c>
      <c r="G14" t="s">
        <v>38</v>
      </c>
      <c r="H14" t="s">
        <v>39</v>
      </c>
      <c r="I14" t="s">
        <v>40</v>
      </c>
      <c r="J14" t="s">
        <v>41</v>
      </c>
      <c r="K14" t="s">
        <v>42</v>
      </c>
      <c r="L14" t="s">
        <v>43</v>
      </c>
      <c r="M14" t="s">
        <v>44</v>
      </c>
      <c r="N14" t="s">
        <v>45</v>
      </c>
      <c r="O14" t="s">
        <v>46</v>
      </c>
      <c r="P14" t="s">
        <v>47</v>
      </c>
      <c r="Q14" t="s">
        <v>48</v>
      </c>
      <c r="R14" t="s">
        <v>49</v>
      </c>
      <c r="S14" t="s">
        <v>50</v>
      </c>
      <c r="T14" t="s">
        <v>51</v>
      </c>
    </row>
    <row r="15" spans="1:37">
      <c r="A15">
        <f t="array" ref="A15">INDEX(A38:A322,MATCH(MAX(IF(ISNUMBER(U38:U322),U38:U322,0)),U38:U322,0))</f>
        <v>3037</v>
      </c>
      <c r="B15">
        <f t="array" ref="B15">MAX(IF(ISNUMBER(U38:U322),U38:U322,0))</f>
        <v>2.3278856353957913</v>
      </c>
      <c r="C15">
        <f t="array" ref="C15">INDEX(A38:A322,MATCH(LARGE(IF(ISNUMBER(U38:U322),U38:U322),2),U38:U322,0))</f>
        <v>1590</v>
      </c>
      <c r="D15">
        <f t="array" ref="D15">LARGE(IF(ISNUMBER(U38:U322),U38:U322),2)</f>
        <v>1.8329197537866386</v>
      </c>
      <c r="E15">
        <f t="array" ref="E15">INDEX(A38:A322,MATCH(LARGE(IF(ISNUMBER(U38:U322),U38:U322),3),U38:U322,0))</f>
        <v>2408</v>
      </c>
      <c r="F15">
        <f t="array" ref="F15">LARGE(IF(ISNUMBER(U38:U322),U38:U322),3)</f>
        <v>1.3513481069954516</v>
      </c>
      <c r="G15">
        <f t="array" ref="G15">INDEX(A38:A322,MATCH(LARGE(IF(ISNUMBER(U38:U322),U38:U322),4),U38:U322,0))</f>
        <v>2105</v>
      </c>
      <c r="H15">
        <f t="array" ref="H15">LARGE(IF(ISNUMBER(U38:U322),U38:U322),4)</f>
        <v>1.1329067176406129</v>
      </c>
      <c r="I15">
        <f t="array" ref="I15">INDEX(A38:A322,MATCH(LARGE(IF(ISNUMBER(U38:U322),U38:U322),5),U38:U322,0))</f>
        <v>1476</v>
      </c>
      <c r="J15">
        <f t="array" ref="J15">LARGE(IF(ISNUMBER(U38:U322),U38:U322),5)</f>
        <v>1.0097484398996472</v>
      </c>
      <c r="K15">
        <f t="array" ref="K15">INDEX(A38:A322,MATCH(MIN(IF(ISNUMBER(U38:U322),U38:U322,0)),U38:U322,0))</f>
        <v>2330</v>
      </c>
      <c r="L15">
        <f t="array" ref="L15">MIN(IF(ISNUMBER(U38:U322),U38:U322,0))</f>
        <v>-25.406289279400848</v>
      </c>
      <c r="M15">
        <f t="array" ref="M15">INDEX(A38:A322,MATCH(SMALL(IF(ISNUMBER(U38:U322),U38:U322),2),U38:U322,0))</f>
        <v>2317</v>
      </c>
      <c r="N15">
        <f t="array" ref="N15">SMALL(IF(ISNUMBER(U38:U322),U38:U322),2)</f>
        <v>-5.8733532496933227</v>
      </c>
      <c r="O15">
        <f t="array" ref="O15">INDEX(A38:A322,MATCH(SMALL(IF(ISNUMBER(U38:U322),U38:U322),3),U38:U322,0))</f>
        <v>2308</v>
      </c>
      <c r="P15">
        <f t="array" ref="P15">SMALL(IF(ISNUMBER(U38:U322),U38:U322),3)</f>
        <v>-4.9824689806110225</v>
      </c>
      <c r="Q15">
        <f t="array" ref="Q15">INDEX(A38:A322,MATCH(SMALL(IF(ISNUMBER(U38:U322),U38:U322),4),U38:U322,0))</f>
        <v>6669</v>
      </c>
      <c r="R15">
        <f t="array" ref="R15">SMALL(IF(ISNUMBER(U38:U322),U38:U322),4)</f>
        <v>-3.329987967083162</v>
      </c>
      <c r="S15">
        <f t="array" ref="S15">INDEX(A38:A322,MATCH(SMALL(IF(ISNUMBER(U38:U322),U38:U322),5),U38:U322,0))</f>
        <v>2207</v>
      </c>
      <c r="T15">
        <f t="array" ref="T15">SMALL(IF(ISNUMBER(U38:U322),U38:U322),5)</f>
        <v>-3.056724758786133</v>
      </c>
    </row>
    <row r="16" spans="1:37">
      <c r="A16" t="s">
        <v>8</v>
      </c>
      <c r="B16">
        <f>SUMIF(U38:U137,"&gt;0")</f>
        <v>8.7266464074667915</v>
      </c>
      <c r="C16">
        <f>SUMIF(U38:U137,"&lt;0")</f>
        <v>-74.164526230985089</v>
      </c>
      <c r="D16">
        <f t="array" ref="D16">SUM(IF(ISNUMBER(U38:U137),U38:U137))</f>
        <v>-65.437879823518287</v>
      </c>
    </row>
    <row r="17" spans="1:37">
      <c r="A17" t="s">
        <v>12</v>
      </c>
      <c r="B17" t="s">
        <v>12</v>
      </c>
      <c r="C17" t="s">
        <v>13</v>
      </c>
      <c r="D17" t="s">
        <v>13</v>
      </c>
      <c r="E17" t="s">
        <v>14</v>
      </c>
      <c r="F17" t="s">
        <v>14</v>
      </c>
      <c r="G17" t="s">
        <v>15</v>
      </c>
      <c r="H17" t="s">
        <v>15</v>
      </c>
      <c r="I17" t="s">
        <v>16</v>
      </c>
      <c r="J17" t="s">
        <v>16</v>
      </c>
      <c r="K17" t="s">
        <v>17</v>
      </c>
      <c r="L17" t="s">
        <v>17</v>
      </c>
      <c r="M17" t="s">
        <v>18</v>
      </c>
      <c r="N17" t="s">
        <v>18</v>
      </c>
      <c r="O17" t="s">
        <v>19</v>
      </c>
      <c r="P17" t="s">
        <v>19</v>
      </c>
      <c r="Q17" t="s">
        <v>20</v>
      </c>
      <c r="R17" t="s">
        <v>20</v>
      </c>
      <c r="S17" t="s">
        <v>21</v>
      </c>
      <c r="T17" t="s">
        <v>21</v>
      </c>
    </row>
    <row r="18" spans="1:37">
      <c r="A18">
        <f>INDEX(U38:U137,MATCH("DBM10-50",AG38:AG137,0))</f>
        <v>-0.9743606098755635</v>
      </c>
      <c r="B18" s="10">
        <f>COUNTIF(AG38:AG137,"DBM10-50")</f>
        <v>7</v>
      </c>
      <c r="C18">
        <f>INDEX(U38:U137,MATCH("DBM50",AG38:AG137,0))</f>
        <v>-1.9032698488970197</v>
      </c>
      <c r="D18" s="11">
        <f>COUNTIF(AG38:AG137,"DBM50")</f>
        <v>4</v>
      </c>
      <c r="E18">
        <f>INDEX(U38:U137,MATCH("DBM100",AG38:AG137,0))</f>
        <v>-0.24199908156919633</v>
      </c>
      <c r="F18" s="12">
        <f>COUNTIF(AG38:AG137,"DBM100")</f>
        <v>4</v>
      </c>
      <c r="G18">
        <f>INDEX(U38:U137,MATCH("DBM150",AG38:AG137,0))</f>
        <v>-3.329987967083162</v>
      </c>
      <c r="H18" s="13">
        <f>COUNTIF(AG38:AG137,"DBM150")</f>
        <v>3</v>
      </c>
      <c r="I18">
        <f>INDEX(U38:U137,MATCH("DBM200",AG38:AG137,0))</f>
        <v>-25.406289279400848</v>
      </c>
      <c r="J18" s="14">
        <f>COUNTIF(AG38:AG137,"DBM200")</f>
        <v>28</v>
      </c>
      <c r="K18">
        <f>INDEX(U38:U137,MATCH("UBM10-50",AJ38:AJ137,0))</f>
        <v>-0.22405422031832203</v>
      </c>
      <c r="L18" s="15">
        <f>COUNTIF(AJ38:AJ137,"UBM10-50")</f>
        <v>1</v>
      </c>
      <c r="M18">
        <f>INDEX(U38:U137,MATCH("UBM50",AJ38:AJ137,0))</f>
        <v>0.057455172301765292</v>
      </c>
      <c r="N18" s="16">
        <f>COUNTIF(AJ38:AJ137,"UBM50")</f>
        <v>3</v>
      </c>
      <c r="O18">
        <f>INDEX(U38:U137,MATCH("UBM100",AJ38:AJ137,0))</f>
        <v>0.7610699258965673</v>
      </c>
      <c r="P18" s="17">
        <f>COUNTIF(AJ38:AJ137,"UBM100")</f>
        <v>1</v>
      </c>
      <c r="Q18">
        <f>INDEX(U38:U137,MATCH("UBM150",AJ38:AJ137,0))</f>
        <v>0.14199523187468177</v>
      </c>
      <c r="R18" s="18">
        <f>COUNTIF(AJ38:AJ137,"UBM150")</f>
        <v>1</v>
      </c>
      <c r="S18">
        <f>INDEX(U38:U137,MATCH("UBM200",AJ38:AJ137,0))</f>
        <v>-0.088342829059788117</v>
      </c>
      <c r="T18" s="19">
        <f>COUNTIF(AJ38:AJ137,"UBM200")</f>
        <v>11</v>
      </c>
    </row>
    <row r="19" spans="1:37">
      <c r="A19" t="s">
        <v>22</v>
      </c>
      <c r="B19" t="s">
        <v>22</v>
      </c>
      <c r="C19" t="s">
        <v>23</v>
      </c>
      <c r="D19" t="s">
        <v>23</v>
      </c>
      <c r="E19" t="s">
        <v>24</v>
      </c>
      <c r="F19" t="s">
        <v>24</v>
      </c>
      <c r="G19" t="s">
        <v>25</v>
      </c>
      <c r="H19" t="s">
        <v>25</v>
      </c>
      <c r="I19" t="s">
        <v>26</v>
      </c>
      <c r="J19" t="s">
        <v>26</v>
      </c>
      <c r="K19" t="s">
        <v>27</v>
      </c>
      <c r="L19" t="s">
        <v>27</v>
      </c>
      <c r="M19" t="s">
        <v>28</v>
      </c>
      <c r="N19" t="s">
        <v>28</v>
      </c>
      <c r="O19" t="s">
        <v>29</v>
      </c>
      <c r="P19" t="s">
        <v>29</v>
      </c>
      <c r="Q19" t="s">
        <v>30</v>
      </c>
      <c r="R19" t="s">
        <v>30</v>
      </c>
      <c r="S19" t="s">
        <v>31</v>
      </c>
      <c r="T19" t="s">
        <v>31</v>
      </c>
    </row>
    <row r="20" spans="1:37">
      <c r="A20">
        <f>INDEX(U38:U137,MATCH("DAM10-50",AH38:AH137,0))</f>
        <v>-1.0375152071128664</v>
      </c>
      <c r="B20" s="20">
        <f>COUNTIF(AH38:AH137,"DAM10-50")</f>
        <v>2</v>
      </c>
      <c r="C20">
        <f>INDEX(U38:U137,MATCH("DAM50",AH38:AH137,0))</f>
        <v>-0.43258031565011229</v>
      </c>
      <c r="D20" s="21">
        <f>COUNTIF(AH38:AH137,"DAM50")</f>
        <v>2</v>
      </c>
      <c r="E20">
        <f>INDEX(U38:U137,MATCH("DAM100",AH38:AH137,0))</f>
        <v>-0.61168701920411495</v>
      </c>
      <c r="F20" s="22">
        <f>COUNTIF(AH38:AH137,"DAM100")</f>
        <v>1</v>
      </c>
      <c r="G20">
        <f>INDEX(U38:U137,MATCH("DAM150",AH38:AH137,0))</f>
        <v>-0.16388160234509219</v>
      </c>
      <c r="H20" s="23">
        <f>COUNTIF(AH38:AH137,"DAM150")</f>
        <v>1</v>
      </c>
      <c r="I20">
        <f>INDEX(U38:U137,MATCH("DAM200",AH38:AH137,0))</f>
        <v>-4.9824689806110225</v>
      </c>
      <c r="J20" s="24">
        <f>COUNTIF(AH38:AH137,"DAM200")</f>
        <v>10</v>
      </c>
      <c r="K20">
        <f>INDEX(U38:U137,MATCH("UAM10-50",AI38:AI137,0))</f>
        <v>0.0268752006031324</v>
      </c>
      <c r="L20" s="25">
        <f>COUNTIF(AI38:AI137,"UAM10-50")</f>
        <v>1</v>
      </c>
      <c r="M20">
        <f>INDEX(U38:U137,MATCH("UAM50",AI38:AI137,0))</f>
        <v>0</v>
      </c>
      <c r="N20" s="26">
        <f>COUNTIF(AI38:AI137,"UAM50")</f>
        <v>1</v>
      </c>
      <c r="O20">
        <f>INDEX(U38:U137,MATCH("UAM100",AI38:AI137,0))</f>
        <v>0.024052725776146075</v>
      </c>
      <c r="P20" s="27">
        <f>COUNTIF(AI38:AI137,"UAM100")</f>
        <v>3</v>
      </c>
      <c r="Q20" t="e">
        <f>INDEX(U38:U137,MATCH("UAM150",AI38:AI137,0))</f>
        <v>#"#N/A"</v>
      </c>
      <c r="R20" s="28">
        <f>COUNTIF(AI38:AI137,"UAM150")</f>
        <v>0</v>
      </c>
      <c r="S20">
        <f>INDEX(U38:U137,MATCH("UAM200",AI38:AI137,0))</f>
        <v>0.27553195943232883</v>
      </c>
      <c r="T20" s="29">
        <f>COUNTIF(AI38:AI137,"UAM200")</f>
        <v>8</v>
      </c>
    </row>
    <row r="21" spans="1:37">
      <c r="A21" t="s">
        <v>32</v>
      </c>
      <c r="B21" t="s">
        <v>33</v>
      </c>
      <c r="C21" t="s">
        <v>34</v>
      </c>
      <c r="D21" t="s">
        <v>35</v>
      </c>
      <c r="E21" t="s">
        <v>36</v>
      </c>
      <c r="F21" t="s">
        <v>37</v>
      </c>
      <c r="G21" t="s">
        <v>38</v>
      </c>
      <c r="H21" t="s">
        <v>39</v>
      </c>
      <c r="I21" t="s">
        <v>40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  <c r="R21" t="s">
        <v>49</v>
      </c>
      <c r="S21" t="s">
        <v>50</v>
      </c>
      <c r="T21" t="s">
        <v>51</v>
      </c>
    </row>
    <row r="22" spans="1:37">
      <c r="A22" s="30">
        <f t="array" ref="A22">INDEX(A38:A137,MATCH(MAX(IF(ISNUMBER(U38:U137),U38:U137,0)),U38:U137,0))</f>
        <v>3037</v>
      </c>
      <c r="B22">
        <f t="array" ref="B22">MAX(IF(ISNUMBER(U38:U137),U38:U137,0))</f>
        <v>2.3278856353957913</v>
      </c>
      <c r="C22" s="31">
        <f t="array" ref="C22">INDEX(A38:A137,MATCH(LARGE(IF(ISNUMBER(U38:U137),U38:U137),2),U38:U137,0))</f>
        <v>2408</v>
      </c>
      <c r="D22">
        <f t="array" ref="D22">LARGE(IF(ISNUMBER(U38:U137),U38:U137),2)</f>
        <v>1.3513481069954516</v>
      </c>
      <c r="E22" s="32">
        <f t="array" ref="E22">INDEX(A38:A137,MATCH(LARGE(IF(ISNUMBER(U38:U137),U38:U137),3),U38:U137,0))</f>
        <v>2377</v>
      </c>
      <c r="F22">
        <f t="array" ref="F22">LARGE(IF(ISNUMBER(U38:U137),U38:U137),3)</f>
        <v>0.92864535971950135</v>
      </c>
      <c r="G22" s="33">
        <f t="array" ref="G22">INDEX(A38:A137,MATCH(LARGE(IF(ISNUMBER(U38:U137),U38:U137),4),U38:U137,0))</f>
        <v>2395</v>
      </c>
      <c r="H22">
        <f t="array" ref="H22">LARGE(IF(ISNUMBER(U38:U137),U38:U137),4)</f>
        <v>0.7610699258965673</v>
      </c>
      <c r="I22" s="34">
        <f t="array" ref="I22">INDEX(A38:A137,MATCH(LARGE(IF(ISNUMBER(U38:U137),U38:U137),5),U38:U137,0))</f>
        <v>2347</v>
      </c>
      <c r="J22">
        <f t="array" ref="J22">LARGE(IF(ISNUMBER(U38:U137),U38:U137),5)</f>
        <v>0.54909632276947618</v>
      </c>
      <c r="K22" s="35">
        <f t="array" ref="K22">INDEX(A38:A137,MATCH(MIN(IF(ISNUMBER(U38:U137),U38:U137,0)),U38:U137,0))</f>
        <v>2330</v>
      </c>
      <c r="L22">
        <f t="array" ref="L22">MIN(IF(ISNUMBER(U38:U137),U38:U137,0))</f>
        <v>-25.406289279400848</v>
      </c>
      <c r="M22" s="36">
        <f t="array" ref="M22">INDEX(A38:A137,MATCH(SMALL(IF(ISNUMBER(U38:U137),U38:U137),2),U38:U137,0))</f>
        <v>2317</v>
      </c>
      <c r="N22">
        <f t="array" ref="N22">SMALL(IF(ISNUMBER(U38:U137),U38:U137),2)</f>
        <v>-5.8733532496933227</v>
      </c>
      <c r="O22" s="37">
        <f t="array" ref="O22">INDEX(A38:A137,MATCH(SMALL(IF(ISNUMBER(U38:U137),U38:U137),3),U38:U137,0))</f>
        <v>2308</v>
      </c>
      <c r="P22">
        <f t="array" ref="P22">SMALL(IF(ISNUMBER(U38:U137),U38:U137),3)</f>
        <v>-4.9824689806110225</v>
      </c>
      <c r="Q22" s="38">
        <f t="array" ref="Q22">INDEX(A38:A137,MATCH(SMALL(IF(ISNUMBER(U38:U137),U38:U137),4),U38:U137,0))</f>
        <v>6669</v>
      </c>
      <c r="R22">
        <f t="array" ref="R22">SMALL(IF(ISNUMBER(U38:U137),U38:U137),4)</f>
        <v>-3.329987967083162</v>
      </c>
      <c r="S22" s="39">
        <f t="array" ref="S22">INDEX(A38:A137,MATCH(SMALL(IF(ISNUMBER(U38:U137),U38:U137),5),U38:U137,0))</f>
        <v>2454</v>
      </c>
      <c r="T22">
        <f t="array" ref="T22">SMALL(IF(ISNUMBER(U38:U137),U38:U137),5)</f>
        <v>-2.8265772601249073</v>
      </c>
    </row>
    <row r="23" spans="1:37">
      <c r="A23" t="s">
        <v>9</v>
      </c>
      <c r="B23">
        <f>SUMIF(U138:U172,"&gt;0")</f>
        <v>0.51077164337743552</v>
      </c>
      <c r="C23">
        <f>SUMIF(U138:U172,"&lt;0")</f>
        <v>-7.4593687210573023</v>
      </c>
      <c r="D23">
        <f t="array" ref="D23">SUM(IF(ISNUMBER(U138:U172),U138:U172))</f>
        <v>-6.9485970776798656</v>
      </c>
    </row>
    <row r="24" spans="1:37">
      <c r="A24" t="s">
        <v>12</v>
      </c>
      <c r="B24" t="s">
        <v>12</v>
      </c>
      <c r="C24" t="s">
        <v>13</v>
      </c>
      <c r="D24" t="s">
        <v>13</v>
      </c>
      <c r="E24" t="s">
        <v>14</v>
      </c>
      <c r="F24" t="s">
        <v>14</v>
      </c>
      <c r="G24" t="s">
        <v>15</v>
      </c>
      <c r="H24" t="s">
        <v>15</v>
      </c>
      <c r="I24" t="s">
        <v>16</v>
      </c>
      <c r="J24" t="s">
        <v>16</v>
      </c>
      <c r="K24" t="s">
        <v>17</v>
      </c>
      <c r="L24" t="s">
        <v>17</v>
      </c>
      <c r="M24" t="s">
        <v>18</v>
      </c>
      <c r="N24" t="s">
        <v>18</v>
      </c>
      <c r="O24" t="s">
        <v>19</v>
      </c>
      <c r="P24" t="s">
        <v>19</v>
      </c>
      <c r="Q24" t="s">
        <v>20</v>
      </c>
      <c r="R24" t="s">
        <v>20</v>
      </c>
      <c r="S24" t="s">
        <v>21</v>
      </c>
      <c r="T24" t="s">
        <v>21</v>
      </c>
    </row>
    <row r="25" spans="1:37">
      <c r="A25">
        <f>INDEX(U138:U172,MATCH("DBM10-50",AG138:AG172,0))</f>
        <v>-0.061610826150204759</v>
      </c>
      <c r="B25">
        <f>COUNTIF(AG138:AG172,"DBM10-50")</f>
        <v>1</v>
      </c>
      <c r="C25">
        <f>INDEX(U138:U172,MATCH("DBM50",AG138:AG172,0))</f>
        <v>-0.14040495912222792</v>
      </c>
      <c r="D25">
        <f>COUNTIF(AG138:AG172,"DBM50")</f>
        <v>4</v>
      </c>
      <c r="E25">
        <f>INDEX(U138:U172,MATCH("DBM100",AG138:AG172,0))</f>
        <v>-0.090924926215294244</v>
      </c>
      <c r="F25">
        <f>COUNTIF(AG138:AG172,"DBM100")</f>
        <v>1</v>
      </c>
      <c r="G25">
        <f>INDEX(U138:U172,MATCH("DBM150",AG138:AG172,0))</f>
        <v>-0.1887889798445947</v>
      </c>
      <c r="H25">
        <f>COUNTIF(AG138:AG172,"DBM150")</f>
        <v>1</v>
      </c>
      <c r="I25">
        <f>INDEX(U138:U172,MATCH("DBM200",AG138:AG172,0))</f>
        <v>-0.11597548620651975</v>
      </c>
      <c r="J25">
        <f>COUNTIF(AG138:AG172,"DBM200")</f>
        <v>10</v>
      </c>
      <c r="K25" t="e">
        <f>INDEX(U138:U172,MATCH("UBM10-50",AJ138:AJ172,0))</f>
        <v>#"#\"#N/A\""</v>
      </c>
      <c r="L25">
        <f>COUNTIF(AJ138:AJ172,"UBM10-50")</f>
        <v>0</v>
      </c>
      <c r="M25" t="e">
        <f>INDEX(U138:U172,MATCH("UBM50",AJ138:AJ172,0))</f>
        <v>#"#\"#N/A\""</v>
      </c>
      <c r="N25">
        <f>COUNTIF(AJ138:AJ172,"UBM50")</f>
        <v>0</v>
      </c>
      <c r="O25">
        <f>INDEX(U138:U172,MATCH("UBM100",AJ138:AJ172,0))</f>
        <v>0.061997161361407364</v>
      </c>
      <c r="P25">
        <f>COUNTIF(AJ138:AJ172,"UBM100")</f>
        <v>1</v>
      </c>
      <c r="Q25" t="e">
        <f>INDEX(U138:U172,MATCH("UBM150",AJ138:AJ172,0))</f>
        <v>#"#\"#N/A\""</v>
      </c>
      <c r="R25">
        <f>COUNTIF(AJ138:AJ172,"UBM150")</f>
        <v>0</v>
      </c>
      <c r="S25">
        <f>INDEX(U138:U172,MATCH("UBM200",AJ138:AJ172,0))</f>
        <v>-0.053423639009530295</v>
      </c>
      <c r="T25">
        <f>COUNTIF(AJ138:AJ172,"UBM200")</f>
        <v>1</v>
      </c>
      <c r="W25" s="40"/>
    </row>
    <row r="26" spans="1:37">
      <c r="A26" t="s">
        <v>22</v>
      </c>
      <c r="B26" t="s">
        <v>22</v>
      </c>
      <c r="C26" t="s">
        <v>23</v>
      </c>
      <c r="D26" t="s">
        <v>23</v>
      </c>
      <c r="E26" t="s">
        <v>24</v>
      </c>
      <c r="F26" t="s">
        <v>24</v>
      </c>
      <c r="G26" t="s">
        <v>25</v>
      </c>
      <c r="H26" t="s">
        <v>25</v>
      </c>
      <c r="I26" t="s">
        <v>26</v>
      </c>
      <c r="J26" t="s">
        <v>26</v>
      </c>
      <c r="K26" t="s">
        <v>27</v>
      </c>
      <c r="L26" t="s">
        <v>27</v>
      </c>
      <c r="M26" t="s">
        <v>28</v>
      </c>
      <c r="N26" t="s">
        <v>28</v>
      </c>
      <c r="O26" t="s">
        <v>29</v>
      </c>
      <c r="P26" t="s">
        <v>29</v>
      </c>
      <c r="Q26" t="s">
        <v>30</v>
      </c>
      <c r="R26" t="s">
        <v>30</v>
      </c>
      <c r="S26" t="s">
        <v>31</v>
      </c>
      <c r="T26" t="s">
        <v>31</v>
      </c>
    </row>
    <row r="27" spans="1:37">
      <c r="A27" t="e">
        <f>INDEX(U138:U172,MATCH("DAM10-50",AH138:AH172,0))</f>
        <v>#"#\"#N/A\""</v>
      </c>
      <c r="B27">
        <f>COUNTIF(AH138:AH172,"DAM10-50")</f>
        <v>0</v>
      </c>
      <c r="C27" t="e">
        <f>INDEX(U138:U172,MATCH("DAM50",AH138:AH172,0))</f>
        <v>#"#\"#N/A\""</v>
      </c>
      <c r="D27">
        <f>COUNTIF(AH138:AH172,"DAM50")</f>
        <v>0</v>
      </c>
      <c r="E27">
        <f>INDEX(U138:U172,MATCH("DAM100",AH138:AH172,0))</f>
        <v>-0.079447114830106261</v>
      </c>
      <c r="F27">
        <f>COUNTIF(AH138:AH172,"DAM100")</f>
        <v>2</v>
      </c>
      <c r="G27" t="e">
        <f>INDEX(U138:U172,MATCH("DAM150",AH138:AH172,0))</f>
        <v>#"#\"#N/A\""</v>
      </c>
      <c r="H27">
        <f>COUNTIF(AH138:AH172,"DAM150")</f>
        <v>0</v>
      </c>
      <c r="I27">
        <f>INDEX(U138:U172,MATCH("DAM200",AH138:AH172,0))</f>
        <v>-0.46182506932465134</v>
      </c>
      <c r="J27">
        <f>COUNTIF(AH138:AH172,"DAM200")</f>
        <v>1</v>
      </c>
      <c r="K27" t="e">
        <f>INDEX(U138:U172,MATCH("UAM10-50",AI138:AI172,0))</f>
        <v>#"#\"#N/A\""</v>
      </c>
      <c r="L27">
        <f>COUNTIF(AI138:AI172,"UAM10-50")</f>
        <v>0</v>
      </c>
      <c r="M27">
        <f>INDEX(U138:U172,MATCH("UAM50",AI138:AI172,0))</f>
        <v>0.091820794176060511</v>
      </c>
      <c r="N27">
        <f>COUNTIF(AI138:AI172,"UAM50")</f>
        <v>1</v>
      </c>
      <c r="O27" t="e">
        <f>INDEX(U138:U172,MATCH("UAM100",AI138:AI172,0))</f>
        <v>#"#\"#N/A\""</v>
      </c>
      <c r="P27">
        <f>COUNTIF(AI138:AI172,"UAM100")</f>
        <v>0</v>
      </c>
      <c r="Q27" t="e">
        <f>INDEX(U138:U172,MATCH("UAM150",AI138:AI172,0))</f>
        <v>#"#\"#N/A\""</v>
      </c>
      <c r="R27">
        <f>COUNTIF(AI138:AI172,"UAM150")</f>
        <v>0</v>
      </c>
      <c r="S27">
        <f>INDEX(U138:U172,MATCH("UAM200",AI138:AI172,0))</f>
        <v>0.022283485420780222</v>
      </c>
      <c r="T27">
        <f>COUNTIF(AI138:AI172,"UAM200")</f>
        <v>1</v>
      </c>
    </row>
    <row r="28" spans="1:37">
      <c r="A28" t="s">
        <v>32</v>
      </c>
      <c r="B28" t="s">
        <v>33</v>
      </c>
      <c r="C28" t="s">
        <v>34</v>
      </c>
      <c r="D28" t="s">
        <v>35</v>
      </c>
      <c r="E28" t="s">
        <v>36</v>
      </c>
      <c r="F28" t="s">
        <v>37</v>
      </c>
      <c r="G28" t="s">
        <v>38</v>
      </c>
      <c r="H28" t="s">
        <v>39</v>
      </c>
      <c r="I28" t="s">
        <v>40</v>
      </c>
      <c r="J28" t="s">
        <v>41</v>
      </c>
      <c r="K28" t="s">
        <v>42</v>
      </c>
      <c r="L28" t="s">
        <v>43</v>
      </c>
      <c r="M28" t="s">
        <v>44</v>
      </c>
      <c r="N28" t="s">
        <v>45</v>
      </c>
      <c r="O28" t="s">
        <v>46</v>
      </c>
      <c r="P28" t="s">
        <v>47</v>
      </c>
      <c r="Q28" t="s">
        <v>48</v>
      </c>
      <c r="R28" t="s">
        <v>49</v>
      </c>
      <c r="S28" t="s">
        <v>50</v>
      </c>
      <c r="T28" t="s">
        <v>51</v>
      </c>
    </row>
    <row r="29" spans="1:37">
      <c r="A29">
        <f t="array" ref="A29">INDEX(A138:A172,MATCH(MAX(IF(ISNUMBER(U138:U172),U138:U172,0)),U138:U172,0))</f>
        <v>2886</v>
      </c>
      <c r="B29">
        <f t="array" ref="B29">MAX(IF(ISNUMBER(U138:U172),U138:U172,0))</f>
        <v>0.24406362490474234</v>
      </c>
      <c r="C29">
        <f t="array" ref="C29">INDEX(A138:A172,MATCH(LARGE(IF(ISNUMBER(U138:U172),U138:U172),2),U138:U172,0))</f>
        <v>3019</v>
      </c>
      <c r="D29">
        <f t="array" ref="D29">LARGE(IF(ISNUMBER(U138:U172),U138:U172),2)</f>
        <v>0.091820794176060511</v>
      </c>
      <c r="E29">
        <f t="array" ref="E29">INDEX(A138:A172,MATCH(LARGE(IF(ISNUMBER(U138:U172),U138:U172),3),U138:U172,0))</f>
        <v>2455</v>
      </c>
      <c r="F29">
        <f t="array" ref="F29">LARGE(IF(ISNUMBER(U138:U172),U138:U172),3)</f>
        <v>0.067040424787489186</v>
      </c>
      <c r="G29">
        <f t="array" ref="G29">INDEX(A138:A172,MATCH(LARGE(IF(ISNUMBER(U138:U172),U138:U172),4),U138:U172,0))</f>
        <v>4927</v>
      </c>
      <c r="H29">
        <f t="array" ref="H29">LARGE(IF(ISNUMBER(U138:U172),U138:U172),4)</f>
        <v>0.061997161361407364</v>
      </c>
      <c r="I29">
        <f t="array" ref="I29">INDEX(A138:A172,MATCH(LARGE(IF(ISNUMBER(U138:U172),U138:U172),5),U138:U172,0))</f>
        <v>4935</v>
      </c>
      <c r="J29">
        <f t="array" ref="J29">LARGE(IF(ISNUMBER(U138:U172),U138:U172),5)</f>
        <v>0.02356615272695585</v>
      </c>
      <c r="K29">
        <f t="array" ref="K29">INDEX(A138:A172,MATCH(MIN(IF(ISNUMBER(U138:U172),U138:U172,0)),U138:U172,0))</f>
        <v>2881</v>
      </c>
      <c r="L29">
        <f t="array" ref="L29">MIN(IF(ISNUMBER(U138:U172),U138:U172,0))</f>
        <v>-2.2372611766513364</v>
      </c>
      <c r="M29">
        <f t="array" ref="M29">INDEX(A138:A172,MATCH(SMALL(IF(ISNUMBER(U138:U172),U138:U172),2),U138:U172,0))</f>
        <v>2892</v>
      </c>
      <c r="N29">
        <f t="array" ref="N29">SMALL(IF(ISNUMBER(U138:U172),U138:U172),2)</f>
        <v>-0.66533842825972223</v>
      </c>
      <c r="O29">
        <f t="array" ref="O29">INDEX(A138:A172,MATCH(SMALL(IF(ISNUMBER(U138:U172),U138:U172),3),U138:U172,0))</f>
        <v>2880</v>
      </c>
      <c r="P29">
        <f t="array" ref="P29">SMALL(IF(ISNUMBER(U138:U172),U138:U172),3)</f>
        <v>-0.64951427194783495</v>
      </c>
      <c r="Q29">
        <f t="array" ref="Q29">INDEX(A138:A172,MATCH(SMALL(IF(ISNUMBER(U138:U172),U138:U172),4),U138:U172,0))</f>
        <v>2885</v>
      </c>
      <c r="R29">
        <f t="array" ref="R29">SMALL(IF(ISNUMBER(U138:U172),U138:U172),4)</f>
        <v>-0.62248144917850934</v>
      </c>
      <c r="S29">
        <f t="array" ref="S29">INDEX(A138:A172,MATCH(SMALL(IF(ISNUMBER(U138:U172),U138:U172),5),U138:U172,0))</f>
        <v>5880</v>
      </c>
      <c r="T29">
        <f t="array" ref="T29">SMALL(IF(ISNUMBER(U138:U172),U138:U172),5)</f>
        <v>-0.46182506932465134</v>
      </c>
    </row>
    <row r="30" spans="1:37">
      <c r="A30" t="s">
        <v>10</v>
      </c>
      <c r="B30">
        <f>SUMIF(U173:U322,"&gt;0")</f>
        <v>9.6871907875778742</v>
      </c>
      <c r="C30">
        <f>SUMIF(U173:U322,"&lt;0")</f>
        <v>-23.310234130045192</v>
      </c>
      <c r="D30">
        <f t="array" ref="D30">SUM(IF(ISNUMBER(U173:U322),U173:U322))</f>
        <v>-13.623043342467319</v>
      </c>
    </row>
    <row r="31" spans="1:37">
      <c r="A31" t="s">
        <v>12</v>
      </c>
      <c r="B31" t="s">
        <v>12</v>
      </c>
      <c r="C31" t="s">
        <v>13</v>
      </c>
      <c r="D31" t="s">
        <v>13</v>
      </c>
      <c r="E31" t="s">
        <v>14</v>
      </c>
      <c r="F31" t="s">
        <v>14</v>
      </c>
      <c r="G31" t="s">
        <v>15</v>
      </c>
      <c r="H31" t="s">
        <v>15</v>
      </c>
      <c r="I31" t="s">
        <v>16</v>
      </c>
      <c r="J31" t="s">
        <v>16</v>
      </c>
      <c r="K31" t="s">
        <v>17</v>
      </c>
      <c r="L31" t="s">
        <v>17</v>
      </c>
      <c r="M31" t="s">
        <v>18</v>
      </c>
      <c r="N31" t="s">
        <v>18</v>
      </c>
      <c r="O31" t="s">
        <v>19</v>
      </c>
      <c r="P31" t="s">
        <v>19</v>
      </c>
      <c r="Q31" t="s">
        <v>20</v>
      </c>
      <c r="R31" t="s">
        <v>20</v>
      </c>
      <c r="S31" t="s">
        <v>21</v>
      </c>
      <c r="T31" t="s">
        <v>21</v>
      </c>
    </row>
    <row r="32" spans="1:37">
      <c r="A32">
        <f>INDEX(U173:U322,MATCH("DBM10-50",AG173:AG322,0))</f>
        <v>-0.15895257810089275</v>
      </c>
      <c r="B32">
        <f>COUNTIF(AG173:AG322,"DBM10-50")</f>
        <v>11</v>
      </c>
      <c r="C32">
        <f>INDEX(U173:U322,MATCH("DBM50",AG173:AG322,0))</f>
        <v>-0.10947945165628099</v>
      </c>
      <c r="D32">
        <f>COUNTIF(AG173:AG322,"DBM50")</f>
        <v>11</v>
      </c>
      <c r="E32">
        <f>INDEX(U173:U322,MATCH("DBM100",AG173:AG322,0))</f>
        <v>-0.33326061327613232</v>
      </c>
      <c r="F32">
        <f>COUNTIF(AG173:AG322,"DBM100")</f>
        <v>4</v>
      </c>
      <c r="G32">
        <f>INDEX(U173:U322,MATCH("DBM150",AG173:AG322,0))</f>
        <v>-2.7051885976049634</v>
      </c>
      <c r="H32">
        <f>COUNTIF(AG173:AG322,"DBM150")</f>
        <v>4</v>
      </c>
      <c r="I32">
        <f>INDEX(U173:U322,MATCH("DBM200",AG173:AG322,0))</f>
        <v>-0.26672222285186342</v>
      </c>
      <c r="J32">
        <f>COUNTIF(AG173:AG322,"DBM200")</f>
        <v>20</v>
      </c>
      <c r="K32">
        <f>INDEX(U173:U322,MATCH("UBM10-50",AJ173:AJ322,0))</f>
        <v>0.0077628584920921076</v>
      </c>
      <c r="L32">
        <f>COUNTIF(AJ173:AJ322,"UBM10-50")</f>
        <v>8</v>
      </c>
      <c r="M32">
        <f>INDEX(U173:U322,MATCH("UBM50",AJ173:AJ322,0))</f>
        <v>0.077217135851667382</v>
      </c>
      <c r="N32">
        <f>COUNTIF(AJ173:AJ322,"UBM50")</f>
        <v>4</v>
      </c>
      <c r="O32">
        <f>INDEX(U173:U322,MATCH("UBM100",AJ173:AJ322,0))</f>
        <v>0.39810990514438871</v>
      </c>
      <c r="P32">
        <f>COUNTIF(AJ173:AJ322,"UBM100")</f>
        <v>4</v>
      </c>
      <c r="Q32">
        <f>INDEX(U173:U322,MATCH("UBM150",AJ173:AJ322,0))</f>
        <v>0</v>
      </c>
      <c r="R32">
        <f>COUNTIF(AJ173:AJ322,"UBM150")</f>
        <v>2</v>
      </c>
      <c r="S32">
        <f>INDEX(U173:U322,MATCH("UBM200",AJ173:AJ322,0))</f>
        <v>-0.53239952039234073</v>
      </c>
      <c r="T32">
        <f>COUNTIF(AJ173:AJ322,"UBM200")</f>
        <v>8</v>
      </c>
    </row>
    <row r="33" spans="1:37">
      <c r="A33" t="s">
        <v>22</v>
      </c>
      <c r="B33" t="s">
        <v>22</v>
      </c>
      <c r="C33" t="s">
        <v>23</v>
      </c>
      <c r="D33" t="s">
        <v>23</v>
      </c>
      <c r="E33" t="s">
        <v>24</v>
      </c>
      <c r="F33" t="s">
        <v>24</v>
      </c>
      <c r="G33" t="s">
        <v>25</v>
      </c>
      <c r="H33" t="s">
        <v>25</v>
      </c>
      <c r="I33" t="s">
        <v>26</v>
      </c>
      <c r="J33" t="s">
        <v>26</v>
      </c>
      <c r="K33" t="s">
        <v>27</v>
      </c>
      <c r="L33" t="s">
        <v>27</v>
      </c>
      <c r="M33" t="s">
        <v>28</v>
      </c>
      <c r="N33" t="s">
        <v>28</v>
      </c>
      <c r="O33" t="s">
        <v>29</v>
      </c>
      <c r="P33" t="s">
        <v>29</v>
      </c>
      <c r="Q33" t="s">
        <v>30</v>
      </c>
      <c r="R33" t="s">
        <v>30</v>
      </c>
      <c r="S33" t="s">
        <v>31</v>
      </c>
      <c r="T33" t="s">
        <v>31</v>
      </c>
    </row>
    <row r="34" spans="1:37">
      <c r="A34">
        <f>INDEX(U173:U322,MATCH("DAM10-50",AH173:AH322,0))</f>
        <v>-0.5423227630823636</v>
      </c>
      <c r="B34">
        <f>COUNTIF(AH173:AH322,"DAM10-50")</f>
        <v>3</v>
      </c>
      <c r="C34">
        <f>INDEX(U173:U322,MATCH("DAM50",AH173:AH322,0))</f>
        <v>-0.17561718395732087</v>
      </c>
      <c r="D34">
        <f>COUNTIF(AH173:AH322,"DAM50")</f>
        <v>3</v>
      </c>
      <c r="E34">
        <f>INDEX(U173:U322,MATCH("DAM100",AH173:AH322,0))</f>
        <v>-0.34094361584365418</v>
      </c>
      <c r="F34">
        <f>COUNTIF(AH173:AH322,"DAM100")</f>
        <v>1</v>
      </c>
      <c r="G34" t="e">
        <f>INDEX(U173:U322,MATCH("DAM150",AH173:AH322,0))</f>
        <v>#"#\"#N/A\""</v>
      </c>
      <c r="H34">
        <f>COUNTIF(AH173:AH322,"DAM150")</f>
        <v>0</v>
      </c>
      <c r="I34">
        <f>INDEX(U173:U322,MATCH("DAM200",AH173:AH322,0))</f>
        <v>-0.038735143948286602</v>
      </c>
      <c r="J34">
        <f>COUNTIF(AH173:AH322,"DAM200")</f>
        <v>5</v>
      </c>
      <c r="K34">
        <f>INDEX(U173:U322,MATCH("UAM10-50",AI173:AI322,0))</f>
        <v>0.024145038069682496</v>
      </c>
      <c r="L34">
        <f>COUNTIF(AI173:AI322,"UAM10-50")</f>
        <v>6</v>
      </c>
      <c r="M34">
        <f>INDEX(U173:U322,MATCH("UAM50",AI173:AI322,0))</f>
        <v>0.10789457726061744</v>
      </c>
      <c r="N34">
        <f>COUNTIF(AI173:AI322,"UAM50")</f>
        <v>6</v>
      </c>
      <c r="O34">
        <f>INDEX(U173:U322,MATCH("UAM100",AI173:AI322,0))</f>
        <v>1.8329197537866386</v>
      </c>
      <c r="P34">
        <f>COUNTIF(AI173:AI322,"UAM100")</f>
        <v>3</v>
      </c>
      <c r="Q34">
        <f>INDEX(U173:U322,MATCH("UAM150",AI173:AI322,0))</f>
        <v>0.2233136920339418</v>
      </c>
      <c r="R34">
        <f>COUNTIF(AI173:AI322,"UAM150")</f>
        <v>2</v>
      </c>
      <c r="S34">
        <f>INDEX(U173:U322,MATCH("UAM200",AI173:AI322,0))</f>
        <v>0</v>
      </c>
      <c r="T34">
        <f>COUNTIF(AI173:AI322,"UAM200")</f>
        <v>6</v>
      </c>
    </row>
    <row r="35" spans="1:37">
      <c r="A35" t="s">
        <v>32</v>
      </c>
      <c r="B35" t="s">
        <v>33</v>
      </c>
      <c r="C35" t="s">
        <v>34</v>
      </c>
      <c r="D35" t="s">
        <v>35</v>
      </c>
      <c r="E35" t="s">
        <v>36</v>
      </c>
      <c r="F35" t="s">
        <v>37</v>
      </c>
      <c r="G35" t="s">
        <v>38</v>
      </c>
      <c r="H35" t="s">
        <v>39</v>
      </c>
      <c r="I35" t="s">
        <v>40</v>
      </c>
      <c r="J35" t="s">
        <v>41</v>
      </c>
      <c r="K35" t="s">
        <v>42</v>
      </c>
      <c r="L35" t="s">
        <v>43</v>
      </c>
      <c r="M35" t="s">
        <v>44</v>
      </c>
      <c r="N35" t="s">
        <v>45</v>
      </c>
      <c r="O35" t="s">
        <v>46</v>
      </c>
      <c r="P35" t="s">
        <v>47</v>
      </c>
      <c r="Q35" t="s">
        <v>48</v>
      </c>
      <c r="R35" t="s">
        <v>49</v>
      </c>
      <c r="S35" t="s">
        <v>50</v>
      </c>
      <c r="T35" t="s">
        <v>51</v>
      </c>
    </row>
    <row r="36" spans="1:37">
      <c r="A36">
        <f t="array" ref="A36">INDEX(A173:A322,MATCH(MAX(IF(ISNUMBER(U173:U322),U173:U322,0)),U173:U322,0))</f>
        <v>1590</v>
      </c>
      <c r="B36">
        <f t="array" ref="B36">MAX(IF(ISNUMBER(U173:U322),U173:U322,0))</f>
        <v>1.8329197537866386</v>
      </c>
      <c r="C36">
        <f t="array" ref="C36">INDEX(A173:A322,MATCH(LARGE(IF(ISNUMBER(U173:U322),U173:U322),2),U173:U322,0))</f>
        <v>2105</v>
      </c>
      <c r="D36">
        <f t="array" ref="D36">LARGE(IF(ISNUMBER(U173:U322),U173:U322),2)</f>
        <v>1.1329067176406129</v>
      </c>
      <c r="E36">
        <f t="array" ref="E36">INDEX(A173:A322,MATCH(LARGE(IF(ISNUMBER(U173:U322),U173:U322),3),U173:U322,0))</f>
        <v>1476</v>
      </c>
      <c r="F36">
        <f t="array" ref="F36">LARGE(IF(ISNUMBER(U173:U322),U173:U322),3)</f>
        <v>1.0097484398996472</v>
      </c>
      <c r="G36">
        <f t="array" ref="G36">INDEX(A173:A322,MATCH(LARGE(IF(ISNUMBER(U173:U322),U173:U322),4),U173:U322,0))</f>
        <v>1802</v>
      </c>
      <c r="H36">
        <f t="array" ref="H36">LARGE(IF(ISNUMBER(U173:U322),U173:U322),4)</f>
        <v>0.95893710859910331</v>
      </c>
      <c r="I36">
        <f t="array" ref="I36">INDEX(A173:A322,MATCH(LARGE(IF(ISNUMBER(U173:U322),U173:U322),5),U173:U322,0))</f>
        <v>2002</v>
      </c>
      <c r="J36">
        <f t="array" ref="J36">LARGE(IF(ISNUMBER(U173:U322),U173:U322),5)</f>
        <v>0.56807181419880604</v>
      </c>
      <c r="K36">
        <f t="array" ref="K36">INDEX(A173:A322,MATCH(MIN(IF(ISNUMBER(U173:U322),U173:U322,0)),U173:U322,0))</f>
        <v>2207</v>
      </c>
      <c r="L36">
        <f t="array" ref="L36">MIN(IF(ISNUMBER(U173:U322),U173:U322,0))</f>
        <v>-3.056724758786133</v>
      </c>
      <c r="M36">
        <f t="array" ref="M36">INDEX(A173:A322,MATCH(SMALL(IF(ISNUMBER(U173:U322),U173:U322),2),U173:U322,0))</f>
        <v>6505</v>
      </c>
      <c r="N36">
        <f t="array" ref="N36">SMALL(IF(ISNUMBER(U173:U322),U173:U322),2)</f>
        <v>-2.7051885976049634</v>
      </c>
      <c r="O36">
        <f t="array" ref="O36">INDEX(A173:A322,MATCH(SMALL(IF(ISNUMBER(U173:U322),U173:U322),3),U173:U322,0))</f>
        <v>8464</v>
      </c>
      <c r="P36">
        <f t="array" ref="P36">SMALL(IF(ISNUMBER(U173:U322),U173:U322),3)</f>
        <v>-1.1685968290865421</v>
      </c>
      <c r="Q36">
        <f t="array" ref="Q36">INDEX(A173:A322,MATCH(SMALL(IF(ISNUMBER(U173:U322),U173:U322),4),U173:U322,0))</f>
        <v>1216</v>
      </c>
      <c r="R36">
        <f t="array" ref="R36">SMALL(IF(ISNUMBER(U173:U322),U173:U322),4)</f>
        <v>-1.0107611833973746</v>
      </c>
      <c r="S36">
        <f t="array" ref="S36">INDEX(A173:A322,MATCH(SMALL(IF(ISNUMBER(U173:U322),U173:U322),5),U173:U322,0))</f>
        <v>1303</v>
      </c>
      <c r="T36">
        <f t="array" ref="T36">SMALL(IF(ISNUMBER(U173:U322),U173:U322),5)</f>
        <v>-0.84859368165478777</v>
      </c>
    </row>
    <row r="37" spans="1:37">
      <c r="A37" t="s">
        <v>52</v>
      </c>
      <c r="B37" t="s">
        <v>53</v>
      </c>
      <c r="C37" t="s">
        <v>54</v>
      </c>
      <c r="D37" t="s">
        <v>55</v>
      </c>
      <c r="E37" t="s">
        <v>56</v>
      </c>
      <c r="F37" t="s">
        <v>57</v>
      </c>
      <c r="G37" t="s">
        <v>58</v>
      </c>
      <c r="H37" t="s">
        <v>59</v>
      </c>
      <c r="I37" t="s">
        <v>60</v>
      </c>
      <c r="J37" t="s">
        <v>61</v>
      </c>
      <c r="K37" t="s">
        <v>62</v>
      </c>
      <c r="L37" t="s">
        <v>63</v>
      </c>
      <c r="M37" t="s">
        <v>64</v>
      </c>
      <c r="N37" t="s">
        <v>3</v>
      </c>
      <c r="O37" t="s">
        <v>4</v>
      </c>
      <c r="P37" t="s">
        <v>65</v>
      </c>
      <c r="Q37" t="s">
        <v>66</v>
      </c>
      <c r="R37" t="s">
        <v>67</v>
      </c>
      <c r="S37" t="s">
        <v>68</v>
      </c>
      <c r="T37" t="s">
        <v>69</v>
      </c>
      <c r="U37" t="s">
        <v>70</v>
      </c>
      <c r="V37" t="inlineStr">
        <is>
          <t>BidAMT</t>
        </is>
      </c>
      <c r="W37" t="inlineStr">
        <is>
          <t>AskAMT</t>
        </is>
      </c>
      <c r="X37" t="s">
        <v>52</v>
      </c>
      <c r="Y37" t="s">
        <v>71</v>
      </c>
      <c r="Z37" t="s">
        <v>72</v>
      </c>
      <c r="AA37" t="s">
        <v>70</v>
      </c>
      <c r="AB37" t="s">
        <v>73</v>
      </c>
      <c r="AC37" t="s">
        <v>74</v>
      </c>
      <c r="AD37" t="inlineStr">
        <is>
          <t>PreOpenMarketvalue</t>
        </is>
      </c>
      <c r="AE37" t="inlineStr">
        <is>
          <t>Marketvalue</t>
        </is>
      </c>
      <c r="AF37" t="inlineStr">
        <is>
          <t>PreviousMarketvalue</t>
        </is>
      </c>
      <c r="AG37" t="s">
        <v>75</v>
      </c>
      <c r="AH37" t="s">
        <v>76</v>
      </c>
      <c r="AI37" t="s">
        <v>77</v>
      </c>
      <c r="AJ37" t="s">
        <v>78</v>
      </c>
      <c r="AK37" t="inlineStr">
        <is>
          <t>OV</t>
        </is>
      </c>
    </row>
    <row r="38" spans="1:37">
      <c r="A38">
        <f>IF(X38=2330,2330,"Error")</f>
        <v>2330</v>
      </c>
      <c r="B38" t="s">
        <f>IF(K38&lt;427.5,"down",IF(K38=427.5,"low",IF(K38=437.5,"high",IF(AND(K38&gt;427.5,K38&lt;437.5),"normal","up"))))</f>
        <v>79</v>
      </c>
      <c r="C38" t="s">
        <f>IF(K38&lt;427.5,"down",IF(K38=427.5,"low",IF(K38=437.5,"high",IF(AND(K38&gt;427.5,K38&lt;437.5),"normal","up"))))</f>
        <v>79</v>
      </c>
      <c r="D38" t="s">
        <f>IF(K38&lt;427.5,"down",IF(K38=427.5,"low",IF(K38=437.5,"high",IF(AND(K38&gt;427.5,K38&lt;437.5),"normal","up"))))</f>
        <v>79</v>
      </c>
      <c r="E38" t="s">
        <f>IF(K38&lt;415,"down",IF(K38=415,"low",IF(K38=438,"high",IF(AND(K38&gt;415,K38&lt;438),"normal","up"))))</f>
        <v>79</v>
      </c>
      <c r="F38" t="s">
        <f>IF(P38&lt;436.5,"PVP-down",IF(P38=436.5,436.5,IF(P38&gt;436.5,"PVP-up")))</f>
        <v>80</v>
      </c>
      <c r="G38" t="s">
        <f>IF(R38&lt;9280,"PVV-down",IF(R38=9280,9280,IF(R38&gt;9280,"PVV-up")))</f>
        <v>81</v>
      </c>
      <c r="H38" s="40">
        <f>R38/(Y38/10000)</f>
        <v>0.0013116274963681444</v>
      </c>
      <c r="I38">
        <v>435.5</v>
      </c>
      <c r="J38">
        <v>429</v>
      </c>
      <c r="K38">
        <v>432</v>
      </c>
      <c r="L38">
        <v>-6.5</v>
      </c>
      <c r="M38">
        <v>-0.0149</v>
      </c>
      <c r="N38">
        <v>429</v>
      </c>
      <c r="O38">
        <v>429.5</v>
      </c>
      <c r="P38">
        <v>429</v>
      </c>
      <c r="Q38">
        <v>6691</v>
      </c>
      <c r="R38">
        <v>34011</v>
      </c>
      <c r="S38">
        <v>35971</v>
      </c>
      <c r="T38" s="40">
        <f>((P38-K38)/K38)</f>
        <v>-0.0069444444444444441</v>
      </c>
      <c r="U38" s="40">
        <f>((T38*AB38)*C4)</f>
        <v>-25.406289279400848</v>
      </c>
      <c r="V38" s="3">
        <f>IF(P38&lt;=N38,(P38*Q38*1000),0)</f>
        <v>2870439000</v>
      </c>
      <c r="W38" s="3">
        <f>IF(P38&gt;=O38,(P38*Q38*1000),0)</f>
        <v>0</v>
      </c>
      <c r="X38">
        <v>2330</v>
      </c>
      <c r="Y38" s="3">
        <v>259303804580</v>
      </c>
      <c r="Z38" s="40">
        <f>((C4*AB38)/P38)/10</f>
        <v>0.85279852126660172</v>
      </c>
      <c r="AA38" s="40">
        <f>((M38*AB38)*C4)</f>
        <v>-54.511734277882454</v>
      </c>
      <c r="AB38" s="40">
        <f>AE38/AE323</f>
        <v>0.31193129279304327</v>
      </c>
      <c r="AC38" s="40">
        <f>AF38/AF323</f>
        <v>0.31371546883717827</v>
      </c>
      <c r="AD38" s="3">
        <f>IF(ISNA(J38),(I38*Y38)/10,(J38*Y38)/10)</f>
        <v>11124133216482</v>
      </c>
      <c r="AE38" s="3">
        <f>IF(ISNA(P38),(I38*Y38)/10,(P38*Y38)/10)</f>
        <v>11124133216482</v>
      </c>
      <c r="AF38" s="3">
        <f>(I38*Y38)/10</f>
        <v>11292680689459</v>
      </c>
      <c r="AG38" t="s">
        <f>IF(AND(P38&lt;=N38,L38&lt;0),IF(Q38&lt;10,"DBL10",IF(Q38&gt;=200,"DBM200",IF(Q38&gt;=150,"DBM150",IF(Q38&gt;=100,"DBM100",IF(Q38&gt;=50,"DBM50","DBM10-50"))))),0)</f>
        <v>16</v>
      </c>
      <c r="AH38">
        <f>IF(AND(P38&gt;=O38,L38&lt;0),IF(Q38&lt;10,"DAL10",IF(Q38&gt;=200,"DAM200",IF(Q38&gt;=150,"DAM150",IF(Q38&gt;=100,"DAM100",IF(Q38&gt;=50,"DAM50","DAM10-50"))))),0)</f>
        <v>0</v>
      </c>
      <c r="AI38">
        <f>IF(AND(P38&gt;=O38,L38&gt;0),IF(Q38&lt;10,"UAL10",IF(Q38&gt;=200,"UAM200",IF(Q38&gt;=150,"UAM150",IF(Q38&gt;=100,"UAM100",IF(Q38&gt;=50,"UAM50","UAM10-50"))))),0)</f>
        <v>0</v>
      </c>
      <c r="AJ38">
        <f>IF(AND(P38&lt;=N38,L38&gt;0),IF(Q38&lt;10,"UBL10",IF(Q38&gt;=200,"UBM200",IF(Q38&gt;=150,"UBM150",IF(Q38&gt;=100,"UBM100",IF(Q38&gt;=50,"UBM50","UBM10-50"))))),0)</f>
        <v>0</v>
      </c>
      <c r="AK38" t="s">
        <f>IF(Q38&lt;2524,"down",IF(Q38=2524,2524,IF(Q38&gt;2524,"up")))</f>
        <v>6</v>
      </c>
    </row>
    <row r="39" spans="1:37">
      <c r="A39">
        <f>IF(X39=2454,2454,"Error")</f>
        <v>2454</v>
      </c>
      <c r="B39" t="s">
        <f>IF(K39&lt;696,"down",IF(K39=696,"low",IF(K39=714,"high",IF(AND(K39&gt;696,K39&lt;714),"normal","up"))))</f>
        <v>79</v>
      </c>
      <c r="C39" t="s">
        <f>IF(K39&lt;696,"down",IF(K39=696,"low",IF(K39=714,"high",IF(AND(K39&gt;696,K39&lt;714),"normal","up"))))</f>
        <v>79</v>
      </c>
      <c r="D39" t="s">
        <f>IF(K39&lt;696,"down",IF(K39=696,"low",IF(K39=714,"high",IF(AND(K39&gt;696,K39&lt;714),"normal","up"))))</f>
        <v>79</v>
      </c>
      <c r="E39" t="s">
        <f>IF(K39&lt;695,"down",IF(K39=695,"low",IF(K39=753,"high",IF(AND(K39&gt;695,K39&lt;753),"normal","up"))))</f>
        <v>79</v>
      </c>
      <c r="F39" t="s">
        <f>IF(P39&lt;706,"PVP-down",IF(P39=706,706,IF(P39&gt;706,"PVP-up")))</f>
        <v>80</v>
      </c>
      <c r="G39" t="s">
        <f>IF(R39&lt;1823,"PVV-down",IF(R39=1823,1823,IF(R39&gt;1823,"PVV-up")))</f>
        <v>81</v>
      </c>
      <c r="H39" s="40">
        <f>R39/(Y39/10000)</f>
        <v>0.0061918987807046098</v>
      </c>
      <c r="I39">
        <v>706</v>
      </c>
      <c r="J39">
        <v>693</v>
      </c>
      <c r="K39">
        <v>698</v>
      </c>
      <c r="L39">
        <v>-13</v>
      </c>
      <c r="M39">
        <v>-0.0184</v>
      </c>
      <c r="N39">
        <v>693</v>
      </c>
      <c r="O39">
        <v>694</v>
      </c>
      <c r="P39">
        <v>693</v>
      </c>
      <c r="Q39">
        <v>821</v>
      </c>
      <c r="R39">
        <v>9838</v>
      </c>
      <c r="S39">
        <v>11124</v>
      </c>
      <c r="T39" s="40">
        <f>((P39-K39)/K39)</f>
        <v>-0.0071633237822349575</v>
      </c>
      <c r="U39" s="40">
        <f>((T39*AB39)*D4)</f>
        <v>-2.8265772601249073</v>
      </c>
      <c r="V39" s="3">
        <f>IF(P39&lt;=N39,(P39*Q39*1000),0)</f>
        <v>568953000</v>
      </c>
      <c r="W39" s="3">
        <f>IF(P39&gt;=O39,(P39*Q39*1000),0)</f>
        <v>0</v>
      </c>
      <c r="X39">
        <v>2454</v>
      </c>
      <c r="Y39" s="3">
        <v>15888502620</v>
      </c>
      <c r="Z39" s="40">
        <f>((C4*AB39)/P39)/10</f>
        <v>0.052254117757443853</v>
      </c>
      <c r="AA39" s="40">
        <f>((M39*AB39)*C4)</f>
        <v>-6.6630270634871813</v>
      </c>
      <c r="AB39" s="40">
        <f>AE39/AE323</f>
        <v>0.030875142350265294</v>
      </c>
      <c r="AC39" s="40">
        <f>AF39/AF323</f>
        <v>0.031162088480584993</v>
      </c>
      <c r="AD39" s="3">
        <f>IF(ISNA(J39),(I39*Y39)/10,(J39*Y39)/10)</f>
        <v>1101073231566</v>
      </c>
      <c r="AE39" s="3">
        <f>IF(ISNA(P39),(I39*Y39)/10,(P39*Y39)/10)</f>
        <v>1101073231566</v>
      </c>
      <c r="AF39" s="3">
        <f>(I39*Y39)/10</f>
        <v>1121728284972</v>
      </c>
      <c r="AG39" t="s">
        <f>IF(AND(P39&lt;=N39,L39&lt;0),IF(Q39&lt;10,"DBL10",IF(Q39&gt;=200,"DBM200",IF(Q39&gt;=150,"DBM150",IF(Q39&gt;=100,"DBM100",IF(Q39&gt;=50,"DBM50","DBM10-50"))))),0)</f>
        <v>16</v>
      </c>
      <c r="AH39">
        <f>IF(AND(P39&gt;=O39,L39&lt;0),IF(Q39&lt;10,"DAL10",IF(Q39&gt;=200,"DAM200",IF(Q39&gt;=150,"DAM150",IF(Q39&gt;=100,"DAM100",IF(Q39&gt;=50,"DAM50","DAM10-50"))))),0)</f>
        <v>0</v>
      </c>
      <c r="AI39">
        <f>IF(AND(P39&gt;=O39,L39&gt;0),IF(Q39&lt;10,"UAL10",IF(Q39&gt;=200,"UAM200",IF(Q39&gt;=150,"UAM150",IF(Q39&gt;=100,"UAM100",IF(Q39&gt;=50,"UAM50","UAM10-50"))))),0)</f>
        <v>0</v>
      </c>
      <c r="AJ39">
        <f>IF(AND(P39&lt;=N39,L39&gt;0),IF(Q39&lt;10,"UBL10",IF(Q39&gt;=200,"UBM200",IF(Q39&gt;=150,"UBM150",IF(Q39&gt;=100,"UBM100",IF(Q39&gt;=50,"UBM50","UBM10-50"))))),0)</f>
        <v>0</v>
      </c>
      <c r="AK39" t="s">
        <f>IF(Q39&lt;880,"down",IF(Q39=880,880,IF(Q39&gt;880,"up")))</f>
        <v>7</v>
      </c>
    </row>
    <row r="40" spans="1:37">
      <c r="A40">
        <f>IF(X40=2317,2317,"Error")</f>
        <v>2317</v>
      </c>
      <c r="B40" t="s">
        <f>IF(K40&lt;79.099999999999994,"down",IF(K40=79.099999999999994,"low",IF(K40=80.900000000000006,"high",IF(AND(K40&gt;79.099999999999994,K40&lt;80.900000000000006),"normal","up"))))</f>
        <v>6</v>
      </c>
      <c r="C40" t="s">
        <f>IF(K40&lt;79.099999999999994,"down",IF(K40=79.099999999999994,"low",IF(K40=80.900000000000006,"high",IF(AND(K40&gt;79.099999999999994,K40&lt;80.900000000000006),"normal","up"))))</f>
        <v>6</v>
      </c>
      <c r="D40" t="s">
        <f>IF(K40&lt;79.099999999999994,"down",IF(K40=79.099999999999994,"low",IF(K40=80.900000000000006,"high",IF(AND(K40&gt;79.099999999999994,K40&lt;80.900000000000006),"normal","up"))))</f>
        <v>6</v>
      </c>
      <c r="E40" t="s">
        <f>IF(K40&lt;77.099999999999994,"down",IF(K40=77.099999999999994,"low",IF(K40=80.900000000000006,"high",IF(AND(K40&gt;77.099999999999994,K40&lt;80.900000000000006),"normal","up"))))</f>
        <v>6</v>
      </c>
      <c r="F40" t="s">
        <f>IF(P40&lt;80.5,"PVP-down",IF(P40=80.5,80.5,IF(P40&gt;80.5,"PVP-up")))</f>
        <v>80</v>
      </c>
      <c r="G40" t="s">
        <f>IF(R40&lt;6409,"PVV-down",IF(R40=6409,6409,IF(R40&gt;6409,"PVV-up")))</f>
        <v>81</v>
      </c>
      <c r="H40" s="40">
        <f>R40/(Y40/10000)</f>
        <v>0.0022091192920608289</v>
      </c>
      <c r="I40">
        <v>80.5</v>
      </c>
      <c r="J40">
        <v>79.799999999999997</v>
      </c>
      <c r="K40">
        <v>81</v>
      </c>
      <c r="L40">
        <v>-0.69999999999999996</v>
      </c>
      <c r="M40">
        <v>-0.0086999999999999994</v>
      </c>
      <c r="N40">
        <v>79.799999999999997</v>
      </c>
      <c r="O40">
        <v>79.900000000000006</v>
      </c>
      <c r="P40">
        <v>79.799999999999997</v>
      </c>
      <c r="Q40">
        <v>2568</v>
      </c>
      <c r="R40">
        <v>30625</v>
      </c>
      <c r="S40">
        <v>49679</v>
      </c>
      <c r="T40" s="40">
        <f>((P40-K40)/K40)</f>
        <v>-0.01481481481481485</v>
      </c>
      <c r="U40" s="40">
        <f>((T40*AB40)*D4)</f>
        <v>-5.8733532496933227</v>
      </c>
      <c r="V40" s="3">
        <f>IF(P40&lt;=N40,(P40*Q40*1000),0)</f>
        <v>204926400</v>
      </c>
      <c r="W40" s="3">
        <f>IF(P40&gt;=O40,(P40*Q40*1000),0)</f>
        <v>0</v>
      </c>
      <c r="X40">
        <v>2317</v>
      </c>
      <c r="Y40" s="3">
        <v>138629906090</v>
      </c>
      <c r="Z40" s="40">
        <f>((C4*AB40)/P40)/10</f>
        <v>0.45592612537393673</v>
      </c>
      <c r="AA40" s="40">
        <f>((M40*AB40)*C4)</f>
        <v>-3.1653127180210929</v>
      </c>
      <c r="AB40" s="40">
        <f>AE40/AE323</f>
        <v>0.031020770767437599</v>
      </c>
      <c r="AC40" s="40">
        <f>AF40/AF323</f>
        <v>0.03100214154616222</v>
      </c>
      <c r="AD40" s="3">
        <f>IF(ISNA(J40),(I40*Y40)/10,(J40*Y40)/10)</f>
        <v>1106266650598.2</v>
      </c>
      <c r="AE40" s="3">
        <f>IF(ISNA(P40),(I40*Y40)/10,(P40*Y40)/10)</f>
        <v>1106266650598.2</v>
      </c>
      <c r="AF40" s="3">
        <f>(I40*Y40)/10</f>
        <v>1115970744024.5</v>
      </c>
      <c r="AG40" t="s">
        <f>IF(AND(P40&lt;=N40,L40&lt;0),IF(Q40&lt;10,"DBL10",IF(Q40&gt;=200,"DBM200",IF(Q40&gt;=150,"DBM150",IF(Q40&gt;=100,"DBM100",IF(Q40&gt;=50,"DBM50","DBM10-50"))))),0)</f>
        <v>16</v>
      </c>
      <c r="AH40">
        <f>IF(AND(P40&gt;=O40,L40&lt;0),IF(Q40&lt;10,"DAL10",IF(Q40&gt;=200,"DAM200",IF(Q40&gt;=150,"DAM150",IF(Q40&gt;=100,"DAM100",IF(Q40&gt;=50,"DAM50","DAM10-50"))))),0)</f>
        <v>0</v>
      </c>
      <c r="AI40">
        <f>IF(AND(P40&gt;=O40,L40&gt;0),IF(Q40&lt;10,"UAL10",IF(Q40&gt;=200,"UAM200",IF(Q40&gt;=150,"UAM150",IF(Q40&gt;=100,"UAM100",IF(Q40&gt;=50,"UAM50","UAM10-50"))))),0)</f>
        <v>0</v>
      </c>
      <c r="AJ40">
        <f>IF(AND(P40&lt;=N40,L40&gt;0),IF(Q40&lt;10,"UBL10",IF(Q40&gt;=200,"UBM200",IF(Q40&gt;=150,"UBM150",IF(Q40&gt;=100,"UBM100",IF(Q40&gt;=50,"UBM50","UBM10-50"))))),0)</f>
        <v>0</v>
      </c>
      <c r="AK40" t="s">
        <f>IF(Q40&lt;1534,"down",IF(Q40=1534,1534,IF(Q40&gt;1534,"up")))</f>
        <v>6</v>
      </c>
    </row>
    <row r="41" spans="1:37">
      <c r="A41">
        <f>IF(X41=2412,2412,"Error")</f>
        <v>2412</v>
      </c>
      <c r="B41" t="s">
        <f>IF(K41&lt;108.5,"down",IF(K41=108.5,"low",IF(K41=109.5,"high",IF(AND(K41&gt;108.5,K41&lt;109.5),"normal","up"))))</f>
        <v>79</v>
      </c>
      <c r="C41" t="s">
        <f>IF(K41&lt;108.5,"down",IF(K41=108.5,"low",IF(K41=109.5,"high",IF(AND(K41&gt;108.5,K41&lt;109.5),"normal","up"))))</f>
        <v>79</v>
      </c>
      <c r="D41" t="s">
        <f>IF(K41&lt;108.5,"down",IF(K41=108.5,"low",IF(K41=109.5,"high",IF(AND(K41&gt;108.5,K41&lt;109.5),"normal","up"))))</f>
        <v>79</v>
      </c>
      <c r="E41" t="s">
        <f>IF(K41&lt;108,"down",IF(K41=108,"low",IF(K41=109.5,"high",IF(AND(K41&gt;108,K41&lt;109.5),"normal","up"))))</f>
        <v>79</v>
      </c>
      <c r="F41" t="s">
        <f>IF(P41&lt;109,"PVP-down",IF(P41=109,109,IF(P41&gt;109,"PVP-up")))</f>
        <v>80</v>
      </c>
      <c r="G41" t="s">
        <f>IF(R41&lt;2449,"PVV-down",IF(R41=2449,2449,IF(R41&gt;2449,"PVV-up")))</f>
        <v>81</v>
      </c>
      <c r="H41" s="40">
        <f>R41/(Y41/10000)</f>
        <v>0.00074212564232371391</v>
      </c>
      <c r="I41">
        <v>108.5</v>
      </c>
      <c r="J41">
        <v>108.5</v>
      </c>
      <c r="K41">
        <v>109</v>
      </c>
      <c r="L41">
        <v>0</v>
      </c>
      <c r="M41">
        <v>0</v>
      </c>
      <c r="N41">
        <v>108.5</v>
      </c>
      <c r="O41">
        <v>109</v>
      </c>
      <c r="P41">
        <v>108.5</v>
      </c>
      <c r="Q41">
        <v>889</v>
      </c>
      <c r="R41">
        <v>5757</v>
      </c>
      <c r="S41">
        <v>3478</v>
      </c>
      <c r="T41" s="40">
        <f>((P41-K41)/K41)</f>
        <v>-0.0045871559633027525</v>
      </c>
      <c r="U41" s="40">
        <f>((T41*AB41)*D4)</f>
        <v>-1.383636820538505</v>
      </c>
      <c r="V41" s="3">
        <f>IF(P41&lt;=N41,(P41*Q41*1000),0)</f>
        <v>96456500</v>
      </c>
      <c r="W41" s="3">
        <f>IF(P41&gt;=O41,(P41*Q41*1000),0)</f>
        <v>0</v>
      </c>
      <c r="X41">
        <v>2412</v>
      </c>
      <c r="Y41" s="3">
        <v>77574465450</v>
      </c>
      <c r="Z41" s="40">
        <f>((C4*AB41)/P41)/10</f>
        <v>0.25512695246010914</v>
      </c>
      <c r="AA41" s="40">
        <f>((M41*AB41)*C4)</f>
        <v>0</v>
      </c>
      <c r="AB41" s="40">
        <f>AE41/AE323</f>
        <v>0.023601591750779454</v>
      </c>
      <c r="AC41" s="40">
        <f>AF41/AF323</f>
        <v>0.023382310062087342</v>
      </c>
      <c r="AD41" s="3">
        <f>IF(ISNA(J41),(I41*Y41)/10,(J41*Y41)/10)</f>
        <v>841682950132.5</v>
      </c>
      <c r="AE41" s="3">
        <f>IF(ISNA(P41),(I41*Y41)/10,(P41*Y41)/10)</f>
        <v>841682950132.5</v>
      </c>
      <c r="AF41" s="3">
        <f>(I41*Y41)/10</f>
        <v>841682950132.5</v>
      </c>
      <c r="AG41">
        <f>IF(AND(P41&lt;=N41,L41&lt;0),IF(Q41&lt;10,"DBL10",IF(Q41&gt;=200,"DBM200",IF(Q41&gt;=150,"DBM150",IF(Q41&gt;=100,"DBM100",IF(Q41&gt;=50,"DBM50","DBM10-50"))))),0)</f>
        <v>0</v>
      </c>
      <c r="AH41">
        <f>IF(AND(P41&gt;=O41,L41&lt;0),IF(Q41&lt;10,"DAL10",IF(Q41&gt;=200,"DAM200",IF(Q41&gt;=150,"DAM150",IF(Q41&gt;=100,"DAM100",IF(Q41&gt;=50,"DAM50","DAM10-50"))))),0)</f>
        <v>0</v>
      </c>
      <c r="AI41">
        <f>IF(AND(P41&gt;=O41,L41&gt;0),IF(Q41&lt;10,"UAL10",IF(Q41&gt;=200,"UAM200",IF(Q41&gt;=150,"UAM150",IF(Q41&gt;=100,"UAM100",IF(Q41&gt;=50,"UAM50","UAM10-50"))))),0)</f>
        <v>0</v>
      </c>
      <c r="AJ41">
        <f>IF(AND(P41&lt;=N41,L41&gt;0),IF(Q41&lt;10,"UBL10",IF(Q41&gt;=200,"UBM200",IF(Q41&gt;=150,"UBM150",IF(Q41&gt;=100,"UBM100",IF(Q41&gt;=50,"UBM50","UBM10-50"))))),0)</f>
        <v>0</v>
      </c>
      <c r="AK41" t="s">
        <f>IF(Q41&lt;293,"down",IF(Q41=293,293,IF(Q41&gt;293,"up")))</f>
        <v>6</v>
      </c>
    </row>
    <row r="42" spans="1:37">
      <c r="A42">
        <f>IF(X42=2308,2308,"Error")</f>
        <v>2308</v>
      </c>
      <c r="B42" t="s">
        <f>IF(K42&lt;199.5,"down",IF(K42=199.5,"low",IF(K42=203,"high",IF(AND(K42&gt;199.5,K42&lt;203),"normal","up"))))</f>
        <v>6</v>
      </c>
      <c r="C42" t="s">
        <f>IF(K42&lt;199.5,"down",IF(K42=199.5,"low",IF(K42=203,"high",IF(AND(K42&gt;199.5,K42&lt;203),"normal","up"))))</f>
        <v>6</v>
      </c>
      <c r="D42" t="s">
        <f>IF(K42&lt;199.5,"down",IF(K42=199.5,"low",IF(K42=203,"high",IF(AND(K42&gt;199.5,K42&lt;203),"normal","up"))))</f>
        <v>6</v>
      </c>
      <c r="E42" t="s">
        <f>IF(K42&lt;199,"down",IF(K42=199,"low",IF(K42=209.5,"high",IF(AND(K42&gt;199,K42&lt;209.5),"normal","up"))))</f>
        <v>79</v>
      </c>
      <c r="F42" t="s">
        <f>IF(P42&lt;201,"PVP-down",IF(P42=201,201,IF(P42&gt;201,"PVP-up")))</f>
        <v>80</v>
      </c>
      <c r="G42" t="s">
        <f>IF(R42&lt;2040,"PVV-down",IF(R42=2040,2040,IF(R42&gt;2040,"PVV-up")))</f>
        <v>81</v>
      </c>
      <c r="H42" s="40">
        <f>R42/(Y42/10000)</f>
        <v>0.0031552890411861924</v>
      </c>
      <c r="I42">
        <v>201.5</v>
      </c>
      <c r="J42">
        <v>199</v>
      </c>
      <c r="K42">
        <v>205</v>
      </c>
      <c r="L42">
        <v>-2</v>
      </c>
      <c r="M42">
        <v>-0.0099000000000000008</v>
      </c>
      <c r="N42">
        <v>199</v>
      </c>
      <c r="O42">
        <v>199.5</v>
      </c>
      <c r="P42">
        <v>199.5</v>
      </c>
      <c r="Q42">
        <v>737</v>
      </c>
      <c r="R42">
        <v>8196</v>
      </c>
      <c r="S42">
        <v>7545</v>
      </c>
      <c r="T42" s="40">
        <f>((P42-K42)/K42)</f>
        <v>-0.026829268292682926</v>
      </c>
      <c r="U42" s="40">
        <f>((T42*AB42)*D4)</f>
        <v>-4.9824689806110225</v>
      </c>
      <c r="V42" s="3">
        <f>IF(P42&lt;=N42,(P42*Q42*1000),0)</f>
        <v>0</v>
      </c>
      <c r="W42" s="3">
        <f>IF(P42&gt;=O42,(P42*Q42*1000),0)</f>
        <v>147031500</v>
      </c>
      <c r="X42">
        <v>2308</v>
      </c>
      <c r="Y42" s="3">
        <v>25975433290</v>
      </c>
      <c r="Z42" s="40">
        <f>((C4*AB42)/P42)/10</f>
        <v>0.085428021909863733</v>
      </c>
      <c r="AA42" s="40">
        <f>((M42*AB42)*C4)</f>
        <v>-1.6872461467307638</v>
      </c>
      <c r="AB42" s="40">
        <f>AE42/AE323</f>
        <v>0.014531099104092985</v>
      </c>
      <c r="AC42" s="40">
        <f>AF42/AF323</f>
        <v>0.014540412808680373</v>
      </c>
      <c r="AD42" s="3">
        <f>IF(ISNA(J42),(I42*Y42)/10,(J42*Y42)/10)</f>
        <v>516911122471</v>
      </c>
      <c r="AE42" s="3">
        <f>IF(ISNA(P42),(I42*Y42)/10,(P42*Y42)/10)</f>
        <v>518209894135.5</v>
      </c>
      <c r="AF42" s="3">
        <f>(I42*Y42)/10</f>
        <v>523404980793.5</v>
      </c>
      <c r="AG42">
        <f>IF(AND(P42&lt;=N42,L42&lt;0),IF(Q42&lt;10,"DBL10",IF(Q42&gt;=200,"DBM200",IF(Q42&gt;=150,"DBM150",IF(Q42&gt;=100,"DBM100",IF(Q42&gt;=50,"DBM50","DBM10-50"))))),0)</f>
        <v>0</v>
      </c>
      <c r="AH42" t="s">
        <f>IF(AND(P42&gt;=O42,L42&lt;0),IF(Q42&lt;10,"DAL10",IF(Q42&gt;=200,"DAM200",IF(Q42&gt;=150,"DAM150",IF(Q42&gt;=100,"DAM100",IF(Q42&gt;=50,"DAM50","DAM10-50"))))),0)</f>
        <v>26</v>
      </c>
      <c r="AI42">
        <f>IF(AND(P42&gt;=O42,L42&gt;0),IF(Q42&lt;10,"UAL10",IF(Q42&gt;=200,"UAM200",IF(Q42&gt;=150,"UAM150",IF(Q42&gt;=100,"UAM100",IF(Q42&gt;=50,"UAM50","UAM10-50"))))),0)</f>
        <v>0</v>
      </c>
      <c r="AJ42">
        <f>IF(AND(P42&lt;=N42,L42&gt;0),IF(Q42&lt;10,"UBL10",IF(Q42&gt;=200,"UBM200",IF(Q42&gt;=150,"UBM150",IF(Q42&gt;=100,"UBM100",IF(Q42&gt;=50,"UBM50","UBM10-50"))))),0)</f>
        <v>0</v>
      </c>
      <c r="AK42" t="s">
        <f>IF(Q42&lt;104,"down",IF(Q42=104,104,IF(Q42&gt;104,"up")))</f>
        <v>6</v>
      </c>
    </row>
    <row r="43" spans="1:37">
      <c r="A43">
        <f>IF(X43=3008,3008,"Error")</f>
        <v>3008</v>
      </c>
      <c r="B43" t="s">
        <f>IF(K43&lt;3960,"down",IF(K43=3960,"low",IF(K43=4075,"high",IF(AND(K43&gt;3960,K43&lt;4075),"normal","up"))))</f>
        <v>7</v>
      </c>
      <c r="C43" t="s">
        <f>IF(K43&lt;3960,"down",IF(K43=3960,"low",IF(K43=4075,"high",IF(AND(K43&gt;3960,K43&lt;4075),"normal","up"))))</f>
        <v>7</v>
      </c>
      <c r="D43" t="s">
        <f>IF(K43&lt;3960,"down",IF(K43=3960,"low",IF(K43=4075,"high",IF(AND(K43&gt;3960,K43&lt;4075),"normal","up"))))</f>
        <v>7</v>
      </c>
      <c r="E43" t="s">
        <f>IF(K43&lt;3800,"down",IF(K43=3800,"low",IF(K43=4200,"high",IF(AND(K43&gt;3800,K43&lt;4200),"normal","up"))))</f>
        <v>79</v>
      </c>
      <c r="F43" t="s">
        <f>IF(P43&lt;4000,"PVP-down",IF(P43=4000,4000,IF(P43&gt;4000,"PVP-up")))</f>
        <v>80</v>
      </c>
      <c r="G43" t="s">
        <f>IF(R43&lt;118,"PVV-down",IF(R43=118,118,IF(R43&gt;118,"PVV-up")))</f>
        <v>81</v>
      </c>
      <c r="H43" s="40">
        <f>R43/(Y43/10000)</f>
        <v>0.0045027516994029767</v>
      </c>
      <c r="I43">
        <v>4000</v>
      </c>
      <c r="J43">
        <v>3885</v>
      </c>
      <c r="K43">
        <v>3925</v>
      </c>
      <c r="L43">
        <v>-35</v>
      </c>
      <c r="M43">
        <v>-0.0088999999999999999</v>
      </c>
      <c r="N43">
        <v>3885</v>
      </c>
      <c r="O43">
        <v>3890</v>
      </c>
      <c r="P43">
        <v>3885</v>
      </c>
      <c r="Q43">
        <v>72</v>
      </c>
      <c r="R43">
        <v>604</v>
      </c>
      <c r="S43">
        <v>936</v>
      </c>
      <c r="T43" s="40">
        <f>((P43-K43)/K43)</f>
        <v>-0.01019108280254777</v>
      </c>
      <c r="U43" s="40">
        <f>((T43*AB43)*D4)</f>
        <v>-1.9032698488970197</v>
      </c>
      <c r="V43" s="3">
        <f>IF(P43&lt;=N43,(P43*Q43*1000),0)</f>
        <v>279720000</v>
      </c>
      <c r="W43" s="3">
        <f>IF(P43&gt;=O43,(P43*Q43*1000),0)</f>
        <v>0</v>
      </c>
      <c r="X43">
        <v>3008</v>
      </c>
      <c r="Y43" s="3">
        <v>1341401970</v>
      </c>
      <c r="Z43" s="40">
        <f>((C4*AB43)/P43)/10</f>
        <v>0.0044116036719668659</v>
      </c>
      <c r="AA43" s="40">
        <f>((M43*AB43)*C4)</f>
        <v>-1.5253781436376233</v>
      </c>
      <c r="AB43" s="40">
        <f>AE43/AE323</f>
        <v>0.014613112475089968</v>
      </c>
      <c r="AC43" s="40">
        <f>AF43/AF323</f>
        <v>0.014905886723972349</v>
      </c>
      <c r="AD43" s="3">
        <f>IF(ISNA(J43),(I43*Y43)/10,(J43*Y43)/10)</f>
        <v>521134665345</v>
      </c>
      <c r="AE43" s="3">
        <f>IF(ISNA(P43),(I43*Y43)/10,(P43*Y43)/10)</f>
        <v>521134665345</v>
      </c>
      <c r="AF43" s="3">
        <f>(I43*Y43)/10</f>
        <v>536560788000</v>
      </c>
      <c r="AG43" t="s">
        <f>IF(AND(P43&lt;=N43,L43&lt;0),IF(Q43&lt;10,"DBL10",IF(Q43&gt;=200,"DBM200",IF(Q43&gt;=150,"DBM150",IF(Q43&gt;=100,"DBM100",IF(Q43&gt;=50,"DBM50","DBM10-50"))))),0)</f>
        <v>13</v>
      </c>
      <c r="AH43">
        <f>IF(AND(P43&gt;=O43,L43&lt;0),IF(Q43&lt;10,"DAL10",IF(Q43&gt;=200,"DAM200",IF(Q43&gt;=150,"DAM150",IF(Q43&gt;=100,"DAM100",IF(Q43&gt;=50,"DAM50","DAM10-50"))))),0)</f>
        <v>0</v>
      </c>
      <c r="AI43">
        <f>IF(AND(P43&gt;=O43,L43&gt;0),IF(Q43&lt;10,"UAL10",IF(Q43&gt;=200,"UAM200",IF(Q43&gt;=150,"UAM150",IF(Q43&gt;=100,"UAM100",IF(Q43&gt;=50,"UAM50","UAM10-50"))))),0)</f>
        <v>0</v>
      </c>
      <c r="AJ43">
        <f>IF(AND(P43&lt;=N43,L43&gt;0),IF(Q43&lt;10,"UBL10",IF(Q43&gt;=200,"UBM200",IF(Q43&gt;=150,"UBM150",IF(Q43&gt;=100,"UBM100",IF(Q43&gt;=50,"UBM50","UBM10-50"))))),0)</f>
        <v>0</v>
      </c>
      <c r="AK43" t="s">
        <f>IF(Q43&lt;23,"down",IF(Q43=23,23,IF(Q43&gt;23,"up")))</f>
        <v>6</v>
      </c>
    </row>
    <row r="44" spans="1:37">
      <c r="A44">
        <f>IF(X44=3045,3045,"Error")</f>
        <v>3045</v>
      </c>
      <c r="B44" t="s">
        <f>IF(K44&lt;103,"down",IF(K44=103,"low",IF(K44=104,"high",IF(AND(K44&gt;103,K44&lt;104),"normal","up"))))</f>
        <v>82</v>
      </c>
      <c r="C44" t="s">
        <f>IF(K44&lt;103,"down",IF(K44=103,"low",IF(K44=104,"high",IF(AND(K44&gt;103,K44&lt;104),"normal","up"))))</f>
        <v>82</v>
      </c>
      <c r="D44" t="s">
        <f>IF(K44&lt;103,"down",IF(K44=103,"low",IF(K44=104,"high",IF(AND(K44&gt;103,K44&lt;104),"normal","up"))))</f>
        <v>82</v>
      </c>
      <c r="E44" t="s">
        <f>IF(K44&lt;103,"down",IF(K44=103,"low",IF(K44=105,"high",IF(AND(K44&gt;103,K44&lt;105),"normal","up"))))</f>
        <v>82</v>
      </c>
      <c r="F44" t="s">
        <f>IF(P44&lt;103,"PVP-down",IF(P44=103,103,IF(P44&gt;103,"PVP-up")))</f>
        <v>80</v>
      </c>
      <c r="G44" t="s">
        <f>IF(R44&lt;3840,"PVV-down",IF(R44=3840,3840,IF(R44&gt;3840,"PVV-up")))</f>
        <v>81</v>
      </c>
      <c r="H44" s="40">
        <f>R44/(Y44/10000)</f>
        <v>0.0017353509986411568</v>
      </c>
      <c r="I44">
        <v>103</v>
      </c>
      <c r="J44">
        <v>102.5</v>
      </c>
      <c r="K44">
        <v>103</v>
      </c>
      <c r="L44">
        <v>-0.5</v>
      </c>
      <c r="M44">
        <v>-0.0048999999999999998</v>
      </c>
      <c r="N44">
        <v>102.5</v>
      </c>
      <c r="O44">
        <v>103</v>
      </c>
      <c r="P44">
        <v>102.5</v>
      </c>
      <c r="Q44">
        <v>1730</v>
      </c>
      <c r="R44">
        <v>6090</v>
      </c>
      <c r="S44">
        <v>6288</v>
      </c>
      <c r="T44" s="40">
        <f>((P44-K44)/K44)</f>
        <v>-0.0048543689320388345</v>
      </c>
      <c r="U44" s="40">
        <f>((T44*AB44)*D4)</f>
        <v>-0.62577280002143076</v>
      </c>
      <c r="V44" s="3">
        <f>IF(P44&lt;=N44,(P44*Q44*1000),0)</f>
        <v>177325000</v>
      </c>
      <c r="W44" s="3">
        <f>IF(P44&gt;=O44,(P44*Q44*1000),0)</f>
        <v>0</v>
      </c>
      <c r="X44">
        <v>3045</v>
      </c>
      <c r="Y44" s="3">
        <v>35093764920</v>
      </c>
      <c r="Z44" s="40">
        <f>((C4*AB44)/P44)/10</f>
        <v>0.11541639690913381</v>
      </c>
      <c r="AA44" s="40">
        <f>((M44*AB44)*C4)</f>
        <v>-0.57967885347612447</v>
      </c>
      <c r="AB44" s="40">
        <f>AE44/AE323</f>
        <v>0.010086641654342756</v>
      </c>
      <c r="AC44" s="40">
        <f>AF44/AF323</f>
        <v>0.01004167295120514</v>
      </c>
      <c r="AD44" s="3">
        <f>IF(ISNA(J44),(I44*Y44)/10,(J44*Y44)/10)</f>
        <v>359711090430</v>
      </c>
      <c r="AE44" s="3">
        <f>IF(ISNA(P44),(I44*Y44)/10,(P44*Y44)/10)</f>
        <v>359711090430</v>
      </c>
      <c r="AF44" s="3">
        <f>(I44*Y44)/10</f>
        <v>361465778676</v>
      </c>
      <c r="AG44" t="s">
        <f>IF(AND(P44&lt;=N44,L44&lt;0),IF(Q44&lt;10,"DBL10",IF(Q44&gt;=200,"DBM200",IF(Q44&gt;=150,"DBM150",IF(Q44&gt;=100,"DBM100",IF(Q44&gt;=50,"DBM50","DBM10-50"))))),0)</f>
        <v>16</v>
      </c>
      <c r="AH44">
        <f>IF(AND(P44&gt;=O44,L44&lt;0),IF(Q44&lt;10,"DAL10",IF(Q44&gt;=200,"DAM200",IF(Q44&gt;=150,"DAM150",IF(Q44&gt;=100,"DAM100",IF(Q44&gt;=50,"DAM50","DAM10-50"))))),0)</f>
        <v>0</v>
      </c>
      <c r="AI44">
        <f>IF(AND(P44&gt;=O44,L44&gt;0),IF(Q44&lt;10,"UAL10",IF(Q44&gt;=200,"UAM200",IF(Q44&gt;=150,"UAM150",IF(Q44&gt;=100,"UAM100",IF(Q44&gt;=50,"UAM50","UAM10-50"))))),0)</f>
        <v>0</v>
      </c>
      <c r="AJ44">
        <f>IF(AND(P44&lt;=N44,L44&gt;0),IF(Q44&lt;10,"UBL10",IF(Q44&gt;=200,"UBM200",IF(Q44&gt;=150,"UBM150",IF(Q44&gt;=100,"UBM100",IF(Q44&gt;=50,"UBM50","UBM10-50"))))),0)</f>
        <v>0</v>
      </c>
      <c r="AK44" t="s">
        <f>IF(Q44&lt;34,"down",IF(Q44=34,34,IF(Q44&gt;34,"up")))</f>
        <v>6</v>
      </c>
    </row>
    <row r="45" spans="1:37">
      <c r="A45">
        <f>IF(X45=3711,3711,"Error")</f>
        <v>3711</v>
      </c>
      <c r="B45" t="s">
        <f>IF(K45&lt;70.200000000000003,"down",IF(K45=70.200000000000003,"low",IF(K45=71.200000000000003,"high",IF(AND(K45&gt;70.200000000000003,K45&lt;71.200000000000003),"normal","up"))))</f>
        <v>79</v>
      </c>
      <c r="C45" t="s">
        <f>IF(K45&lt;70.200000000000003,"down",IF(K45=70.200000000000003,"low",IF(K45=71.200000000000003,"high",IF(AND(K45&gt;70.200000000000003,K45&lt;71.200000000000003),"normal","up"))))</f>
        <v>79</v>
      </c>
      <c r="D45" t="s">
        <f>IF(K45&lt;70.200000000000003,"down",IF(K45=70.200000000000003,"low",IF(K45=71.200000000000003,"high",IF(AND(K45&gt;70.200000000000003,K45&lt;71.200000000000003),"normal","up"))))</f>
        <v>79</v>
      </c>
      <c r="E45" t="s">
        <f>IF(K45&lt;70.099999999999994,"down",IF(K45=70.099999999999994,"low",IF(K45=74.099999999999994,"high",IF(AND(K45&gt;70.099999999999994,K45&lt;74.099999999999994),"normal","up"))))</f>
        <v>79</v>
      </c>
      <c r="F45" t="s">
        <f>IF(P45&lt;70.599999999999994,"PVP-down",IF(P45=70.599999999999994,70.599999999999994,IF(P45&gt;70.599999999999994,"PVP-up")))</f>
        <v>80</v>
      </c>
      <c r="G45" t="s">
        <f>IF(R45&lt;1915,"PVV-down",IF(R45=1915,1915,IF(R45&gt;1915,"PVV-up")))</f>
        <v>81</v>
      </c>
      <c r="H45" s="40">
        <f>R45/(Y45/10000)</f>
        <v>0.0023495133950536969</v>
      </c>
      <c r="I45">
        <v>70.400000000000006</v>
      </c>
      <c r="J45">
        <v>70.400000000000006</v>
      </c>
      <c r="K45">
        <v>70.400000000000006</v>
      </c>
      <c r="L45">
        <v>0</v>
      </c>
      <c r="M45">
        <v>0</v>
      </c>
      <c r="N45">
        <v>70.400000000000006</v>
      </c>
      <c r="O45">
        <v>70.5</v>
      </c>
      <c r="P45">
        <v>70.400000000000006</v>
      </c>
      <c r="Q45">
        <v>1030</v>
      </c>
      <c r="R45">
        <v>10193</v>
      </c>
      <c r="S45">
        <v>9240</v>
      </c>
      <c r="T45" s="40">
        <f>((P45-K45)/K45)</f>
        <v>0</v>
      </c>
      <c r="U45" s="40">
        <f>((T45*AB45)*D4)</f>
        <v>0</v>
      </c>
      <c r="V45" s="3">
        <f>IF(P45&lt;=N45,(P45*Q45*1000),0)</f>
        <v>72512000</v>
      </c>
      <c r="W45" s="3">
        <f>IF(P45&gt;=O45,(P45*Q45*1000),0)</f>
        <v>0</v>
      </c>
      <c r="X45">
        <v>3711</v>
      </c>
      <c r="Y45" s="3">
        <v>43383451320</v>
      </c>
      <c r="Z45" s="40">
        <f>((C4*AB45)/P45)/10</f>
        <v>0.14267952293666883</v>
      </c>
      <c r="AA45" s="40">
        <f>((M45*AB45)*C4)</f>
        <v>0</v>
      </c>
      <c r="AB45" s="40">
        <f>AE45/AE323</f>
        <v>0.0085642536619022561</v>
      </c>
      <c r="AC45" s="40">
        <f>AF45/AF323</f>
        <v>0.0084846834352327975</v>
      </c>
      <c r="AD45" s="3">
        <f>IF(ISNA(J45),(I45*Y45)/10,(J45*Y45)/10)</f>
        <v>305419497292.80005</v>
      </c>
      <c r="AE45" s="3">
        <f>IF(ISNA(P45),(I45*Y45)/10,(P45*Y45)/10)</f>
        <v>305419497292.80005</v>
      </c>
      <c r="AF45" s="3">
        <f>(I45*Y45)/10</f>
        <v>305419497292.80005</v>
      </c>
      <c r="AG45">
        <f>IF(AND(P45&lt;=N45,L45&lt;0),IF(Q45&lt;10,"DBL10",IF(Q45&gt;=200,"DBM200",IF(Q45&gt;=150,"DBM150",IF(Q45&gt;=100,"DBM100",IF(Q45&gt;=50,"DBM50","DBM10-50"))))),0)</f>
        <v>0</v>
      </c>
      <c r="AH45">
        <f>IF(AND(P45&gt;=O45,L45&lt;0),IF(Q45&lt;10,"DAL10",IF(Q45&gt;=200,"DAM200",IF(Q45&gt;=150,"DAM150",IF(Q45&gt;=100,"DAM100",IF(Q45&gt;=50,"DAM50","DAM10-50"))))),0)</f>
        <v>0</v>
      </c>
      <c r="AI45">
        <f>IF(AND(P45&gt;=O45,L45&gt;0),IF(Q45&lt;10,"UAL10",IF(Q45&gt;=200,"UAM200",IF(Q45&gt;=150,"UAM150",IF(Q45&gt;=100,"UAM100",IF(Q45&gt;=50,"UAM50","UAM10-50"))))),0)</f>
        <v>0</v>
      </c>
      <c r="AJ45">
        <f>IF(AND(P45&lt;=N45,L45&gt;0),IF(Q45&lt;10,"UBL10",IF(Q45&gt;=200,"UBM200",IF(Q45&gt;=150,"UBM150",IF(Q45&gt;=100,"UBM100",IF(Q45&gt;=50,"UBM50","UBM10-50"))))),0)</f>
        <v>0</v>
      </c>
      <c r="AK45" t="s">
        <f>IF(Q45&lt;154,"down",IF(Q45=154,154,IF(Q45&gt;154,"up")))</f>
        <v>6</v>
      </c>
    </row>
    <row r="46" spans="1:37">
      <c r="A46">
        <f>IF(X46=2382,2382,"Error")</f>
        <v>2382</v>
      </c>
      <c r="B46" t="s">
        <f>IF(K46&lt;76.299999999999997,"down",IF(K46=76.299999999999997,"low",IF(K46=77.599999999999994,"high",IF(AND(K46&gt;76.299999999999997,K46&lt;77.599999999999994),"normal","up"))))</f>
        <v>79</v>
      </c>
      <c r="C46" t="s">
        <f>IF(K46&lt;76.299999999999997,"down",IF(K46=76.299999999999997,"low",IF(K46=77.599999999999994,"high",IF(AND(K46&gt;76.299999999999997,K46&lt;77.599999999999994),"normal","up"))))</f>
        <v>79</v>
      </c>
      <c r="D46" t="s">
        <f>IF(K46&lt;76.299999999999997,"down",IF(K46=76.299999999999997,"low",IF(K46=77.599999999999994,"high",IF(AND(K46&gt;76.299999999999997,K46&lt;77.599999999999994),"normal","up"))))</f>
        <v>79</v>
      </c>
      <c r="E46" t="s">
        <f>IF(K46&lt;73.299999999999997,"down",IF(K46=73.299999999999997,"low",IF(K46=77.900000000000006,"high",IF(AND(K46&gt;73.299999999999997,K46&lt;77.900000000000006),"normal","up"))))</f>
        <v>79</v>
      </c>
      <c r="F46" t="s">
        <f>IF(P46&lt;76.5,"PVP-down",IF(P46=76.5,76.5,IF(P46&gt;76.5,"PVP-up")))</f>
        <v>80</v>
      </c>
      <c r="G46" t="s">
        <f>IF(R46&lt;2854,"PVV-down",IF(R46=2854,2854,IF(R46&gt;2854,"PVV-up")))</f>
        <v>81</v>
      </c>
      <c r="H46" s="40">
        <f>R46/(Y46/10000)</f>
        <v>0.0020535244829173057</v>
      </c>
      <c r="I46">
        <v>76.299999999999997</v>
      </c>
      <c r="J46">
        <v>75.299999999999997</v>
      </c>
      <c r="K46">
        <v>76.5</v>
      </c>
      <c r="L46">
        <v>-1</v>
      </c>
      <c r="M46">
        <v>-0.013100000000000001</v>
      </c>
      <c r="N46">
        <v>75.299999999999997</v>
      </c>
      <c r="O46">
        <v>75.5</v>
      </c>
      <c r="P46">
        <v>75.299999999999997</v>
      </c>
      <c r="Q46">
        <v>934</v>
      </c>
      <c r="R46">
        <v>7932</v>
      </c>
      <c r="S46">
        <v>10837</v>
      </c>
      <c r="T46" s="40">
        <f>((P46-K46)/K46)</f>
        <v>-0.01568627450980396</v>
      </c>
      <c r="U46" s="40">
        <f>((T46*AB46)*D4)</f>
        <v>-1.635037365568506</v>
      </c>
      <c r="V46" s="3">
        <f>IF(P46&lt;=N46,(P46*Q46*1000),0)</f>
        <v>70330200</v>
      </c>
      <c r="W46" s="3">
        <f>IF(P46&gt;=O46,(P46*Q46*1000),0)</f>
        <v>0</v>
      </c>
      <c r="X46">
        <v>2382</v>
      </c>
      <c r="Y46" s="3">
        <v>38626274320</v>
      </c>
      <c r="Z46" s="40">
        <f>((C4*AB46)/P46)/10</f>
        <v>0.12703411612293328</v>
      </c>
      <c r="AA46" s="40">
        <f>((M46*AB46)*C4)</f>
        <v>-1.2531026316714506</v>
      </c>
      <c r="AB46" s="40">
        <f>AE46/AE323</f>
        <v>0.0081558749952068011</v>
      </c>
      <c r="AC46" s="40">
        <f>AF46/AF323</f>
        <v>0.0081874044342545305</v>
      </c>
      <c r="AD46" s="3">
        <f>IF(ISNA(J46),(I46*Y46)/10,(J46*Y46)/10)</f>
        <v>290855845629.59998</v>
      </c>
      <c r="AE46" s="3">
        <f>IF(ISNA(P46),(I46*Y46)/10,(P46*Y46)/10)</f>
        <v>290855845629.59998</v>
      </c>
      <c r="AF46" s="3">
        <f>(I46*Y46)/10</f>
        <v>294718473061.59998</v>
      </c>
      <c r="AG46" t="s">
        <f>IF(AND(P46&lt;=N46,L46&lt;0),IF(Q46&lt;10,"DBL10",IF(Q46&gt;=200,"DBM200",IF(Q46&gt;=150,"DBM150",IF(Q46&gt;=100,"DBM100",IF(Q46&gt;=50,"DBM50","DBM10-50"))))),0)</f>
        <v>16</v>
      </c>
      <c r="AH46">
        <f>IF(AND(P46&gt;=O46,L46&lt;0),IF(Q46&lt;10,"DAL10",IF(Q46&gt;=200,"DAM200",IF(Q46&gt;=150,"DAM150",IF(Q46&gt;=100,"DAM100",IF(Q46&gt;=50,"DAM50","DAM10-50"))))),0)</f>
        <v>0</v>
      </c>
      <c r="AI46">
        <f>IF(AND(P46&gt;=O46,L46&gt;0),IF(Q46&lt;10,"UAL10",IF(Q46&gt;=200,"UAM200",IF(Q46&gt;=150,"UAM150",IF(Q46&gt;=100,"UAM100",IF(Q46&gt;=50,"UAM50","UAM10-50"))))),0)</f>
        <v>0</v>
      </c>
      <c r="AJ46">
        <f>IF(AND(P46&lt;=N46,L46&gt;0),IF(Q46&lt;10,"UBL10",IF(Q46&gt;=200,"UBM200",IF(Q46&gt;=150,"UBM150",IF(Q46&gt;=100,"UBM100",IF(Q46&gt;=50,"UBM50","UBM10-50"))))),0)</f>
        <v>0</v>
      </c>
      <c r="AK46" t="s">
        <f>IF(Q46&lt;340,"down",IF(Q46=340,340,IF(Q46&gt;340,"up")))</f>
        <v>6</v>
      </c>
    </row>
    <row r="47" spans="1:37">
      <c r="A47">
        <f>IF(X47=2303,2303,"Error")</f>
        <v>2303</v>
      </c>
      <c r="B47" t="s">
        <f>IF(K47&lt;24.949999999999999,"down",IF(K47=24.949999999999999,"low",IF(K47=26.199999999999999,"high",IF(AND(K47&gt;24.949999999999999,K47&lt;26.199999999999999),"normal","up"))))</f>
        <v>79</v>
      </c>
      <c r="C47" t="s">
        <f>IF(K47&lt;24.949999999999999,"down",IF(K47=24.949999999999999,"low",IF(K47=26.199999999999999,"high",IF(AND(K47&gt;24.949999999999999,K47&lt;26.199999999999999),"normal","up"))))</f>
        <v>79</v>
      </c>
      <c r="D47" t="s">
        <f>IF(K47&lt;24.949999999999999,"down",IF(K47=24.949999999999999,"low",IF(K47=26.199999999999999,"high",IF(AND(K47&gt;24.949999999999999,K47&lt;26.199999999999999),"normal","up"))))</f>
        <v>79</v>
      </c>
      <c r="E47" t="s">
        <f>IF(K47&lt;22.399999999999999,"down",IF(K47=22.399999999999999,"low",IF(K47=27.399999999999999,"high",IF(AND(K47&gt;22.399999999999999,K47&lt;27.399999999999999),"normal","up"))))</f>
        <v>79</v>
      </c>
      <c r="F47" t="s">
        <f>IF(P47&lt;25.300000000000001,"PVP-down",IF(P47=25.300000000000001,25.300000000000001,IF(P47&gt;25.300000000000001,"PVP-up")))</f>
        <v>80</v>
      </c>
      <c r="G47" t="s">
        <f>IF(R47&lt;23640,"PVV-down",IF(R47=23640,23640,IF(R47&gt;23640,"PVV-up")))</f>
        <v>81</v>
      </c>
      <c r="H47" s="40">
        <f>R47/(Y47/10000)</f>
        <v>0.011789774192555709</v>
      </c>
      <c r="I47">
        <v>25.300000000000001</v>
      </c>
      <c r="J47">
        <v>25</v>
      </c>
      <c r="K47">
        <v>25.5</v>
      </c>
      <c r="L47">
        <v>-0.29999999999999999</v>
      </c>
      <c r="M47">
        <v>-0.011900000000000001</v>
      </c>
      <c r="N47">
        <v>25</v>
      </c>
      <c r="O47">
        <v>25.050000000000001</v>
      </c>
      <c r="P47">
        <v>25</v>
      </c>
      <c r="Q47">
        <v>8715</v>
      </c>
      <c r="R47">
        <v>144099</v>
      </c>
      <c r="S47">
        <v>187529</v>
      </c>
      <c r="T47" s="40">
        <f>((P47-K47)/K47)</f>
        <v>-0.019607843137254902</v>
      </c>
      <c r="U47" s="40">
        <f>((T47*AB47)*D4)</f>
        <v>-2.1471153996037025</v>
      </c>
      <c r="V47" s="3">
        <f>IF(P47&lt;=N47,(P47*Q47*1000),0)</f>
        <v>217875000</v>
      </c>
      <c r="W47" s="3">
        <f>IF(P47&gt;=O47,(P47*Q47*1000),0)</f>
        <v>0</v>
      </c>
      <c r="X47">
        <v>2303</v>
      </c>
      <c r="Y47" s="3">
        <v>122223714930</v>
      </c>
      <c r="Z47" s="40">
        <f>((C4*AB47)/P47)/10</f>
        <v>0.4019694332092113</v>
      </c>
      <c r="AA47" s="40">
        <f>((M47*AB47)*C4)</f>
        <v>-1.1958590637974038</v>
      </c>
      <c r="AB47" s="40">
        <f>AE47/AE323</f>
        <v>0.0085681735075760854</v>
      </c>
      <c r="AC47" s="40">
        <f>AF47/AF323</f>
        <v>0.0085904296640776142</v>
      </c>
      <c r="AD47" s="3">
        <f>IF(ISNA(J47),(I47*Y47)/10,(J47*Y47)/10)</f>
        <v>305559287325</v>
      </c>
      <c r="AE47" s="3">
        <f>IF(ISNA(P47),(I47*Y47)/10,(P47*Y47)/10)</f>
        <v>305559287325</v>
      </c>
      <c r="AF47" s="3">
        <f>(I47*Y47)/10</f>
        <v>309225998772.90002</v>
      </c>
      <c r="AG47" t="s">
        <f>IF(AND(P47&lt;=N47,L47&lt;0),IF(Q47&lt;10,"DBL10",IF(Q47&gt;=200,"DBM200",IF(Q47&gt;=150,"DBM150",IF(Q47&gt;=100,"DBM100",IF(Q47&gt;=50,"DBM50","DBM10-50"))))),0)</f>
        <v>16</v>
      </c>
      <c r="AH47">
        <f>IF(AND(P47&gt;=O47,L47&lt;0),IF(Q47&lt;10,"DAL10",IF(Q47&gt;=200,"DAM200",IF(Q47&gt;=150,"DAM150",IF(Q47&gt;=100,"DAM100",IF(Q47&gt;=50,"DAM50","DAM10-50"))))),0)</f>
        <v>0</v>
      </c>
      <c r="AI47">
        <f>IF(AND(P47&gt;=O47,L47&gt;0),IF(Q47&lt;10,"UAL10",IF(Q47&gt;=200,"UAM200",IF(Q47&gt;=150,"UAM150",IF(Q47&gt;=100,"UAM100",IF(Q47&gt;=50,"UAM50","UAM10-50"))))),0)</f>
        <v>0</v>
      </c>
      <c r="AJ47">
        <f>IF(AND(P47&lt;=N47,L47&gt;0),IF(Q47&lt;10,"UBL10",IF(Q47&gt;=200,"UBM200",IF(Q47&gt;=150,"UBM150",IF(Q47&gt;=100,"UBM100",IF(Q47&gt;=50,"UBM50","UBM10-50"))))),0)</f>
        <v>0</v>
      </c>
      <c r="AK47" t="s">
        <f>IF(Q47&lt;8774,"down",IF(Q47=8774,8774,IF(Q47&gt;8774,"up")))</f>
        <v>7</v>
      </c>
    </row>
    <row r="48" spans="1:37">
      <c r="A48">
        <f>IF(X48=2395,2395,"Error")</f>
        <v>2395</v>
      </c>
      <c r="B48" t="s">
        <f>IF(K48&lt;298.5,"down",IF(K48=298.5,"low",IF(K48=301.5,"high",IF(AND(K48&gt;298.5,K48&lt;301.5),"normal","up"))))</f>
        <v>79</v>
      </c>
      <c r="C48" t="s">
        <f>IF(K48&lt;298.5,"down",IF(K48=298.5,"low",IF(K48=301.5,"high",IF(AND(K48&gt;298.5,K48&lt;301.5),"normal","up"))))</f>
        <v>79</v>
      </c>
      <c r="D48" t="s">
        <f>IF(K48&lt;298.5,"down",IF(K48=298.5,"low",IF(K48=301.5,"high",IF(AND(K48&gt;298.5,K48&lt;301.5),"normal","up"))))</f>
        <v>79</v>
      </c>
      <c r="E48" t="s">
        <f>IF(K48&lt;296,"down",IF(K48=296,"low",IF(K48=314,"high",IF(AND(K48&gt;296,K48&lt;314),"normal","up"))))</f>
        <v>79</v>
      </c>
      <c r="F48" t="s">
        <f>IF(P48&lt;300,"PVP-down",IF(P48=300,300,IF(P48&gt;300,"PVP-up")))</f>
        <v>83</v>
      </c>
      <c r="G48" t="s">
        <f>IF(R48&lt;370,"PVV-down",IF(R48=370,370,IF(R48&gt;370,"PVV-up")))</f>
        <v>81</v>
      </c>
      <c r="H48" s="40">
        <f>R48/(Y48/10000)</f>
        <v>0.0013754333703050014</v>
      </c>
      <c r="I48">
        <v>300</v>
      </c>
      <c r="J48">
        <v>302</v>
      </c>
      <c r="K48">
        <v>299</v>
      </c>
      <c r="L48">
        <v>2</v>
      </c>
      <c r="M48">
        <v>0.0067000000000000002</v>
      </c>
      <c r="N48">
        <v>302</v>
      </c>
      <c r="O48">
        <v>302.5</v>
      </c>
      <c r="P48">
        <v>302</v>
      </c>
      <c r="Q48">
        <v>131</v>
      </c>
      <c r="R48">
        <v>964</v>
      </c>
      <c r="S48">
        <v>1045</v>
      </c>
      <c r="T48" s="40">
        <f>((P48-K48)/K48)</f>
        <v>0.010033444816053512</v>
      </c>
      <c r="U48" s="40">
        <f>((T48*AB48)*D4)</f>
        <v>0.7610699258965673</v>
      </c>
      <c r="V48" s="3">
        <f>IF(P48&lt;=N48,(P48*Q48*1000),0)</f>
        <v>39562000</v>
      </c>
      <c r="W48" s="3">
        <f>IF(P48&gt;=O48,(P48*Q48*1000),0)</f>
        <v>0</v>
      </c>
      <c r="X48">
        <v>2395</v>
      </c>
      <c r="Y48" s="3">
        <v>7008700100</v>
      </c>
      <c r="Z48" s="40">
        <f>((C4*AB48)/P48)/10</f>
        <v>0.02305021745038479</v>
      </c>
      <c r="AA48" s="40">
        <f>((M48*AB48)*C4)</f>
        <v>0.46639809989108594</v>
      </c>
      <c r="AB48" s="40">
        <f>AE48/AE323</f>
        <v>0.005935224954743073</v>
      </c>
      <c r="AC48" s="40">
        <f>AF48/AF323</f>
        <v>0.0058411400223059356</v>
      </c>
      <c r="AD48" s="3">
        <f>IF(ISNA(J48),(I48*Y48)/10,(J48*Y48)/10)</f>
        <v>211662743020</v>
      </c>
      <c r="AE48" s="3">
        <f>IF(ISNA(P48),(I48*Y48)/10,(P48*Y48)/10)</f>
        <v>211662743020</v>
      </c>
      <c r="AF48" s="3">
        <f>(I48*Y48)/10</f>
        <v>210261003000</v>
      </c>
      <c r="AG48">
        <f>IF(AND(P48&lt;=N48,L48&lt;0),IF(Q48&lt;10,"DBL10",IF(Q48&gt;=200,"DBM200",IF(Q48&gt;=150,"DBM150",IF(Q48&gt;=100,"DBM100",IF(Q48&gt;=50,"DBM50","DBM10-50"))))),0)</f>
        <v>0</v>
      </c>
      <c r="AH48">
        <f>IF(AND(P48&gt;=O48,L48&lt;0),IF(Q48&lt;10,"DAL10",IF(Q48&gt;=200,"DAM200",IF(Q48&gt;=150,"DAM150",IF(Q48&gt;=100,"DAM100",IF(Q48&gt;=50,"DAM50","DAM10-50"))))),0)</f>
        <v>0</v>
      </c>
      <c r="AI48">
        <f>IF(AND(P48&gt;=O48,L48&gt;0),IF(Q48&lt;10,"UAL10",IF(Q48&gt;=200,"UAM200",IF(Q48&gt;=150,"UAM150",IF(Q48&gt;=100,"UAM100",IF(Q48&gt;=50,"UAM50","UAM10-50"))))),0)</f>
        <v>0</v>
      </c>
      <c r="AJ48" t="s">
        <f>IF(AND(P48&lt;=N48,L48&gt;0),IF(Q48&lt;10,"UBL10",IF(Q48&gt;=200,"UBM200",IF(Q48&gt;=150,"UBM150",IF(Q48&gt;=100,"UBM100",IF(Q48&gt;=50,"UBM50","UBM10-50"))))),0)</f>
        <v>19</v>
      </c>
      <c r="AK48" t="s">
        <f>IF(Q48&lt;54,"down",IF(Q48=54,54,IF(Q48&gt;54,"up")))</f>
        <v>6</v>
      </c>
    </row>
    <row r="49" spans="1:37">
      <c r="A49">
        <f>IF(X49=4904,4904,"Error")</f>
        <v>4904</v>
      </c>
      <c r="B49" t="s">
        <f>IF(K49&lt;62.100000000000001,"down",IF(K49=62.100000000000001,"low",IF(K49=62.299999999999997,"high",IF(AND(K49&gt;62.100000000000001,K49&lt;62.299999999999997),"normal","up"))))</f>
        <v>7</v>
      </c>
      <c r="C49" t="s">
        <f>IF(K49&lt;62.100000000000001,"down",IF(K49=62.100000000000001,"low",IF(K49=62.299999999999997,"high",IF(AND(K49&gt;62.100000000000001,K49&lt;62.299999999999997),"normal","up"))))</f>
        <v>7</v>
      </c>
      <c r="D49" t="s">
        <f>IF(K49&lt;62.100000000000001,"down",IF(K49=62.100000000000001,"low",IF(K49=62.299999999999997,"high",IF(AND(K49&gt;62.100000000000001,K49&lt;62.299999999999997),"normal","up"))))</f>
        <v>7</v>
      </c>
      <c r="E49" t="s">
        <f>IF(K49&lt;61.899999999999999,"down",IF(K49=61.899999999999999,"low",IF(K49=63.299999999999997,"high",IF(AND(K49&gt;61.899999999999999,K49&lt;63.299999999999997),"normal","up"))))</f>
        <v>79</v>
      </c>
      <c r="F49" t="s">
        <f>IF(P49&lt;62.200000000000003,"PVP-down",IF(P49=62.200000000000003,62.200000000000003,IF(P49&gt;62.200000000000003,"PVP-up")))</f>
        <v>80</v>
      </c>
      <c r="G49" t="s">
        <f>IF(R49&lt;607,"PVV-down",IF(R49=607,607,IF(R49&gt;607,"PVV-up")))</f>
        <v>81</v>
      </c>
      <c r="H49" s="40">
        <f>R49/(Y49/10000)</f>
        <v>0.00067883978828901998</v>
      </c>
      <c r="I49">
        <v>62.100000000000001</v>
      </c>
      <c r="J49">
        <v>62</v>
      </c>
      <c r="K49">
        <v>62</v>
      </c>
      <c r="L49">
        <v>-0.10000000000000001</v>
      </c>
      <c r="M49">
        <v>-0.0016000000000000001</v>
      </c>
      <c r="N49">
        <v>61.899999999999999</v>
      </c>
      <c r="O49">
        <v>62</v>
      </c>
      <c r="P49">
        <v>62</v>
      </c>
      <c r="Q49">
        <v>252</v>
      </c>
      <c r="R49">
        <v>2212</v>
      </c>
      <c r="S49">
        <v>1223</v>
      </c>
      <c r="T49" s="40">
        <f>((P49-K49)/K49)</f>
        <v>0</v>
      </c>
      <c r="U49" s="40">
        <f>((T49*AB49)*D4)</f>
        <v>0</v>
      </c>
      <c r="V49" s="3">
        <f>IF(P49&lt;=N49,(P49*Q49*1000),0)</f>
        <v>0</v>
      </c>
      <c r="W49" s="3">
        <f>IF(P49&gt;=O49,(P49*Q49*1000),0)</f>
        <v>15624000</v>
      </c>
      <c r="X49">
        <v>4904</v>
      </c>
      <c r="Y49" s="3">
        <v>32585008100</v>
      </c>
      <c r="Z49" s="40">
        <f>((C4*AB49)/P49)/10</f>
        <v>0.10716559584673195</v>
      </c>
      <c r="AA49" s="40">
        <f>((M49*AB49)*C4)</f>
        <v>-0.10630827107995811</v>
      </c>
      <c r="AB49" s="40">
        <f>AE49/AE323</f>
        <v>0.0056650309491905974</v>
      </c>
      <c r="AC49" s="40">
        <f>AF49/AF323</f>
        <v>0.0056214495684577988</v>
      </c>
      <c r="AD49" s="3">
        <f>IF(ISNA(J49),(I49*Y49)/10,(J49*Y49)/10)</f>
        <v>202027050220</v>
      </c>
      <c r="AE49" s="3">
        <f>IF(ISNA(P49),(I49*Y49)/10,(P49*Y49)/10)</f>
        <v>202027050220</v>
      </c>
      <c r="AF49" s="3">
        <f>(I49*Y49)/10</f>
        <v>202352900301</v>
      </c>
      <c r="AG49">
        <f>IF(AND(P49&lt;=N49,L49&lt;0),IF(Q49&lt;10,"DBL10",IF(Q49&gt;=200,"DBM200",IF(Q49&gt;=150,"DBM150",IF(Q49&gt;=100,"DBM100",IF(Q49&gt;=50,"DBM50","DBM10-50"))))),0)</f>
        <v>0</v>
      </c>
      <c r="AH49" t="s">
        <f>IF(AND(P49&gt;=O49,L49&lt;0),IF(Q49&lt;10,"DAL10",IF(Q49&gt;=200,"DAM200",IF(Q49&gt;=150,"DAM150",IF(Q49&gt;=100,"DAM100",IF(Q49&gt;=50,"DAM50","DAM10-50"))))),0)</f>
        <v>26</v>
      </c>
      <c r="AI49">
        <f>IF(AND(P49&gt;=O49,L49&gt;0),IF(Q49&lt;10,"UAL10",IF(Q49&gt;=200,"UAM200",IF(Q49&gt;=150,"UAM150",IF(Q49&gt;=100,"UAM100",IF(Q49&gt;=50,"UAM50","UAM10-50"))))),0)</f>
        <v>0</v>
      </c>
      <c r="AJ49">
        <f>IF(AND(P49&lt;=N49,L49&gt;0),IF(Q49&lt;10,"UBL10",IF(Q49&gt;=200,"UBM200",IF(Q49&gt;=150,"UBM150",IF(Q49&gt;=100,"UBM100",IF(Q49&gt;=50,"UBM50","UBM10-50"))))),0)</f>
        <v>0</v>
      </c>
      <c r="AK49" t="s">
        <f>IF(Q49&lt;23,"down",IF(Q49=23,23,IF(Q49&gt;23,"up")))</f>
        <v>6</v>
      </c>
    </row>
    <row r="50" spans="1:37">
      <c r="A50">
        <f>IF(X50=2327,2327,"Error")</f>
        <v>2327</v>
      </c>
      <c r="B50" t="s">
        <f>IF(K50&lt;383,"down",IF(K50=383,"low",IF(K50=390,"high",IF(AND(K50&gt;383,K50&lt;390),"normal","up"))))</f>
        <v>79</v>
      </c>
      <c r="C50" t="s">
        <f>IF(K50&lt;383,"down",IF(K50=383,"low",IF(K50=390,"high",IF(AND(K50&gt;383,K50&lt;390),"normal","up"))))</f>
        <v>79</v>
      </c>
      <c r="D50" t="s">
        <f>IF(K50&lt;383,"down",IF(K50=383,"low",IF(K50=390,"high",IF(AND(K50&gt;383,K50&lt;390),"normal","up"))))</f>
        <v>79</v>
      </c>
      <c r="E50" t="s">
        <f>IF(K50&lt;383,"down",IF(K50=383,"low",IF(K50=404.5,"high",IF(AND(K50&gt;383,K50&lt;404.5),"normal","up"))))</f>
        <v>79</v>
      </c>
      <c r="F50" t="s">
        <f>IF(P50&lt;384.5,"PVP-down",IF(P50=384.5,384.5,IF(P50&gt;384.5,"PVP-up")))</f>
        <v>83</v>
      </c>
      <c r="G50" t="s">
        <f>IF(R50&lt;2202,"PVV-down",IF(R50=2202,2202,IF(R50&gt;2202,"PVV-up")))</f>
        <v>81</v>
      </c>
      <c r="H50" s="40">
        <f>R50/(Y50/10000)</f>
        <v>0.012579328364175876</v>
      </c>
      <c r="I50">
        <v>384.5</v>
      </c>
      <c r="J50">
        <v>385.5</v>
      </c>
      <c r="K50">
        <v>386</v>
      </c>
      <c r="L50">
        <v>1</v>
      </c>
      <c r="M50">
        <v>0.0025999999999999999</v>
      </c>
      <c r="N50">
        <v>385.5</v>
      </c>
      <c r="O50">
        <v>386</v>
      </c>
      <c r="P50">
        <v>385.5</v>
      </c>
      <c r="Q50">
        <v>386</v>
      </c>
      <c r="R50">
        <v>6210</v>
      </c>
      <c r="S50">
        <v>8266</v>
      </c>
      <c r="T50" s="40">
        <f>((P50-K50)/K50)</f>
        <v>-0.0012953367875647669</v>
      </c>
      <c r="U50" s="40">
        <f>((T50*AB50)*D4)</f>
        <v>-0.088342829059788117</v>
      </c>
      <c r="V50" s="3">
        <f>IF(P50&lt;=N50,(P50*Q50*1000),0)</f>
        <v>148803000</v>
      </c>
      <c r="W50" s="3">
        <f>IF(P50&gt;=O50,(P50*Q50*1000),0)</f>
        <v>0</v>
      </c>
      <c r="X50">
        <v>2327</v>
      </c>
      <c r="Y50" s="3">
        <v>4936670560</v>
      </c>
      <c r="Z50" s="40">
        <f>((C4*AB50)/P50)/10</f>
        <v>0.016235725350684196</v>
      </c>
      <c r="AA50" s="40">
        <f>((M50*AB50)*C4)</f>
        <v>0.16273067518990772</v>
      </c>
      <c r="AB50" s="40">
        <f>AE50/AE323</f>
        <v>0.005336435845958192</v>
      </c>
      <c r="AC50" s="40">
        <f>AF50/AF323</f>
        <v>0.0052731408982270344</v>
      </c>
      <c r="AD50" s="3">
        <f>IF(ISNA(J50),(I50*Y50)/10,(J50*Y50)/10)</f>
        <v>190308650088</v>
      </c>
      <c r="AE50" s="3">
        <f>IF(ISNA(P50),(I50*Y50)/10,(P50*Y50)/10)</f>
        <v>190308650088</v>
      </c>
      <c r="AF50" s="3">
        <f>(I50*Y50)/10</f>
        <v>189814983032</v>
      </c>
      <c r="AG50">
        <f>IF(AND(P50&lt;=N50,L50&lt;0),IF(Q50&lt;10,"DBL10",IF(Q50&gt;=200,"DBM200",IF(Q50&gt;=150,"DBM150",IF(Q50&gt;=100,"DBM100",IF(Q50&gt;=50,"DBM50","DBM10-50"))))),0)</f>
        <v>0</v>
      </c>
      <c r="AH50">
        <f>IF(AND(P50&gt;=O50,L50&lt;0),IF(Q50&lt;10,"DAL10",IF(Q50&gt;=200,"DAM200",IF(Q50&gt;=150,"DAM150",IF(Q50&gt;=100,"DAM100",IF(Q50&gt;=50,"DAM50","DAM10-50"))))),0)</f>
        <v>0</v>
      </c>
      <c r="AI50">
        <f>IF(AND(P50&gt;=O50,L50&gt;0),IF(Q50&lt;10,"UAL10",IF(Q50&gt;=200,"UAM200",IF(Q50&gt;=150,"UAM150",IF(Q50&gt;=100,"UAM100",IF(Q50&gt;=50,"UAM50","UAM10-50"))))),0)</f>
        <v>0</v>
      </c>
      <c r="AJ50" t="s">
        <f>IF(AND(P50&lt;=N50,L50&gt;0),IF(Q50&lt;10,"UBL10",IF(Q50&gt;=200,"UBM200",IF(Q50&gt;=150,"UBM150",IF(Q50&gt;=100,"UBM100",IF(Q50&gt;=50,"UBM50","UBM10-50"))))),0)</f>
        <v>21</v>
      </c>
      <c r="AK50" t="s">
        <f>IF(Q50&lt;318,"down",IF(Q50=318,318,IF(Q50&gt;318,"up")))</f>
        <v>6</v>
      </c>
    </row>
    <row r="51" spans="1:37">
      <c r="A51">
        <f>IF(X51=2379,2379,"Error")</f>
        <v>2379</v>
      </c>
      <c r="B51" t="s">
        <f>IF(K51&lt;400,"down",IF(K51=400,"low",IF(K51=412,"high",IF(AND(K51&gt;400,K51&lt;412),"normal","up"))))</f>
        <v>79</v>
      </c>
      <c r="C51" t="s">
        <f>IF(K51&lt;400,"down",IF(K51=400,"low",IF(K51=412,"high",IF(AND(K51&gt;400,K51&lt;412),"normal","up"))))</f>
        <v>79</v>
      </c>
      <c r="D51" t="s">
        <f>IF(K51&lt;400,"down",IF(K51=400,"low",IF(K51=412,"high",IF(AND(K51&gt;400,K51&lt;412),"normal","up"))))</f>
        <v>79</v>
      </c>
      <c r="E51" t="s">
        <f>IF(K51&lt;378,"down",IF(K51=378,"low",IF(K51=432,"high",IF(AND(K51&gt;378,K51&lt;432),"normal","up"))))</f>
        <v>79</v>
      </c>
      <c r="F51" t="s">
        <f>IF(P51&lt;404,"PVP-down",IF(P51=404,404,IF(P51&gt;404,"PVP-up")))</f>
        <v>83</v>
      </c>
      <c r="G51" t="s">
        <f>IF(R51&lt;490,"PVV-down",IF(R51=490,490,IF(R51&gt;490,"PVV-up")))</f>
        <v>81</v>
      </c>
      <c r="H51" s="40">
        <f>R51/(Y51/10000)</f>
        <v>0.010413466817477216</v>
      </c>
      <c r="I51">
        <v>404</v>
      </c>
      <c r="J51">
        <v>408.5</v>
      </c>
      <c r="K51">
        <v>407</v>
      </c>
      <c r="L51">
        <v>4.5</v>
      </c>
      <c r="M51">
        <v>0.0111</v>
      </c>
      <c r="N51">
        <v>408</v>
      </c>
      <c r="O51">
        <v>408.5</v>
      </c>
      <c r="P51">
        <v>408.5</v>
      </c>
      <c r="Q51">
        <v>264</v>
      </c>
      <c r="R51">
        <v>5318</v>
      </c>
      <c r="S51">
        <v>4437</v>
      </c>
      <c r="T51" s="40">
        <f>((P51-K51)/K51)</f>
        <v>0.0036855036855036856</v>
      </c>
      <c r="U51" s="40">
        <f>((T51*AB51)*D4)</f>
        <v>0.27553195943232883</v>
      </c>
      <c r="V51" s="3">
        <f>IF(P51&lt;=N51,(P51*Q51*1000),0)</f>
        <v>0</v>
      </c>
      <c r="W51" s="3">
        <f>IF(P51&gt;=O51,(P51*Q51*1000),0)</f>
        <v>107844000</v>
      </c>
      <c r="X51">
        <v>2379</v>
      </c>
      <c r="Y51" s="3">
        <v>5106848750</v>
      </c>
      <c r="Z51" s="40">
        <f>((C4*AB51)/P51)/10</f>
        <v>0.016795407492714055</v>
      </c>
      <c r="AA51" s="40">
        <f>((M51*AB51)*C4)</f>
        <v>0.76156255964587993</v>
      </c>
      <c r="AB51" s="40">
        <f>AE51/AE323</f>
        <v>0.0058497569279203632</v>
      </c>
      <c r="AC51" s="40">
        <f>AF51/AF323</f>
        <v>0.0057315653169794723</v>
      </c>
      <c r="AD51" s="3">
        <f>IF(ISNA(J51),(I51*Y51)/10,(J51*Y51)/10)</f>
        <v>208614771437.5</v>
      </c>
      <c r="AE51" s="3">
        <f>IF(ISNA(P51),(I51*Y51)/10,(P51*Y51)/10)</f>
        <v>208614771437.5</v>
      </c>
      <c r="AF51" s="3">
        <f>(I51*Y51)/10</f>
        <v>206316689500</v>
      </c>
      <c r="AG51">
        <f>IF(AND(P51&lt;=N51,L51&lt;0),IF(Q51&lt;10,"DBL10",IF(Q51&gt;=200,"DBM200",IF(Q51&gt;=150,"DBM150",IF(Q51&gt;=100,"DBM100",IF(Q51&gt;=50,"DBM50","DBM10-50"))))),0)</f>
        <v>0</v>
      </c>
      <c r="AH51">
        <f>IF(AND(P51&gt;=O51,L51&lt;0),IF(Q51&lt;10,"DAL10",IF(Q51&gt;=200,"DAM200",IF(Q51&gt;=150,"DAM150",IF(Q51&gt;=100,"DAM100",IF(Q51&gt;=50,"DAM50","DAM10-50"))))),0)</f>
        <v>0</v>
      </c>
      <c r="AI51" t="s">
        <f>IF(AND(P51&gt;=O51,L51&gt;0),IF(Q51&lt;10,"UAL10",IF(Q51&gt;=200,"UAM200",IF(Q51&gt;=150,"UAM150",IF(Q51&gt;=100,"UAM100",IF(Q51&gt;=50,"UAM50","UAM10-50"))))),0)</f>
        <v>31</v>
      </c>
      <c r="AJ51">
        <f>IF(AND(P51&lt;=N51,L51&gt;0),IF(Q51&lt;10,"UBL10",IF(Q51&gt;=200,"UBM200",IF(Q51&gt;=150,"UBM150",IF(Q51&gt;=100,"UBM100",IF(Q51&gt;=50,"UBM50","UBM10-50"))))),0)</f>
        <v>0</v>
      </c>
      <c r="AK51" t="s">
        <f>IF(Q51&lt;110,"down",IF(Q51=110,110,IF(Q51&gt;110,"up")))</f>
        <v>6</v>
      </c>
    </row>
    <row r="52" spans="1:37">
      <c r="A52">
        <f>IF(X52=2408,2408,"Error")</f>
        <v>2408</v>
      </c>
      <c r="B52" t="s">
        <f>IF(K52&lt;53.700000000000003,"down",IF(K52=53.700000000000003,"low",IF(K52=54.799999999999997,"high",IF(AND(K52&gt;53.700000000000003,K52&lt;54.799999999999997),"normal","up"))))</f>
        <v>79</v>
      </c>
      <c r="C52" t="s">
        <f>IF(K52&lt;53.700000000000003,"down",IF(K52=53.700000000000003,"low",IF(K52=54.799999999999997,"high",IF(AND(K52&gt;53.700000000000003,K52&lt;54.799999999999997),"normal","up"))))</f>
        <v>79</v>
      </c>
      <c r="D52" t="s">
        <f>IF(K52&lt;53.700000000000003,"down",IF(K52=53.700000000000003,"low",IF(K52=54.799999999999997,"high",IF(AND(K52&gt;53.700000000000003,K52&lt;54.799999999999997),"normal","up"))))</f>
        <v>79</v>
      </c>
      <c r="E52" t="s">
        <f>IF(K52&lt;53.700000000000003,"down",IF(K52=53.700000000000003,"low",IF(K52=60.899999999999999,"high",IF(AND(K52&gt;53.700000000000003,K52&lt;60.899999999999999),"normal","up"))))</f>
        <v>79</v>
      </c>
      <c r="F52" t="s">
        <f>IF(P52&lt;54.399999999999999,"PVP-down",IF(P52=54.399999999999999,54.399999999999999,IF(P52&gt;54.399999999999999,"PVP-up")))</f>
        <v>83</v>
      </c>
      <c r="G52" t="s">
        <f>IF(R52&lt;3510,"PVV-down",IF(R52=3510,3510,IF(R52&gt;3510,"PVV-up")))</f>
        <v>81</v>
      </c>
      <c r="H52" s="40">
        <f>R52/(Y52/10000)</f>
        <v>0.0054123041771773359</v>
      </c>
      <c r="I52">
        <v>54.399999999999999</v>
      </c>
      <c r="J52">
        <v>55.700000000000003</v>
      </c>
      <c r="K52">
        <v>54.5</v>
      </c>
      <c r="L52">
        <v>1.3</v>
      </c>
      <c r="M52">
        <v>0.023900000000000001</v>
      </c>
      <c r="N52">
        <v>55.700000000000003</v>
      </c>
      <c r="O52">
        <v>55.799999999999997</v>
      </c>
      <c r="P52">
        <v>55.700000000000003</v>
      </c>
      <c r="Q52">
        <v>516</v>
      </c>
      <c r="R52">
        <v>16641</v>
      </c>
      <c r="S52">
        <v>15731</v>
      </c>
      <c r="T52" s="40">
        <f>((P52-K52)/K52)</f>
        <v>0.022018348623853264</v>
      </c>
      <c r="U52" s="40">
        <f>((T52*AB52)*D4)</f>
        <v>1.3513481069954516</v>
      </c>
      <c r="V52" s="3">
        <f>IF(P52&lt;=N52,(P52*Q52*1000),0)</f>
        <v>28741200</v>
      </c>
      <c r="W52" s="3">
        <f>IF(P52&gt;=O52,(P52*Q52*1000),0)</f>
        <v>0</v>
      </c>
      <c r="X52">
        <v>2408</v>
      </c>
      <c r="Y52" s="3">
        <v>30746608940</v>
      </c>
      <c r="Z52" s="40">
        <f>((C4*AB52)/P52)/10</f>
        <v>0.1011194674928301</v>
      </c>
      <c r="AA52" s="40">
        <f>((M52*AB52)*C4)</f>
        <v>1.3461326871048023</v>
      </c>
      <c r="AB52" s="40">
        <f>AE52/AE323</f>
        <v>0.0048022546242304127</v>
      </c>
      <c r="AC52" s="40">
        <f>AF52/AF323</f>
        <v>0.0046465970167618373</v>
      </c>
      <c r="AD52" s="3">
        <f>IF(ISNA(J52),(I52*Y52)/10,(J52*Y52)/10)</f>
        <v>171258611795.79999</v>
      </c>
      <c r="AE52" s="3">
        <f>IF(ISNA(P52),(I52*Y52)/10,(P52*Y52)/10)</f>
        <v>171258611795.79999</v>
      </c>
      <c r="AF52" s="3">
        <f>(I52*Y52)/10</f>
        <v>167261552633.60001</v>
      </c>
      <c r="AG52">
        <f>IF(AND(P52&lt;=N52,L52&lt;0),IF(Q52&lt;10,"DBL10",IF(Q52&gt;=200,"DBM200",IF(Q52&gt;=150,"DBM150",IF(Q52&gt;=100,"DBM100",IF(Q52&gt;=50,"DBM50","DBM10-50"))))),0)</f>
        <v>0</v>
      </c>
      <c r="AH52">
        <f>IF(AND(P52&gt;=O52,L52&lt;0),IF(Q52&lt;10,"DAL10",IF(Q52&gt;=200,"DAM200",IF(Q52&gt;=150,"DAM150",IF(Q52&gt;=100,"DAM100",IF(Q52&gt;=50,"DAM50","DAM10-50"))))),0)</f>
        <v>0</v>
      </c>
      <c r="AI52">
        <f>IF(AND(P52&gt;=O52,L52&gt;0),IF(Q52&lt;10,"UAL10",IF(Q52&gt;=200,"UAM200",IF(Q52&gt;=150,"UAM150",IF(Q52&gt;=100,"UAM100",IF(Q52&gt;=50,"UAM50","UAM10-50"))))),0)</f>
        <v>0</v>
      </c>
      <c r="AJ52" t="s">
        <f>IF(AND(P52&lt;=N52,L52&gt;0),IF(Q52&lt;10,"UBL10",IF(Q52&gt;=200,"UBM200",IF(Q52&gt;=150,"UBM150",IF(Q52&gt;=100,"UBM100",IF(Q52&gt;=50,"UBM50","UBM10-50"))))),0)</f>
        <v>21</v>
      </c>
      <c r="AK52" t="s">
        <f>IF(Q52&lt;549,"down",IF(Q52=549,549,IF(Q52&gt;549,"up")))</f>
        <v>7</v>
      </c>
    </row>
    <row r="53" spans="1:37">
      <c r="A53">
        <f>IF(X53=3034,3034,"Error")</f>
        <v>3034</v>
      </c>
      <c r="B53" t="s">
        <f>IF(K53&lt;284.5,"down",IF(K53=284.5,"low",IF(K53=298,"high",IF(AND(K53&gt;284.5,K53&lt;298),"normal","up"))))</f>
        <v>79</v>
      </c>
      <c r="C53" t="s">
        <f>IF(K53&lt;284.5,"down",IF(K53=284.5,"low",IF(K53=298,"high",IF(AND(K53&gt;284.5,K53&lt;298),"normal","up"))))</f>
        <v>79</v>
      </c>
      <c r="D53" t="s">
        <f>IF(K53&lt;284.5,"down",IF(K53=284.5,"low",IF(K53=298,"high",IF(AND(K53&gt;284.5,K53&lt;298),"normal","up"))))</f>
        <v>79</v>
      </c>
      <c r="E53" t="s">
        <f>IF(K53&lt;284.5,"down",IF(K53=284.5,"low",IF(K53=322.5,"high",IF(AND(K53&gt;284.5,K53&lt;322.5),"normal","up"))))</f>
        <v>79</v>
      </c>
      <c r="F53" t="s">
        <f>IF(P53&lt;286,"PVP-down",IF(P53=286,286,IF(P53&gt;286,"PVP-up")))</f>
        <v>83</v>
      </c>
      <c r="G53" t="s">
        <f>IF(R53&lt;1112,"PVV-down",IF(R53=1112,1112,IF(R53&gt;1112,"PVV-up")))</f>
        <v>81</v>
      </c>
      <c r="H53" s="40">
        <f>R53/(Y53/10000)</f>
        <v>0.010885579545255868</v>
      </c>
      <c r="I53">
        <v>287</v>
      </c>
      <c r="J53">
        <v>289.5</v>
      </c>
      <c r="K53">
        <v>288</v>
      </c>
      <c r="L53">
        <v>2.5</v>
      </c>
      <c r="M53">
        <v>0.0086999999999999994</v>
      </c>
      <c r="N53">
        <v>289.5</v>
      </c>
      <c r="O53">
        <v>290</v>
      </c>
      <c r="P53">
        <v>289.5</v>
      </c>
      <c r="Q53">
        <v>416</v>
      </c>
      <c r="R53">
        <v>6624</v>
      </c>
      <c r="S53">
        <v>8434</v>
      </c>
      <c r="T53" s="40">
        <f>((P53-K53)/K53)</f>
        <v>0.005208333333333333</v>
      </c>
      <c r="U53" s="40">
        <f>((T53*AB53)*D4)</f>
        <v>0.32881088186089713</v>
      </c>
      <c r="V53" s="3">
        <f>IF(P53&lt;=N53,(P53*Q53*1000),0)</f>
        <v>120432000</v>
      </c>
      <c r="W53" s="3">
        <f>IF(P53&gt;=O53,(P53*Q53*1000),0)</f>
        <v>0</v>
      </c>
      <c r="X53">
        <v>3034</v>
      </c>
      <c r="Y53" s="3">
        <v>6085114690</v>
      </c>
      <c r="Z53" s="40">
        <f>((C4*AB53)/P53)/10</f>
        <v>0.020012729152875417</v>
      </c>
      <c r="AA53" s="40">
        <f>((M53*AB53)*C4)</f>
        <v>0.50405060280889669</v>
      </c>
      <c r="AB53" s="40">
        <f>AE53/AE323</f>
        <v>0.0049398083531850658</v>
      </c>
      <c r="AC53" s="40">
        <f>AF53/AF323</f>
        <v>0.0048516509722895135</v>
      </c>
      <c r="AD53" s="3">
        <f>IF(ISNA(J53),(I53*Y53)/10,(J53*Y53)/10)</f>
        <v>176164070275.5</v>
      </c>
      <c r="AE53" s="3">
        <f>IF(ISNA(P53),(I53*Y53)/10,(P53*Y53)/10)</f>
        <v>176164070275.5</v>
      </c>
      <c r="AF53" s="3">
        <f>(I53*Y53)/10</f>
        <v>174642791603</v>
      </c>
      <c r="AG53">
        <f>IF(AND(P53&lt;=N53,L53&lt;0),IF(Q53&lt;10,"DBL10",IF(Q53&gt;=200,"DBM200",IF(Q53&gt;=150,"DBM150",IF(Q53&gt;=100,"DBM100",IF(Q53&gt;=50,"DBM50","DBM10-50"))))),0)</f>
        <v>0</v>
      </c>
      <c r="AH53">
        <f>IF(AND(P53&gt;=O53,L53&lt;0),IF(Q53&lt;10,"DAL10",IF(Q53&gt;=200,"DAM200",IF(Q53&gt;=150,"DAM150",IF(Q53&gt;=100,"DAM100",IF(Q53&gt;=50,"DAM50","DAM10-50"))))),0)</f>
        <v>0</v>
      </c>
      <c r="AI53">
        <f>IF(AND(P53&gt;=O53,L53&gt;0),IF(Q53&lt;10,"UAL10",IF(Q53&gt;=200,"UAM200",IF(Q53&gt;=150,"UAM150",IF(Q53&gt;=100,"UAM100",IF(Q53&gt;=50,"UAM50","UAM10-50"))))),0)</f>
        <v>0</v>
      </c>
      <c r="AJ53" t="s">
        <f>IF(AND(P53&lt;=N53,L53&gt;0),IF(Q53&lt;10,"UBL10",IF(Q53&gt;=200,"UBM200",IF(Q53&gt;=150,"UBM150",IF(Q53&gt;=100,"UBM100",IF(Q53&gt;=50,"UBM50","UBM10-50"))))),0)</f>
        <v>21</v>
      </c>
      <c r="AK53" t="s">
        <f>IF(Q53&lt;149,"down",IF(Q53=149,149,IF(Q53&gt;149,"up")))</f>
        <v>6</v>
      </c>
    </row>
    <row r="54" spans="1:37">
      <c r="A54">
        <f>IF(X54=2474,2474,"Error")</f>
        <v>2474</v>
      </c>
      <c r="B54" t="s">
        <f>IF(K54&lt;224,"down",IF(K54=224,"low",IF(K54=229,"high",IF(AND(K54&gt;224,K54&lt;229),"normal","up"))))</f>
        <v>79</v>
      </c>
      <c r="C54" t="s">
        <f>IF(K54&lt;224,"down",IF(K54=224,"low",IF(K54=229,"high",IF(AND(K54&gt;224,K54&lt;229),"normal","up"))))</f>
        <v>79</v>
      </c>
      <c r="D54" t="s">
        <f>IF(K54&lt;224,"down",IF(K54=224,"low",IF(K54=229,"high",IF(AND(K54&gt;224,K54&lt;229),"normal","up"))))</f>
        <v>79</v>
      </c>
      <c r="E54" t="s">
        <f>IF(K54&lt;215,"down",IF(K54=215,"low",IF(K54=229,"high",IF(AND(K54&gt;215,K54&lt;229),"normal","up"))))</f>
        <v>79</v>
      </c>
      <c r="F54" t="s">
        <f>IF(P54&lt;226,"PVP-down",IF(P54=226,226,IF(P54&gt;226,"PVP-up")))</f>
        <v>80</v>
      </c>
      <c r="G54" t="s">
        <f>IF(R54&lt;1575,"PVV-down",IF(R54=1575,1575,IF(R54&gt;1575,"PVV-up")))</f>
        <v>81</v>
      </c>
      <c r="H54" s="40">
        <f>R54/(Y54/10000)</f>
        <v>0.0075117693245221146</v>
      </c>
      <c r="I54">
        <v>226</v>
      </c>
      <c r="J54">
        <v>221</v>
      </c>
      <c r="K54">
        <v>225.5</v>
      </c>
      <c r="L54">
        <v>-5</v>
      </c>
      <c r="M54">
        <v>-0.022100000000000002</v>
      </c>
      <c r="N54">
        <v>221</v>
      </c>
      <c r="O54">
        <v>221.5</v>
      </c>
      <c r="P54">
        <v>221</v>
      </c>
      <c r="Q54">
        <v>290</v>
      </c>
      <c r="R54">
        <v>5787</v>
      </c>
      <c r="S54">
        <v>5563</v>
      </c>
      <c r="T54" s="40">
        <f>((P54-K54)/K54)</f>
        <v>-0.019955654101995565</v>
      </c>
      <c r="U54" s="40">
        <f>((T54*AB54)*D4)</f>
        <v>-1.2175857457349071</v>
      </c>
      <c r="V54" s="3">
        <f>IF(P54&lt;=N54,(P54*Q54*1000),0)</f>
        <v>64090000</v>
      </c>
      <c r="W54" s="3">
        <f>IF(P54&gt;=O54,(P54*Q54*1000),0)</f>
        <v>0</v>
      </c>
      <c r="X54">
        <v>2474</v>
      </c>
      <c r="Y54" s="3">
        <v>7703910690</v>
      </c>
      <c r="Z54" s="40">
        <f>((C4*AB54)/P54)/10</f>
        <v>0.025336626491243925</v>
      </c>
      <c r="AA54" s="40">
        <f>((M54*AB54)*C4)</f>
        <v>-1.2374661744588449</v>
      </c>
      <c r="AB54" s="40">
        <f>AE54/AE323</f>
        <v>0.0047741523867663163</v>
      </c>
      <c r="AC54" s="40">
        <f>AF54/AF323</f>
        <v>0.0048368048351202222</v>
      </c>
      <c r="AD54" s="3">
        <f>IF(ISNA(J54),(I54*Y54)/10,(J54*Y54)/10)</f>
        <v>170256426249</v>
      </c>
      <c r="AE54" s="3">
        <f>IF(ISNA(P54),(I54*Y54)/10,(P54*Y54)/10)</f>
        <v>170256426249</v>
      </c>
      <c r="AF54" s="3">
        <f>(I54*Y54)/10</f>
        <v>174108381594</v>
      </c>
      <c r="AG54" t="s">
        <f>IF(AND(P54&lt;=N54,L54&lt;0),IF(Q54&lt;10,"DBL10",IF(Q54&gt;=200,"DBM200",IF(Q54&gt;=150,"DBM150",IF(Q54&gt;=100,"DBM100",IF(Q54&gt;=50,"DBM50","DBM10-50"))))),0)</f>
        <v>16</v>
      </c>
      <c r="AH54">
        <f>IF(AND(P54&gt;=O54,L54&lt;0),IF(Q54&lt;10,"DAL10",IF(Q54&gt;=200,"DAM200",IF(Q54&gt;=150,"DAM150",IF(Q54&gt;=100,"DAM100",IF(Q54&gt;=50,"DAM50","DAM10-50"))))),0)</f>
        <v>0</v>
      </c>
      <c r="AI54">
        <f>IF(AND(P54&gt;=O54,L54&gt;0),IF(Q54&lt;10,"UAL10",IF(Q54&gt;=200,"UAM200",IF(Q54&gt;=150,"UAM150",IF(Q54&gt;=100,"UAM100",IF(Q54&gt;=50,"UAM50","UAM10-50"))))),0)</f>
        <v>0</v>
      </c>
      <c r="AJ54">
        <f>IF(AND(P54&lt;=N54,L54&gt;0),IF(Q54&lt;10,"UBL10",IF(Q54&gt;=200,"UBM200",IF(Q54&gt;=150,"UBM150",IF(Q54&gt;=100,"UBM100",IF(Q54&gt;=50,"UBM50","UBM10-50"))))),0)</f>
        <v>0</v>
      </c>
      <c r="AK54" t="s">
        <f>IF(Q54&lt;273,"down",IF(Q54=273,273,IF(Q54&gt;273,"up")))</f>
        <v>6</v>
      </c>
    </row>
    <row r="55" spans="1:37">
      <c r="A55">
        <f>IF(X55=6415,6415,"Error")</f>
        <v>6415</v>
      </c>
      <c r="B55" t="s">
        <f>IF(K55&lt;1775,"down",IF(K55=1775,"low",IF(K55=1835,"high",IF(AND(K55&gt;1775,K55&lt;1835),"normal","up"))))</f>
        <v>79</v>
      </c>
      <c r="C55" t="s">
        <f>IF(K55&lt;1775,"down",IF(K55=1775,"low",IF(K55=1835,"high",IF(AND(K55&gt;1775,K55&lt;1835),"normal","up"))))</f>
        <v>79</v>
      </c>
      <c r="D55" t="s">
        <f>IF(K55&lt;1775,"down",IF(K55=1775,"low",IF(K55=1835,"high",IF(AND(K55&gt;1775,K55&lt;1835),"normal","up"))))</f>
        <v>79</v>
      </c>
      <c r="E55" t="s">
        <f>IF(K55&lt;1700,"down",IF(K55=1700,"low",IF(K55=1905,"high",IF(AND(K55&gt;1700,K55&lt;1905),"normal","up"))))</f>
        <v>79</v>
      </c>
      <c r="F55" t="s">
        <f>IF(P55&lt;1785,"PVP-down",IF(P55=1785,1785,IF(P55&gt;1785,"PVP-up")))</f>
        <v>80</v>
      </c>
      <c r="G55" t="s">
        <f>IF(R55&lt;55,"PVV-down",IF(R55=55,55,IF(R55&gt;55,"PVV-up")))</f>
        <v>81</v>
      </c>
      <c r="H55" s="40">
        <f>R55/(Y55/10000)</f>
        <v>0.002440799890261637</v>
      </c>
      <c r="I55">
        <v>1785</v>
      </c>
      <c r="J55">
        <v>1750</v>
      </c>
      <c r="K55">
        <v>1780</v>
      </c>
      <c r="L55">
        <v>-35</v>
      </c>
      <c r="M55">
        <v>-0.019599999999999999</v>
      </c>
      <c r="N55">
        <v>1750</v>
      </c>
      <c r="O55">
        <v>1765</v>
      </c>
      <c r="P55">
        <v>1750</v>
      </c>
      <c r="Q55">
        <v>34</v>
      </c>
      <c r="R55">
        <v>225</v>
      </c>
      <c r="S55">
        <v>181</v>
      </c>
      <c r="T55" s="40">
        <f>((P55-K55)/K55)</f>
        <v>-0.016853932584269662</v>
      </c>
      <c r="U55" s="40">
        <f>((T55*AB55)*D4)</f>
        <v>-0.9743606098755635</v>
      </c>
      <c r="V55" s="3">
        <f>IF(P55&lt;=N55,(P55*Q55*1000),0)</f>
        <v>59500000</v>
      </c>
      <c r="W55" s="3">
        <f>IF(P55&gt;=O55,(P55*Q55*1000),0)</f>
        <v>0</v>
      </c>
      <c r="X55">
        <v>6415</v>
      </c>
      <c r="Y55" s="3">
        <v>921828950</v>
      </c>
      <c r="Z55" s="40">
        <f>((C4*AB55)/P55)/10</f>
        <v>0.0030317116507182114</v>
      </c>
      <c r="AA55" s="40">
        <f>((M55*AB55)*C4)</f>
        <v>-1.0398770961963464</v>
      </c>
      <c r="AB55" s="40">
        <f>AE55/AE323</f>
        <v>0.0045235683391731084</v>
      </c>
      <c r="AC55" s="40">
        <f>AF55/AF323</f>
        <v>0.0045711707999480933</v>
      </c>
      <c r="AD55" s="3">
        <f>IF(ISNA(J55),(I55*Y55)/10,(J55*Y55)/10)</f>
        <v>161320066250</v>
      </c>
      <c r="AE55" s="3">
        <f>IF(ISNA(P55),(I55*Y55)/10,(P55*Y55)/10)</f>
        <v>161320066250</v>
      </c>
      <c r="AF55" s="3">
        <f>(I55*Y55)/10</f>
        <v>164546467575</v>
      </c>
      <c r="AG55" t="s">
        <f>IF(AND(P55&lt;=N55,L55&lt;0),IF(Q55&lt;10,"DBL10",IF(Q55&gt;=200,"DBM200",IF(Q55&gt;=150,"DBM150",IF(Q55&gt;=100,"DBM100",IF(Q55&gt;=50,"DBM50","DBM10-50"))))),0)</f>
        <v>12</v>
      </c>
      <c r="AH55">
        <f>IF(AND(P55&gt;=O55,L55&lt;0),IF(Q55&lt;10,"DAL10",IF(Q55&gt;=200,"DAM200",IF(Q55&gt;=150,"DAM150",IF(Q55&gt;=100,"DAM100",IF(Q55&gt;=50,"DAM50","DAM10-50"))))),0)</f>
        <v>0</v>
      </c>
      <c r="AI55">
        <f>IF(AND(P55&gt;=O55,L55&gt;0),IF(Q55&lt;10,"UAL10",IF(Q55&gt;=200,"UAM200",IF(Q55&gt;=150,"UAM150",IF(Q55&gt;=100,"UAM100",IF(Q55&gt;=50,"UAM50","UAM10-50"))))),0)</f>
        <v>0</v>
      </c>
      <c r="AJ55">
        <f>IF(AND(P55&lt;=N55,L55&gt;0),IF(Q55&lt;10,"UBL10",IF(Q55&gt;=200,"UBM200",IF(Q55&gt;=150,"UBM150",IF(Q55&gt;=100,"UBM100",IF(Q55&gt;=50,"UBM50","UBM10-50"))))),0)</f>
        <v>0</v>
      </c>
      <c r="AK55" t="s">
        <f>IF(Q55&lt;0,"down",IF(Q55=0,0,IF(Q55&gt;0,"up")))</f>
        <v>6</v>
      </c>
    </row>
    <row r="56" spans="1:37">
      <c r="A56">
        <f>IF(X56=4938,4938,"Error")</f>
        <v>4938</v>
      </c>
      <c r="B56" t="s">
        <f>IF(K56&lt;63.299999999999997,"down",IF(K56=63.299999999999997,"low",IF(K56=64,"high",IF(AND(K56&gt;63.299999999999997,K56&lt;64),"normal","up"))))</f>
        <v>79</v>
      </c>
      <c r="C56" t="s">
        <f>IF(K56&lt;63.299999999999997,"down",IF(K56=63.299999999999997,"low",IF(K56=64,"high",IF(AND(K56&gt;63.299999999999997,K56&lt;64),"normal","up"))))</f>
        <v>79</v>
      </c>
      <c r="D56" t="s">
        <f>IF(K56&lt;63.299999999999997,"down",IF(K56=63.299999999999997,"low",IF(K56=64,"high",IF(AND(K56&gt;63.299999999999997,K56&lt;64),"normal","up"))))</f>
        <v>79</v>
      </c>
      <c r="E56" t="s">
        <f>IF(K56&lt;61.700000000000003,"down",IF(K56=61.700000000000003,"low",IF(K56=64.5,"high",IF(AND(K56&gt;61.700000000000003,K56&lt;64.5),"normal","up"))))</f>
        <v>79</v>
      </c>
      <c r="F56" t="s">
        <f>IF(P56&lt;63.700000000000003,"PVP-down",IF(P56=63.700000000000003,63.700000000000003,IF(P56&gt;63.700000000000003,"PVP-up")))</f>
        <v>80</v>
      </c>
      <c r="G56" t="s">
        <f>IF(R56&lt;2158,"PVV-down",IF(R56=2158,2158,IF(R56&gt;2158,"PVV-up")))</f>
        <v>81</v>
      </c>
      <c r="H56" s="40">
        <f>R56/(Y56/10000)</f>
        <v>0.0026881071173042023</v>
      </c>
      <c r="I56">
        <v>63.600000000000001</v>
      </c>
      <c r="J56">
        <v>62</v>
      </c>
      <c r="K56">
        <v>63.600000000000001</v>
      </c>
      <c r="L56">
        <v>-1.6000000000000001</v>
      </c>
      <c r="M56">
        <v>-0.0252</v>
      </c>
      <c r="N56">
        <v>62</v>
      </c>
      <c r="O56">
        <v>62.100000000000001</v>
      </c>
      <c r="P56">
        <v>62</v>
      </c>
      <c r="Q56">
        <v>575</v>
      </c>
      <c r="R56">
        <v>7018</v>
      </c>
      <c r="S56">
        <v>7480</v>
      </c>
      <c r="T56" s="40">
        <f>((P56-K56)/K56)</f>
        <v>-0.025157232704402538</v>
      </c>
      <c r="U56" s="40">
        <f>((T56*AB56)*D4)</f>
        <v>-1.4593229891994457</v>
      </c>
      <c r="V56" s="3">
        <f>IF(P56&lt;=N56,(P56*Q56*1000),0)</f>
        <v>35650000</v>
      </c>
      <c r="W56" s="3">
        <f>IF(P56&gt;=O56,(P56*Q56*1000),0)</f>
        <v>0</v>
      </c>
      <c r="X56">
        <v>4938</v>
      </c>
      <c r="Y56" s="3">
        <v>26107590560</v>
      </c>
      <c r="Z56" s="40">
        <f>((C4*AB56)/P56)/10</f>
        <v>0.085862660825452256</v>
      </c>
      <c r="AA56" s="40">
        <f>((M56*AB56)*C4)</f>
        <v>-1.3415182127368661</v>
      </c>
      <c r="AB56" s="40">
        <f>AE56/AE323</f>
        <v>0.0045389066062928576</v>
      </c>
      <c r="AC56" s="40">
        <f>AF56/AF323</f>
        <v>0.0046127805534824408</v>
      </c>
      <c r="AD56" s="3">
        <f>IF(ISNA(J56),(I56*Y56)/10,(J56*Y56)/10)</f>
        <v>161867061472</v>
      </c>
      <c r="AE56" s="3">
        <f>IF(ISNA(P56),(I56*Y56)/10,(P56*Y56)/10)</f>
        <v>161867061472</v>
      </c>
      <c r="AF56" s="3">
        <f>(I56*Y56)/10</f>
        <v>166044275961.60001</v>
      </c>
      <c r="AG56" t="s">
        <f>IF(AND(P56&lt;=N56,L56&lt;0),IF(Q56&lt;10,"DBL10",IF(Q56&gt;=200,"DBM200",IF(Q56&gt;=150,"DBM150",IF(Q56&gt;=100,"DBM100",IF(Q56&gt;=50,"DBM50","DBM10-50"))))),0)</f>
        <v>16</v>
      </c>
      <c r="AH56">
        <f>IF(AND(P56&gt;=O56,L56&lt;0),IF(Q56&lt;10,"DAL10",IF(Q56&gt;=200,"DAM200",IF(Q56&gt;=150,"DAM150",IF(Q56&gt;=100,"DAM100",IF(Q56&gt;=50,"DAM50","DAM10-50"))))),0)</f>
        <v>0</v>
      </c>
      <c r="AI56">
        <f>IF(AND(P56&gt;=O56,L56&gt;0),IF(Q56&lt;10,"UAL10",IF(Q56&gt;=200,"UAM200",IF(Q56&gt;=150,"UAM150",IF(Q56&gt;=100,"UAM100",IF(Q56&gt;=50,"UAM50","UAM10-50"))))),0)</f>
        <v>0</v>
      </c>
      <c r="AJ56">
        <f>IF(AND(P56&lt;=N56,L56&gt;0),IF(Q56&lt;10,"UBL10",IF(Q56&gt;=200,"UBM200",IF(Q56&gt;=150,"UBM150",IF(Q56&gt;=100,"UBM100",IF(Q56&gt;=50,"UBM50","UBM10-50"))))),0)</f>
        <v>0</v>
      </c>
      <c r="AK56" t="s">
        <f>IF(Q56&lt;81,"down",IF(Q56=81,81,IF(Q56&gt;81,"up")))</f>
        <v>6</v>
      </c>
    </row>
    <row r="57" spans="1:37">
      <c r="A57">
        <f>IF(X57=2357,2357,"Error")</f>
        <v>2357</v>
      </c>
      <c r="B57" t="s">
        <f>IF(K57&lt;228.5,"down",IF(K57=228.5,"low",IF(K57=232.5,"high",IF(AND(K57&gt;228.5,K57&lt;232.5),"normal","up"))))</f>
        <v>79</v>
      </c>
      <c r="C57" t="s">
        <f>IF(K57&lt;228.5,"down",IF(K57=228.5,"low",IF(K57=232.5,"high",IF(AND(K57&gt;228.5,K57&lt;232.5),"normal","up"))))</f>
        <v>79</v>
      </c>
      <c r="D57" t="s">
        <f>IF(K57&lt;228.5,"down",IF(K57=228.5,"low",IF(K57=232.5,"high",IF(AND(K57&gt;228.5,K57&lt;232.5),"normal","up"))))</f>
        <v>79</v>
      </c>
      <c r="E57" t="s">
        <f>IF(K57&lt;212.5,"down",IF(K57=212.5,"low",IF(K57=232.5,"high",IF(AND(K57&gt;212.5,K57&lt;232.5),"normal","up"))))</f>
        <v>79</v>
      </c>
      <c r="F57" t="s">
        <f>IF(P57&lt;230.5,"PVP-down",IF(P57=230.5,230.5,IF(P57&gt;230.5,"PVP-up")))</f>
        <v>80</v>
      </c>
      <c r="G57" t="s">
        <f>IF(R57&lt;970,"PVV-down",IF(R57=970,970,IF(R57&gt;970,"PVV-up")))</f>
        <v>81</v>
      </c>
      <c r="H57" s="40">
        <f>R57/(Y57/10000)</f>
        <v>0.0039730180509921723</v>
      </c>
      <c r="I57">
        <v>230.5</v>
      </c>
      <c r="J57">
        <v>229.5</v>
      </c>
      <c r="K57">
        <v>232</v>
      </c>
      <c r="L57">
        <v>-1</v>
      </c>
      <c r="M57">
        <v>-0.0043</v>
      </c>
      <c r="N57">
        <v>229</v>
      </c>
      <c r="O57">
        <v>229.5</v>
      </c>
      <c r="P57">
        <v>229.5</v>
      </c>
      <c r="Q57">
        <v>227</v>
      </c>
      <c r="R57">
        <v>2951</v>
      </c>
      <c r="S57">
        <v>3185</v>
      </c>
      <c r="T57" s="40">
        <f>((P57-K57)/K57)</f>
        <v>-0.010775862068965518</v>
      </c>
      <c r="U57" s="40">
        <f>((T57*AB57)*D4)</f>
        <v>-0.65828424248492823</v>
      </c>
      <c r="V57" s="3">
        <f>IF(P57&lt;=N57,(P57*Q57*1000),0)</f>
        <v>0</v>
      </c>
      <c r="W57" s="3">
        <f>IF(P57&gt;=O57,(P57*Q57*1000),0)</f>
        <v>52096500</v>
      </c>
      <c r="X57">
        <v>2357</v>
      </c>
      <c r="Y57" s="3">
        <v>7427602800</v>
      </c>
      <c r="Z57" s="40">
        <f>((C4*AB57)/P57)/10</f>
        <v>0.024427904922781185</v>
      </c>
      <c r="AA57" s="40">
        <f>((M57*AB57)*C4)</f>
        <v>-0.24106677973046611</v>
      </c>
      <c r="AB57" s="40">
        <f>AE57/AE323</f>
        <v>0.0047799584906485218</v>
      </c>
      <c r="AC57" s="40">
        <f>AF57/AF323</f>
        <v>0.0047561822343789115</v>
      </c>
      <c r="AD57" s="3">
        <f>IF(ISNA(J57),(I57*Y57)/10,(J57*Y57)/10)</f>
        <v>170463484260</v>
      </c>
      <c r="AE57" s="3">
        <f>IF(ISNA(P57),(I57*Y57)/10,(P57*Y57)/10)</f>
        <v>170463484260</v>
      </c>
      <c r="AF57" s="3">
        <f>(I57*Y57)/10</f>
        <v>171206244540</v>
      </c>
      <c r="AG57">
        <f>IF(AND(P57&lt;=N57,L57&lt;0),IF(Q57&lt;10,"DBL10",IF(Q57&gt;=200,"DBM200",IF(Q57&gt;=150,"DBM150",IF(Q57&gt;=100,"DBM100",IF(Q57&gt;=50,"DBM50","DBM10-50"))))),0)</f>
        <v>0</v>
      </c>
      <c r="AH57" t="s">
        <f>IF(AND(P57&gt;=O57,L57&lt;0),IF(Q57&lt;10,"DAL10",IF(Q57&gt;=200,"DAM200",IF(Q57&gt;=150,"DAM150",IF(Q57&gt;=100,"DAM100",IF(Q57&gt;=50,"DAM50","DAM10-50"))))),0)</f>
        <v>26</v>
      </c>
      <c r="AI57">
        <f>IF(AND(P57&gt;=O57,L57&gt;0),IF(Q57&lt;10,"UAL10",IF(Q57&gt;=200,"UAM200",IF(Q57&gt;=150,"UAM150",IF(Q57&gt;=100,"UAM100",IF(Q57&gt;=50,"UAM50","UAM10-50"))))),0)</f>
        <v>0</v>
      </c>
      <c r="AJ57">
        <f>IF(AND(P57&lt;=N57,L57&gt;0),IF(Q57&lt;10,"UBL10",IF(Q57&gt;=200,"UBM200",IF(Q57&gt;=150,"UBM150",IF(Q57&gt;=100,"UBM100",IF(Q57&gt;=50,"UBM50","UBM10-50"))))),0)</f>
        <v>0</v>
      </c>
      <c r="AK57" t="s">
        <f>IF(Q57&lt;188,"down",IF(Q57=188,188,IF(Q57&gt;188,"up")))</f>
        <v>6</v>
      </c>
    </row>
    <row r="58" spans="1:37">
      <c r="A58">
        <f>IF(X58=6669,6669,"Error")</f>
        <v>6669</v>
      </c>
      <c r="B58" t="s">
        <f>IF(K58&lt;785,"down",IF(K58=785,"low",IF(K58=854,"high",IF(AND(K58&gt;785,K58&lt;854),"normal","up"))))</f>
        <v>79</v>
      </c>
      <c r="C58" t="s">
        <f>IF(K58&lt;785,"down",IF(K58=785,"low",IF(K58=854,"high",IF(AND(K58&gt;785,K58&lt;854),"normal","up"))))</f>
        <v>79</v>
      </c>
      <c r="D58" t="s">
        <f>IF(K58&lt;785,"down",IF(K58=785,"low",IF(K58=854,"high",IF(AND(K58&gt;785,K58&lt;854),"normal","up"))))</f>
        <v>79</v>
      </c>
      <c r="E58" t="s">
        <f>IF(K58&lt;767,"down",IF(K58=767,"low",IF(K58=854,"high",IF(AND(K58&gt;767,K58&lt;854),"normal","up"))))</f>
        <v>79</v>
      </c>
      <c r="F58" t="s">
        <f>IF(P58&lt;835,"PVP-down",IF(P58=835,835,IF(P58&gt;835,"PVP-up")))</f>
        <v>80</v>
      </c>
      <c r="G58" t="s">
        <f>IF(R58&lt;418,"PVV-down",IF(R58=418,418,IF(R58&gt;418,"PVV-up")))</f>
        <v>81</v>
      </c>
      <c r="H58" s="40">
        <f>R58/(Y58/10000)</f>
        <v>0.019314714722378487</v>
      </c>
      <c r="I58">
        <v>838</v>
      </c>
      <c r="J58">
        <v>789</v>
      </c>
      <c r="K58">
        <v>843</v>
      </c>
      <c r="L58">
        <v>-52</v>
      </c>
      <c r="M58">
        <v>-0.062100000000000002</v>
      </c>
      <c r="N58">
        <v>786</v>
      </c>
      <c r="O58">
        <v>787</v>
      </c>
      <c r="P58">
        <v>786</v>
      </c>
      <c r="Q58">
        <v>171</v>
      </c>
      <c r="R58">
        <v>3377</v>
      </c>
      <c r="S58">
        <v>4504</v>
      </c>
      <c r="T58" s="40">
        <f>((P58-K58)/K58)</f>
        <v>-0.067615658362989328</v>
      </c>
      <c r="U58" s="40">
        <f>((T58*AB58)*D4)</f>
        <v>-3.329987967083162</v>
      </c>
      <c r="V58" s="3">
        <f>IF(P58&lt;=N58,(P58*Q58*1000),0)</f>
        <v>134406000</v>
      </c>
      <c r="W58" s="3">
        <f>IF(P58&gt;=O58,(P58*Q58*1000),0)</f>
        <v>0</v>
      </c>
      <c r="X58">
        <v>6669</v>
      </c>
      <c r="Y58" s="3">
        <v>1748407910</v>
      </c>
      <c r="Z58" s="40">
        <f>((C4*AB58)/P58)/10</f>
        <v>0.0057501650723324298</v>
      </c>
      <c r="AA58" s="40">
        <f>((M58*AB58)*C4)</f>
        <v>-2.806690072795893</v>
      </c>
      <c r="AB58" s="40">
        <f>AE58/AE323</f>
        <v>0.0038535240405591881</v>
      </c>
      <c r="AC58" s="40">
        <f>AF58/AF323</f>
        <v>0.0040702929399769276</v>
      </c>
      <c r="AD58" s="3">
        <f>IF(ISNA(J58),(I58*Y58)/10,(J58*Y58)/10)</f>
        <v>137949384099</v>
      </c>
      <c r="AE58" s="3">
        <f>IF(ISNA(P58),(I58*Y58)/10,(P58*Y58)/10)</f>
        <v>137424861726</v>
      </c>
      <c r="AF58" s="3">
        <f>(I58*Y58)/10</f>
        <v>146516582858</v>
      </c>
      <c r="AG58" t="s">
        <f>IF(AND(P58&lt;=N58,L58&lt;0),IF(Q58&lt;10,"DBL10",IF(Q58&gt;=200,"DBM200",IF(Q58&gt;=150,"DBM150",IF(Q58&gt;=100,"DBM100",IF(Q58&gt;=50,"DBM50","DBM10-50"))))),0)</f>
        <v>15</v>
      </c>
      <c r="AH58">
        <f>IF(AND(P58&gt;=O58,L58&lt;0),IF(Q58&lt;10,"DAL10",IF(Q58&gt;=200,"DAM200",IF(Q58&gt;=150,"DAM150",IF(Q58&gt;=100,"DAM100",IF(Q58&gt;=50,"DAM50","DAM10-50"))))),0)</f>
        <v>0</v>
      </c>
      <c r="AI58">
        <f>IF(AND(P58&gt;=O58,L58&gt;0),IF(Q58&lt;10,"UAL10",IF(Q58&gt;=200,"UAM200",IF(Q58&gt;=150,"UAM150",IF(Q58&gt;=100,"UAM100",IF(Q58&gt;=50,"UAM50","UAM10-50"))))),0)</f>
        <v>0</v>
      </c>
      <c r="AJ58">
        <f>IF(AND(P58&lt;=N58,L58&gt;0),IF(Q58&lt;10,"UBL10",IF(Q58&gt;=200,"UBM200",IF(Q58&gt;=150,"UBM150",IF(Q58&gt;=100,"UBM100",IF(Q58&gt;=50,"UBM50","UBM10-50"))))),0)</f>
        <v>0</v>
      </c>
      <c r="AK58" t="s">
        <f>IF(Q58&lt;132,"down",IF(Q58=132,132,IF(Q58&gt;132,"up")))</f>
        <v>6</v>
      </c>
    </row>
    <row r="59" spans="1:37">
      <c r="A59">
        <f>IF(X59=2345,2345,"Error")</f>
        <v>2345</v>
      </c>
      <c r="B59" t="s">
        <f>IF(K59&lt;218,"down",IF(K59=218,"low",IF(K59=226,"high",IF(AND(K59&gt;218,K59&lt;226),"normal","up"))))</f>
        <v>79</v>
      </c>
      <c r="C59" t="s">
        <f>IF(K59&lt;218,"down",IF(K59=218,"low",IF(K59=226,"high",IF(AND(K59&gt;218,K59&lt;226),"normal","up"))))</f>
        <v>79</v>
      </c>
      <c r="D59" t="s">
        <f>IF(K59&lt;218,"down",IF(K59=218,"low",IF(K59=226,"high",IF(AND(K59&gt;218,K59&lt;226),"normal","up"))))</f>
        <v>79</v>
      </c>
      <c r="E59" t="s">
        <f>IF(K59&lt;218,"down",IF(K59=218,"low",IF(K59=251,"high",IF(AND(K59&gt;218,K59&lt;251),"normal","up"))))</f>
        <v>79</v>
      </c>
      <c r="F59" t="s">
        <f>IF(P59&lt;220,"PVP-down",IF(P59=220,220,IF(P59&gt;220,"PVP-up")))</f>
        <v>80</v>
      </c>
      <c r="G59" t="s">
        <f>IF(R59&lt;684,"PVV-down",IF(R59=684,684,IF(R59&gt;684,"PVV-up")))</f>
        <v>81</v>
      </c>
      <c r="H59" s="40">
        <f>R59/(Y59/10000)</f>
        <v>0.014470505277762289</v>
      </c>
      <c r="I59">
        <v>220</v>
      </c>
      <c r="J59">
        <v>209</v>
      </c>
      <c r="K59">
        <v>218.5</v>
      </c>
      <c r="L59">
        <v>-11</v>
      </c>
      <c r="M59">
        <v>-0.050000000000000003</v>
      </c>
      <c r="N59">
        <v>209</v>
      </c>
      <c r="O59">
        <v>209.5</v>
      </c>
      <c r="P59">
        <v>209</v>
      </c>
      <c r="Q59">
        <v>509</v>
      </c>
      <c r="R59">
        <v>8082</v>
      </c>
      <c r="S59">
        <v>3283</v>
      </c>
      <c r="T59" s="40">
        <f>((P59-K59)/K59)</f>
        <v>-0.043478260869565216</v>
      </c>
      <c r="U59" s="40">
        <f>((T59*AB59)*D4)</f>
        <v>-1.81879467783043</v>
      </c>
      <c r="V59" s="3">
        <f>IF(P59&lt;=N59,(P59*Q59*1000),0)</f>
        <v>106381000</v>
      </c>
      <c r="W59" s="3">
        <f>IF(P59&gt;=O59,(P59*Q59*1000),0)</f>
        <v>0</v>
      </c>
      <c r="X59">
        <v>2345</v>
      </c>
      <c r="Y59" s="3">
        <v>5585153970</v>
      </c>
      <c r="Z59" s="40">
        <f>((C4*AB59)/P59)/10</f>
        <v>0.018368458011547663</v>
      </c>
      <c r="AA59" s="40">
        <f>((M59*AB59)*C4)</f>
        <v>-1.9195038622067309</v>
      </c>
      <c r="AB59" s="40">
        <f>AE59/AE323</f>
        <v>0.003273212494501247</v>
      </c>
      <c r="AC59" s="40">
        <f>AF59/AF323</f>
        <v>0.0034134749203492262</v>
      </c>
      <c r="AD59" s="3">
        <f>IF(ISNA(J59),(I59*Y59)/10,(J59*Y59)/10)</f>
        <v>116729717973</v>
      </c>
      <c r="AE59" s="3">
        <f>IF(ISNA(P59),(I59*Y59)/10,(P59*Y59)/10)</f>
        <v>116729717973</v>
      </c>
      <c r="AF59" s="3">
        <f>(I59*Y59)/10</f>
        <v>122873387340</v>
      </c>
      <c r="AG59" t="s">
        <f>IF(AND(P59&lt;=N59,L59&lt;0),IF(Q59&lt;10,"DBL10",IF(Q59&gt;=200,"DBM200",IF(Q59&gt;=150,"DBM150",IF(Q59&gt;=100,"DBM100",IF(Q59&gt;=50,"DBM50","DBM10-50"))))),0)</f>
        <v>16</v>
      </c>
      <c r="AH59">
        <f>IF(AND(P59&gt;=O59,L59&lt;0),IF(Q59&lt;10,"DAL10",IF(Q59&gt;=200,"DAM200",IF(Q59&gt;=150,"DAM150",IF(Q59&gt;=100,"DAM100",IF(Q59&gt;=50,"DAM50","DAM10-50"))))),0)</f>
        <v>0</v>
      </c>
      <c r="AI59">
        <f>IF(AND(P59&gt;=O59,L59&gt;0),IF(Q59&lt;10,"UAL10",IF(Q59&gt;=200,"UAM200",IF(Q59&gt;=150,"UAM150",IF(Q59&gt;=100,"UAM100",IF(Q59&gt;=50,"UAM50","UAM10-50"))))),0)</f>
        <v>0</v>
      </c>
      <c r="AJ59">
        <f>IF(AND(P59&lt;=N59,L59&gt;0),IF(Q59&lt;10,"UBL10",IF(Q59&gt;=200,"UBM200",IF(Q59&gt;=150,"UBM150",IF(Q59&gt;=100,"UBM100",IF(Q59&gt;=50,"UBM50","UBM10-50"))))),0)</f>
        <v>0</v>
      </c>
      <c r="AK59" t="s">
        <f>IF(Q59&lt;174,"down",IF(Q59=174,174,IF(Q59&gt;174,"up")))</f>
        <v>6</v>
      </c>
    </row>
    <row r="60" spans="1:37">
      <c r="A60">
        <f>IF(X60=5269,5269,"Error")</f>
        <v>5269</v>
      </c>
      <c r="B60" t="s">
        <f>IF(K60&lt;1810,"down",IF(K60=1810,"low",IF(K60=1930,"high",IF(AND(K60&gt;1810,K60&lt;1930),"normal","up"))))</f>
        <v>79</v>
      </c>
      <c r="C60" t="s">
        <f>IF(K60&lt;1810,"down",IF(K60=1810,"low",IF(K60=1930,"high",IF(AND(K60&gt;1810,K60&lt;1930),"normal","up"))))</f>
        <v>79</v>
      </c>
      <c r="D60" t="s">
        <f>IF(K60&lt;1810,"down",IF(K60=1810,"low",IF(K60=1930,"high",IF(AND(K60&gt;1810,K60&lt;1930),"normal","up"))))</f>
        <v>79</v>
      </c>
      <c r="E60" t="s">
        <f>IF(K60&lt;1760,"down",IF(K60=1760,"low",IF(K60=1960,"high",IF(AND(K60&gt;1760,K60&lt;1960),"normal","up"))))</f>
        <v>79</v>
      </c>
      <c r="F60" t="s">
        <f>IF(P60&lt;1815,"PVP-down",IF(P60=1815,1815,IF(P60&gt;1815,"PVP-up")))</f>
        <v>80</v>
      </c>
      <c r="G60" t="s">
        <f>IF(R60&lt;125,"PVV-down",IF(R60=125,125,IF(R60&gt;125,"PVV-up")))</f>
        <v>81</v>
      </c>
      <c r="H60" s="40">
        <f>R60/(Y60/10000)</f>
        <v>0.016497440058133396</v>
      </c>
      <c r="I60">
        <v>1815</v>
      </c>
      <c r="J60">
        <v>1800</v>
      </c>
      <c r="K60">
        <v>1825</v>
      </c>
      <c r="L60">
        <v>-15</v>
      </c>
      <c r="M60">
        <v>-0.0083000000000000001</v>
      </c>
      <c r="N60">
        <v>1795</v>
      </c>
      <c r="O60">
        <v>1800</v>
      </c>
      <c r="P60">
        <v>1800</v>
      </c>
      <c r="Q60">
        <v>138</v>
      </c>
      <c r="R60">
        <v>1142</v>
      </c>
      <c r="S60">
        <v>1068</v>
      </c>
      <c r="T60" s="40">
        <f>((P60-K60)/K60)</f>
        <v>-0.013698630136986301</v>
      </c>
      <c r="U60" s="40">
        <f>((T60*AB60)*D4)</f>
        <v>-0.61168701920411495</v>
      </c>
      <c r="V60" s="3">
        <f>IF(P60&lt;=N60,(P60*Q60*1000),0)</f>
        <v>0</v>
      </c>
      <c r="W60" s="3">
        <f>IF(P60&gt;=O60,(P60*Q60*1000),0)</f>
        <v>248400000</v>
      </c>
      <c r="X60">
        <v>5269</v>
      </c>
      <c r="Y60" s="3">
        <v>692228610</v>
      </c>
      <c r="Z60" s="40">
        <f>((C4*AB60)/P60)/10</f>
        <v>0.0022766019030943572</v>
      </c>
      <c r="AA60" s="40">
        <f>((M60*AB60)*C4)</f>
        <v>-0.34012432432229694</v>
      </c>
      <c r="AB60" s="40">
        <f>AE60/AE323</f>
        <v>0.0034939349416480028</v>
      </c>
      <c r="AC60" s="40">
        <f>AF60/AF323</f>
        <v>0.0034903185032357214</v>
      </c>
      <c r="AD60" s="3">
        <f>IF(ISNA(J60),(I60*Y60)/10,(J60*Y60)/10)</f>
        <v>124601149800</v>
      </c>
      <c r="AE60" s="3">
        <f>IF(ISNA(P60),(I60*Y60)/10,(P60*Y60)/10)</f>
        <v>124601149800</v>
      </c>
      <c r="AF60" s="3">
        <f>(I60*Y60)/10</f>
        <v>125639492715</v>
      </c>
      <c r="AG60">
        <f>IF(AND(P60&lt;=N60,L60&lt;0),IF(Q60&lt;10,"DBL10",IF(Q60&gt;=200,"DBM200",IF(Q60&gt;=150,"DBM150",IF(Q60&gt;=100,"DBM100",IF(Q60&gt;=50,"DBM50","DBM10-50"))))),0)</f>
        <v>0</v>
      </c>
      <c r="AH60" t="s">
        <f>IF(AND(P60&gt;=O60,L60&lt;0),IF(Q60&lt;10,"DAL10",IF(Q60&gt;=200,"DAM200",IF(Q60&gt;=150,"DAM150",IF(Q60&gt;=100,"DAM100",IF(Q60&gt;=50,"DAM50","DAM10-50"))))),0)</f>
        <v>24</v>
      </c>
      <c r="AI60">
        <f>IF(AND(P60&gt;=O60,L60&gt;0),IF(Q60&lt;10,"UAL10",IF(Q60&gt;=200,"UAM200",IF(Q60&gt;=150,"UAM150",IF(Q60&gt;=100,"UAM100",IF(Q60&gt;=50,"UAM50","UAM10-50"))))),0)</f>
        <v>0</v>
      </c>
      <c r="AJ60">
        <f>IF(AND(P60&lt;=N60,L60&gt;0),IF(Q60&lt;10,"UBL10",IF(Q60&gt;=200,"UBM200",IF(Q60&gt;=150,"UBM150",IF(Q60&gt;=100,"UBM100",IF(Q60&gt;=50,"UBM50","UBM10-50"))))),0)</f>
        <v>0</v>
      </c>
      <c r="AK60" t="s">
        <f>IF(Q60&lt;12,"down",IF(Q60=12,12,IF(Q60&gt;12,"up")))</f>
        <v>6</v>
      </c>
    </row>
    <row r="61" spans="1:37">
      <c r="A61">
        <f>IF(X61=4958,4958,"Error")</f>
        <v>4958</v>
      </c>
      <c r="B61" t="s">
        <f>IF(K61&lt;142.5,"down",IF(K61=142.5,"low",IF(K61=147.5,"high",IF(AND(K61&gt;142.5,K61&lt;147.5),"normal","up"))))</f>
        <v>79</v>
      </c>
      <c r="C61" t="s">
        <f>IF(K61&lt;142.5,"down",IF(K61=142.5,"low",IF(K61=147.5,"high",IF(AND(K61&gt;142.5,K61&lt;147.5),"normal","up"))))</f>
        <v>79</v>
      </c>
      <c r="D61" t="s">
        <f>IF(K61&lt;142.5,"down",IF(K61=142.5,"low",IF(K61=147.5,"high",IF(AND(K61&gt;142.5,K61&lt;147.5),"normal","up"))))</f>
        <v>79</v>
      </c>
      <c r="E61" t="s">
        <f>IF(K61&lt;129.5,"down",IF(K61=129.5,"low",IF(K61=151.5,"high",IF(AND(K61&gt;129.5,K61&lt;151.5),"normal","up"))))</f>
        <v>79</v>
      </c>
      <c r="F61" t="s">
        <f>IF(P61&lt;144,"PVP-down",IF(P61=144,144,IF(P61&gt;144,"PVP-up")))</f>
        <v>80</v>
      </c>
      <c r="G61" t="s">
        <f>IF(R61&lt;1513,"PVV-down",IF(R61=1513,1513,IF(R61&gt;1513,"PVV-up")))</f>
        <v>81</v>
      </c>
      <c r="H61" s="40">
        <f>R61/(Y61/10000)</f>
        <v>0.0090364995856094931</v>
      </c>
      <c r="I61">
        <v>144</v>
      </c>
      <c r="J61">
        <v>139</v>
      </c>
      <c r="K61">
        <v>144</v>
      </c>
      <c r="L61">
        <v>-5</v>
      </c>
      <c r="M61">
        <v>-0.034700000000000002</v>
      </c>
      <c r="N61">
        <v>139</v>
      </c>
      <c r="O61">
        <v>139.5</v>
      </c>
      <c r="P61">
        <v>139</v>
      </c>
      <c r="Q61">
        <v>410</v>
      </c>
      <c r="R61">
        <v>8153</v>
      </c>
      <c r="S61">
        <v>7731</v>
      </c>
      <c r="T61" s="40">
        <f>((P61-K61)/K61)</f>
        <v>-0.034722222222222224</v>
      </c>
      <c r="U61" s="40">
        <f>((T61*AB61)*D4)</f>
        <v>-1.5605209242621612</v>
      </c>
      <c r="V61" s="3">
        <f>IF(P61&lt;=N61,(P61*Q61*1000),0)</f>
        <v>56990000</v>
      </c>
      <c r="W61" s="3">
        <f>IF(P61&gt;=O61,(P61*Q61*1000),0)</f>
        <v>0</v>
      </c>
      <c r="X61">
        <v>4958</v>
      </c>
      <c r="Y61" s="3">
        <v>9022298870</v>
      </c>
      <c r="Z61" s="40">
        <f>((C4*AB61)/P61)/10</f>
        <v>0.029672542395680616</v>
      </c>
      <c r="AA61" s="40">
        <f>((M61*AB61)*C4)</f>
        <v>-1.4311957373708635</v>
      </c>
      <c r="AB61" s="40">
        <f>AE61/AE323</f>
        <v>0.0035166145901391324</v>
      </c>
      <c r="AC61" s="40">
        <f>AF61/AF323</f>
        <v>0.0036092634768216227</v>
      </c>
      <c r="AD61" s="3">
        <f>IF(ISNA(J61),(I61*Y61)/10,(J61*Y61)/10)</f>
        <v>125409954293</v>
      </c>
      <c r="AE61" s="3">
        <f>IF(ISNA(P61),(I61*Y61)/10,(P61*Y61)/10)</f>
        <v>125409954293</v>
      </c>
      <c r="AF61" s="3">
        <f>(I61*Y61)/10</f>
        <v>129921103728</v>
      </c>
      <c r="AG61" t="s">
        <f>IF(AND(P61&lt;=N61,L61&lt;0),IF(Q61&lt;10,"DBL10",IF(Q61&gt;=200,"DBM200",IF(Q61&gt;=150,"DBM150",IF(Q61&gt;=100,"DBM100",IF(Q61&gt;=50,"DBM50","DBM10-50"))))),0)</f>
        <v>16</v>
      </c>
      <c r="AH61">
        <f>IF(AND(P61&gt;=O61,L61&lt;0),IF(Q61&lt;10,"DAL10",IF(Q61&gt;=200,"DAM200",IF(Q61&gt;=150,"DAM150",IF(Q61&gt;=100,"DAM100",IF(Q61&gt;=50,"DAM50","DAM10-50"))))),0)</f>
        <v>0</v>
      </c>
      <c r="AI61">
        <f>IF(AND(P61&gt;=O61,L61&gt;0),IF(Q61&lt;10,"UAL10",IF(Q61&gt;=200,"UAM200",IF(Q61&gt;=150,"UAM150",IF(Q61&gt;=100,"UAM100",IF(Q61&gt;=50,"UAM50","UAM10-50"))))),0)</f>
        <v>0</v>
      </c>
      <c r="AJ61">
        <f>IF(AND(P61&lt;=N61,L61&gt;0),IF(Q61&lt;10,"UBL10",IF(Q61&gt;=200,"UBM200",IF(Q61&gt;=150,"UBM150",IF(Q61&gt;=100,"UBM100",IF(Q61&gt;=50,"UBM50","UBM10-50"))))),0)</f>
        <v>0</v>
      </c>
      <c r="AK61" t="s">
        <f>IF(Q61&lt;190,"down",IF(Q61=190,190,IF(Q61&gt;190,"up")))</f>
        <v>6</v>
      </c>
    </row>
    <row r="62" spans="1:37">
      <c r="A62">
        <f>IF(X62=2301,2301,"Error")</f>
        <v>2301</v>
      </c>
      <c r="B62" t="s">
        <f>IF(K62&lt;48.5,"down",IF(K62=48.5,"low",IF(K62=49,"high",IF(AND(K62&gt;48.5,K62&lt;49),"normal","up"))))</f>
        <v>7</v>
      </c>
      <c r="C62" t="s">
        <f>IF(K62&lt;48.5,"down",IF(K62=48.5,"low",IF(K62=49,"high",IF(AND(K62&gt;48.5,K62&lt;49),"normal","up"))))</f>
        <v>7</v>
      </c>
      <c r="D62" t="s">
        <f>IF(K62&lt;48.5,"down",IF(K62=48.5,"low",IF(K62=49,"high",IF(AND(K62&gt;48.5,K62&lt;49),"normal","up"))))</f>
        <v>7</v>
      </c>
      <c r="E62" t="s">
        <f>IF(K62&lt;48.100000000000001,"down",IF(K62=48.100000000000001,"low",IF(K62=50.5,"high",IF(AND(K62&gt;48.100000000000001,K62&lt;50.5),"normal","up"))))</f>
        <v>79</v>
      </c>
      <c r="F62" t="s">
        <f>IF(P62&lt;48.5,"PVP-down",IF(P62=48.5,48.5,IF(P62&gt;48.5,"PVP-up")))</f>
        <v>80</v>
      </c>
      <c r="G62" t="s">
        <f>IF(R62&lt;875,"PVV-down",IF(R62=875,875,IF(R62&gt;875,"PVV-up")))</f>
        <v>81</v>
      </c>
      <c r="H62" s="40">
        <f>R62/(Y62/10000)</f>
        <v>0.0032409319184327221</v>
      </c>
      <c r="I62">
        <v>48.5</v>
      </c>
      <c r="J62">
        <v>48</v>
      </c>
      <c r="K62">
        <v>48.450000000000003</v>
      </c>
      <c r="L62">
        <v>-0.5</v>
      </c>
      <c r="M62">
        <v>-0.0103</v>
      </c>
      <c r="N62">
        <v>47.950000000000003</v>
      </c>
      <c r="O62">
        <v>48</v>
      </c>
      <c r="P62">
        <v>48</v>
      </c>
      <c r="Q62">
        <v>896</v>
      </c>
      <c r="R62">
        <v>7619</v>
      </c>
      <c r="S62">
        <v>5415</v>
      </c>
      <c r="T62" s="40">
        <f>((P62-K62)/K62)</f>
        <v>-0.0092879256965944859</v>
      </c>
      <c r="U62" s="40">
        <f>((T62*AB62)*D4)</f>
        <v>-0.37559353635361326</v>
      </c>
      <c r="V62" s="3">
        <f>IF(P62&lt;=N62,(P62*Q62*1000),0)</f>
        <v>0</v>
      </c>
      <c r="W62" s="3">
        <f>IF(P62&gt;=O62,(P62*Q62*1000),0)</f>
        <v>43008000</v>
      </c>
      <c r="X62">
        <v>2301</v>
      </c>
      <c r="Y62" s="3">
        <v>23508670320</v>
      </c>
      <c r="Z62" s="40">
        <f>((C4*AB62)/P62)/10</f>
        <v>0.077315330248672959</v>
      </c>
      <c r="AA62" s="40">
        <f>((M62*AB62)*C4)</f>
        <v>-0.38224699274943902</v>
      </c>
      <c r="AB62" s="40">
        <f>AE62/AE323</f>
        <v>0.0031641864542498017</v>
      </c>
      <c r="AC62" s="40">
        <f>AF62/AF323</f>
        <v>0.0031674421344082349</v>
      </c>
      <c r="AD62" s="3">
        <f>IF(ISNA(J62),(I62*Y62)/10,(J62*Y62)/10)</f>
        <v>112841617536</v>
      </c>
      <c r="AE62" s="3">
        <f>IF(ISNA(P62),(I62*Y62)/10,(P62*Y62)/10)</f>
        <v>112841617536</v>
      </c>
      <c r="AF62" s="3">
        <f>(I62*Y62)/10</f>
        <v>114017051052</v>
      </c>
      <c r="AG62">
        <f>IF(AND(P62&lt;=N62,L62&lt;0),IF(Q62&lt;10,"DBL10",IF(Q62&gt;=200,"DBM200",IF(Q62&gt;=150,"DBM150",IF(Q62&gt;=100,"DBM100",IF(Q62&gt;=50,"DBM50","DBM10-50"))))),0)</f>
        <v>0</v>
      </c>
      <c r="AH62" t="s">
        <f>IF(AND(P62&gt;=O62,L62&lt;0),IF(Q62&lt;10,"DAL10",IF(Q62&gt;=200,"DAM200",IF(Q62&gt;=150,"DAM150",IF(Q62&gt;=100,"DAM100",IF(Q62&gt;=50,"DAM50","DAM10-50"))))),0)</f>
        <v>26</v>
      </c>
      <c r="AI62">
        <f>IF(AND(P62&gt;=O62,L62&gt;0),IF(Q62&lt;10,"UAL10",IF(Q62&gt;=200,"UAM200",IF(Q62&gt;=150,"UAM150",IF(Q62&gt;=100,"UAM100",IF(Q62&gt;=50,"UAM50","UAM10-50"))))),0)</f>
        <v>0</v>
      </c>
      <c r="AJ62">
        <f>IF(AND(P62&lt;=N62,L62&gt;0),IF(Q62&lt;10,"UBL10",IF(Q62&gt;=200,"UBM200",IF(Q62&gt;=150,"UBM150",IF(Q62&gt;=100,"UBM100",IF(Q62&gt;=50,"UBM50","UBM10-50"))))),0)</f>
        <v>0</v>
      </c>
      <c r="AK62" t="s">
        <f>IF(Q62&lt;118,"down",IF(Q62=118,118,IF(Q62&gt;118,"up")))</f>
        <v>6</v>
      </c>
    </row>
    <row r="63" spans="1:37">
      <c r="A63">
        <f>IF(X63=2377,2377,"Error")</f>
        <v>2377</v>
      </c>
      <c r="B63" t="s">
        <f>IF(K63&lt;132,"down",IF(K63=132,"low",IF(K63=139,"high",IF(AND(K63&gt;132,K63&lt;139),"normal","up"))))</f>
        <v>79</v>
      </c>
      <c r="C63" t="s">
        <f>IF(K63&lt;132,"down",IF(K63=132,"low",IF(K63=139,"high",IF(AND(K63&gt;132,K63&lt;139),"normal","up"))))</f>
        <v>79</v>
      </c>
      <c r="D63" t="s">
        <f>IF(K63&lt;132,"down",IF(K63=132,"low",IF(K63=139,"high",IF(AND(K63&gt;132,K63&lt;139),"normal","up"))))</f>
        <v>79</v>
      </c>
      <c r="E63" t="s">
        <f>IF(K63&lt;129,"down",IF(K63=129,"low",IF(K63=141,"high",IF(AND(K63&gt;129,K63&lt;141),"normal","up"))))</f>
        <v>79</v>
      </c>
      <c r="F63" t="s">
        <f>IF(P63&lt;133,"PVP-down",IF(P63=133,133,IF(P63&gt;133,"PVP-up")))</f>
        <v>83</v>
      </c>
      <c r="G63" t="s">
        <f>IF(R63&lt;1194,"PVV-down",IF(R63=1194,1194,IF(R63&gt;1194,"PVV-up")))</f>
        <v>81</v>
      </c>
      <c r="H63" s="40">
        <f>R63/(Y63/10000)</f>
        <v>0.006526554467525425</v>
      </c>
      <c r="I63">
        <v>133</v>
      </c>
      <c r="J63">
        <v>137</v>
      </c>
      <c r="K63">
        <v>134</v>
      </c>
      <c r="L63">
        <v>4</v>
      </c>
      <c r="M63">
        <v>0.030099999999999998</v>
      </c>
      <c r="N63">
        <v>136.5</v>
      </c>
      <c r="O63">
        <v>137</v>
      </c>
      <c r="P63">
        <v>137</v>
      </c>
      <c r="Q63">
        <v>435</v>
      </c>
      <c r="R63">
        <v>5514</v>
      </c>
      <c r="S63">
        <v>7178</v>
      </c>
      <c r="T63" s="40">
        <f>((P63-K63)/K63)</f>
        <v>0.022388059701492536</v>
      </c>
      <c r="U63" s="40">
        <f>((T63*AB63)*D4)</f>
        <v>0.92864535971950135</v>
      </c>
      <c r="V63" s="3">
        <f>IF(P63&lt;=N63,(P63*Q63*1000),0)</f>
        <v>0</v>
      </c>
      <c r="W63" s="3">
        <f>IF(P63&gt;=O63,(P63*Q63*1000),0)</f>
        <v>59595000</v>
      </c>
      <c r="X63">
        <v>2377</v>
      </c>
      <c r="Y63" s="3">
        <v>8448561990</v>
      </c>
      <c r="Z63" s="40">
        <f>((C4*AB63)/P63)/10</f>
        <v>0.027785636171328787</v>
      </c>
      <c r="AA63" s="40">
        <f>((M63*AB63)*C4)</f>
        <v>1.145796278797085</v>
      </c>
      <c r="AB63" s="40">
        <f>AE63/AE323</f>
        <v>0.0032456084560665947</v>
      </c>
      <c r="AC63" s="40">
        <f>AF63/AF323</f>
        <v>0.0031215717471422808</v>
      </c>
      <c r="AD63" s="3">
        <f>IF(ISNA(J63),(I63*Y63)/10,(J63*Y63)/10)</f>
        <v>115745299263</v>
      </c>
      <c r="AE63" s="3">
        <f>IF(ISNA(P63),(I63*Y63)/10,(P63*Y63)/10)</f>
        <v>115745299263</v>
      </c>
      <c r="AF63" s="3">
        <f>(I63*Y63)/10</f>
        <v>112365874467</v>
      </c>
      <c r="AG63">
        <f>IF(AND(P63&lt;=N63,L63&lt;0),IF(Q63&lt;10,"DBL10",IF(Q63&gt;=200,"DBM200",IF(Q63&gt;=150,"DBM150",IF(Q63&gt;=100,"DBM100",IF(Q63&gt;=50,"DBM50","DBM10-50"))))),0)</f>
        <v>0</v>
      </c>
      <c r="AH63">
        <f>IF(AND(P63&gt;=O63,L63&lt;0),IF(Q63&lt;10,"DAL10",IF(Q63&gt;=200,"DAM200",IF(Q63&gt;=150,"DAM150",IF(Q63&gt;=100,"DAM100",IF(Q63&gt;=50,"DAM50","DAM10-50"))))),0)</f>
        <v>0</v>
      </c>
      <c r="AI63" t="s">
        <f>IF(AND(P63&gt;=O63,L63&gt;0),IF(Q63&lt;10,"UAL10",IF(Q63&gt;=200,"UAM200",IF(Q63&gt;=150,"UAM150",IF(Q63&gt;=100,"UAM100",IF(Q63&gt;=50,"UAM50","UAM10-50"))))),0)</f>
        <v>31</v>
      </c>
      <c r="AJ63">
        <f>IF(AND(P63&lt;=N63,L63&gt;0),IF(Q63&lt;10,"UBL10",IF(Q63&gt;=200,"UBM200",IF(Q63&gt;=150,"UBM150",IF(Q63&gt;=100,"UBM100",IF(Q63&gt;=50,"UBM50","UBM10-50"))))),0)</f>
        <v>0</v>
      </c>
      <c r="AK63" t="s">
        <f>IF(Q63&lt;155,"down",IF(Q63=155,155,IF(Q63&gt;155,"up")))</f>
        <v>6</v>
      </c>
    </row>
    <row r="64" spans="1:37">
      <c r="A64">
        <f>IF(X64=3231,3231,"Error")</f>
        <v>3231</v>
      </c>
      <c r="B64" t="s">
        <f>IF(K64&lt;34.049999999999997,"down",IF(K64=34.049999999999997,"low",IF(K64=35.049999999999997,"high",IF(AND(K64&gt;34.049999999999997,K64&lt;35.049999999999997),"normal","up"))))</f>
        <v>79</v>
      </c>
      <c r="C64" t="s">
        <f>IF(K64&lt;34.049999999999997,"down",IF(K64=34.049999999999997,"low",IF(K64=35.049999999999997,"high",IF(AND(K64&gt;34.049999999999997,K64&lt;35.049999999999997),"normal","up"))))</f>
        <v>79</v>
      </c>
      <c r="D64" t="s">
        <f>IF(K64&lt;34.049999999999997,"down",IF(K64=34.049999999999997,"low",IF(K64=35.049999999999997,"high",IF(AND(K64&gt;34.049999999999997,K64&lt;35.049999999999997),"normal","up"))))</f>
        <v>79</v>
      </c>
      <c r="E64" t="s">
        <f>IF(K64&lt;33.649999999999999,"down",IF(K64=33.649999999999999,"low",IF(K64=35.700000000000003,"high",IF(AND(K64&gt;33.649999999999999,K64&lt;35.700000000000003),"normal","up"))))</f>
        <v>79</v>
      </c>
      <c r="F64" t="s">
        <f>IF(P64&lt;34.600000000000001,"PVP-down",IF(P64=34.600000000000001,34.600000000000001,IF(P64&gt;34.600000000000001,"PVP-up")))</f>
        <v>80</v>
      </c>
      <c r="G64" t="s">
        <f>IF(R64&lt;2013,"PVV-down",IF(R64=2013,2013,IF(R64&gt;2013,"PVV-up")))</f>
        <v>81</v>
      </c>
      <c r="H64" s="40">
        <f>R64/(Y64/10000)</f>
        <v>0.0052696389850208514</v>
      </c>
      <c r="I64">
        <v>34.5</v>
      </c>
      <c r="J64">
        <v>34</v>
      </c>
      <c r="K64">
        <v>34.600000000000001</v>
      </c>
      <c r="L64">
        <v>-0.5</v>
      </c>
      <c r="M64">
        <v>-0.014500000000000001</v>
      </c>
      <c r="N64">
        <v>33.950000000000003</v>
      </c>
      <c r="O64">
        <v>34</v>
      </c>
      <c r="P64">
        <v>34</v>
      </c>
      <c r="Q64">
        <v>1219</v>
      </c>
      <c r="R64">
        <v>14969</v>
      </c>
      <c r="S64">
        <v>18560</v>
      </c>
      <c r="T64" s="40">
        <f>((P64-K64)/K64)</f>
        <v>-0.017341040462427786</v>
      </c>
      <c r="U64" s="40">
        <f>((T64*AB64)*D4)</f>
        <v>-0.60020010646113298</v>
      </c>
      <c r="V64" s="3">
        <f>IF(P64&lt;=N64,(P64*Q64*1000),0)</f>
        <v>0</v>
      </c>
      <c r="W64" s="3">
        <f>IF(P64&gt;=O64,(P64*Q64*1000),0)</f>
        <v>41446000</v>
      </c>
      <c r="X64">
        <v>3231</v>
      </c>
      <c r="Y64" s="3">
        <v>28406120500</v>
      </c>
      <c r="Z64" s="40">
        <f>((C4*AB64)/P64)/10</f>
        <v>0.09342206758808716</v>
      </c>
      <c r="AA64" s="40">
        <f>((M64*AB64)*C4)</f>
        <v>-0.46057079320926975</v>
      </c>
      <c r="AB64" s="40">
        <f>AE64/AE323</f>
        <v>0.0027082179116736074</v>
      </c>
      <c r="AC64" s="40">
        <f>AF64/AF323</f>
        <v>0.0027225126444009834</v>
      </c>
      <c r="AD64" s="3">
        <f>IF(ISNA(J64),(I64*Y64)/10,(J64*Y64)/10)</f>
        <v>96580809700</v>
      </c>
      <c r="AE64" s="3">
        <f>IF(ISNA(P64),(I64*Y64)/10,(P64*Y64)/10)</f>
        <v>96580809700</v>
      </c>
      <c r="AF64" s="3">
        <f>(I64*Y64)/10</f>
        <v>98001115725</v>
      </c>
      <c r="AG64">
        <f>IF(AND(P64&lt;=N64,L64&lt;0),IF(Q64&lt;10,"DBL10",IF(Q64&gt;=200,"DBM200",IF(Q64&gt;=150,"DBM150",IF(Q64&gt;=100,"DBM100",IF(Q64&gt;=50,"DBM50","DBM10-50"))))),0)</f>
        <v>0</v>
      </c>
      <c r="AH64" t="s">
        <f>IF(AND(P64&gt;=O64,L64&lt;0),IF(Q64&lt;10,"DAL10",IF(Q64&gt;=200,"DAM200",IF(Q64&gt;=150,"DAM150",IF(Q64&gt;=100,"DAM100",IF(Q64&gt;=50,"DAM50","DAM10-50"))))),0)</f>
        <v>26</v>
      </c>
      <c r="AI64">
        <f>IF(AND(P64&gt;=O64,L64&gt;0),IF(Q64&lt;10,"UAL10",IF(Q64&gt;=200,"UAM200",IF(Q64&gt;=150,"UAM150",IF(Q64&gt;=100,"UAM100",IF(Q64&gt;=50,"UAM50","UAM10-50"))))),0)</f>
        <v>0</v>
      </c>
      <c r="AJ64">
        <f>IF(AND(P64&lt;=N64,L64&gt;0),IF(Q64&lt;10,"UBL10",IF(Q64&gt;=200,"UBM200",IF(Q64&gt;=150,"UBM150",IF(Q64&gt;=100,"UBM100",IF(Q64&gt;=50,"UBM50","UBM10-50"))))),0)</f>
        <v>0</v>
      </c>
      <c r="AK64" t="s">
        <f>IF(Q64&lt;473,"down",IF(Q64=473,473,IF(Q64&gt;473,"up")))</f>
        <v>6</v>
      </c>
    </row>
    <row r="65" spans="1:37">
      <c r="A65">
        <f>IF(X65=3037,3037,"Error")</f>
        <v>3037</v>
      </c>
      <c r="B65" t="s">
        <f>IF(K65&lt;74.599999999999994,"down",IF(K65=74.599999999999994,"low",IF(K65=78.700000000000003,"high",IF(AND(K65&gt;74.599999999999994,K65&lt;78.700000000000003),"normal","up"))))</f>
        <v>79</v>
      </c>
      <c r="C65" t="s">
        <f>IF(K65&lt;74.599999999999994,"down",IF(K65=74.599999999999994,"low",IF(K65=78.700000000000003,"high",IF(AND(K65&gt;74.599999999999994,K65&lt;78.700000000000003),"normal","up"))))</f>
        <v>79</v>
      </c>
      <c r="D65" t="s">
        <f>IF(K65&lt;74.599999999999994,"down",IF(K65=74.599999999999994,"low",IF(K65=78.700000000000003,"high",IF(AND(K65&gt;74.599999999999994,K65&lt;78.700000000000003),"normal","up"))))</f>
        <v>79</v>
      </c>
      <c r="E65" t="s">
        <f>IF(K65&lt;63.399999999999999,"down",IF(K65=63.399999999999999,"low",IF(K65=78.700000000000003,"high",IF(AND(K65&gt;63.399999999999999,K65&lt;78.700000000000003),"normal","up"))))</f>
        <v>79</v>
      </c>
      <c r="F65" t="s">
        <f>IF(P65&lt;76,"PVP-down",IF(P65=76,76,IF(P65&gt;76,"PVP-up")))</f>
        <v>83</v>
      </c>
      <c r="G65" t="s">
        <f>IF(R65&lt;5279,"PVV-down",IF(R65=5279,5279,IF(R65&gt;5279,"PVV-up")))</f>
        <v>81</v>
      </c>
      <c r="H65" s="40">
        <f>R65/(Y65/10000)</f>
        <v>0.093881148761093311</v>
      </c>
      <c r="I65">
        <v>76</v>
      </c>
      <c r="J65">
        <v>81.599999999999994</v>
      </c>
      <c r="K65">
        <v>77.5</v>
      </c>
      <c r="L65">
        <v>5.5999999999999996</v>
      </c>
      <c r="M65">
        <v>0.073700000000000002</v>
      </c>
      <c r="N65">
        <v>81.5</v>
      </c>
      <c r="O65">
        <v>81.599999999999994</v>
      </c>
      <c r="P65">
        <v>81.599999999999994</v>
      </c>
      <c r="Q65">
        <v>3144</v>
      </c>
      <c r="R65">
        <v>141266</v>
      </c>
      <c r="S65">
        <v>61912</v>
      </c>
      <c r="T65" s="40">
        <f>((P65-K65)/K65)</f>
        <v>0.052903225806451543</v>
      </c>
      <c r="U65" s="40">
        <f>((T65*AB65)*D4)</f>
        <v>2.3278856353957913</v>
      </c>
      <c r="V65" s="3">
        <f>IF(P65&lt;=N65,(P65*Q65*1000),0)</f>
        <v>0</v>
      </c>
      <c r="W65" s="3">
        <f>IF(P65&gt;=O65,(P65*Q65*1000),0)</f>
        <v>256550400</v>
      </c>
      <c r="X65">
        <v>3037</v>
      </c>
      <c r="Y65" s="3">
        <v>15047323330</v>
      </c>
      <c r="Z65" s="40">
        <f>((C4*AB65)/P65)/10</f>
        <v>0.049487646761023241</v>
      </c>
      <c r="AA65" s="40">
        <f>((M65*AB65)*C4)</f>
        <v>2.9761474860905288</v>
      </c>
      <c r="AB65" s="40">
        <f>AE65/AE323</f>
        <v>0.0034430408529781591</v>
      </c>
      <c r="AC65" s="40">
        <f>AF65/AF323</f>
        <v>0.0031769598818043795</v>
      </c>
      <c r="AD65" s="3">
        <f>IF(ISNA(J65),(I65*Y65)/10,(J65*Y65)/10)</f>
        <v>122786158372.8</v>
      </c>
      <c r="AE65" s="3">
        <f>IF(ISNA(P65),(I65*Y65)/10,(P65*Y65)/10)</f>
        <v>122786158372.8</v>
      </c>
      <c r="AF65" s="3">
        <f>(I65*Y65)/10</f>
        <v>114359657308</v>
      </c>
      <c r="AG65">
        <f>IF(AND(P65&lt;=N65,L65&lt;0),IF(Q65&lt;10,"DBL10",IF(Q65&gt;=200,"DBM200",IF(Q65&gt;=150,"DBM150",IF(Q65&gt;=100,"DBM100",IF(Q65&gt;=50,"DBM50","DBM10-50"))))),0)</f>
        <v>0</v>
      </c>
      <c r="AH65">
        <f>IF(AND(P65&gt;=O65,L65&lt;0),IF(Q65&lt;10,"DAL10",IF(Q65&gt;=200,"DAM200",IF(Q65&gt;=150,"DAM150",IF(Q65&gt;=100,"DAM100",IF(Q65&gt;=50,"DAM50","DAM10-50"))))),0)</f>
        <v>0</v>
      </c>
      <c r="AI65" t="s">
        <f>IF(AND(P65&gt;=O65,L65&gt;0),IF(Q65&lt;10,"UAL10",IF(Q65&gt;=200,"UAM200",IF(Q65&gt;=150,"UAM150",IF(Q65&gt;=100,"UAM100",IF(Q65&gt;=50,"UAM50","UAM10-50"))))),0)</f>
        <v>31</v>
      </c>
      <c r="AJ65">
        <f>IF(AND(P65&lt;=N65,L65&gt;0),IF(Q65&lt;10,"UBL10",IF(Q65&gt;=200,"UBM200",IF(Q65&gt;=150,"UBM150",IF(Q65&gt;=100,"UBM100",IF(Q65&gt;=50,"UBM50","UBM10-50"))))),0)</f>
        <v>0</v>
      </c>
      <c r="AK65" t="s">
        <f>IF(Q65&lt;826,"down",IF(Q65=826,826,IF(Q65&gt;826,"up")))</f>
        <v>6</v>
      </c>
    </row>
    <row r="66" spans="1:37">
      <c r="A66">
        <f>IF(X66=2409,2409,"Error")</f>
        <v>2409</v>
      </c>
      <c r="B66" t="s">
        <f>IF(K66&lt;10,"down",IF(K66=10,"low",IF(K66=10.25,"high",IF(AND(K66&gt;10,K66&lt;10.25),"normal","up"))))</f>
        <v>79</v>
      </c>
      <c r="C66" t="s">
        <f>IF(K66&lt;10,"down",IF(K66=10,"low",IF(K66=10.25,"high",IF(AND(K66&gt;10,K66&lt;10.25),"normal","up"))))</f>
        <v>79</v>
      </c>
      <c r="D66" t="s">
        <f>IF(K66&lt;10,"down",IF(K66=10,"low",IF(K66=10.25,"high",IF(AND(K66&gt;10,K66&lt;10.25),"normal","up"))))</f>
        <v>79</v>
      </c>
      <c r="E66" t="s">
        <f>IF(K66&lt;9.9000000000000004,"down",IF(K66=9.9000000000000004,"low",IF(K66=10.6,"high",IF(AND(K66&gt;9.9000000000000004,K66&lt;10.6),"normal","up"))))</f>
        <v>79</v>
      </c>
      <c r="F66" t="s">
        <f>IF(P66&lt;10.15,"PVP-down",IF(P66=10.15,10.15,IF(P66&gt;10.15,"PVP-up")))</f>
        <v>80</v>
      </c>
      <c r="G66" t="s">
        <f>IF(R66&lt;15225,"PVV-down",IF(R66=15225,15225,IF(R66&gt;15225,"PVV-up")))</f>
        <v>81</v>
      </c>
      <c r="H66" s="40">
        <f>R66/(Y66/10000)</f>
        <v>0.0053712264580036105</v>
      </c>
      <c r="I66">
        <v>10</v>
      </c>
      <c r="J66">
        <v>9.9100000000000001</v>
      </c>
      <c r="K66">
        <v>10.050000000000001</v>
      </c>
      <c r="L66">
        <v>-0.089999999999999997</v>
      </c>
      <c r="M66">
        <v>-0.0089999999999999993</v>
      </c>
      <c r="N66">
        <v>9.9100000000000001</v>
      </c>
      <c r="O66">
        <v>9.9199999999999999</v>
      </c>
      <c r="P66">
        <v>9.9100000000000001</v>
      </c>
      <c r="Q66">
        <v>5505</v>
      </c>
      <c r="R66">
        <v>51694</v>
      </c>
      <c r="S66">
        <v>72363</v>
      </c>
      <c r="T66" s="40">
        <f>((P66-K66)/K66)</f>
        <v>-0.013930348258706524</v>
      </c>
      <c r="U66" s="40">
        <f>((T66*AB66)*D4)</f>
        <v>-0.47613748998496325</v>
      </c>
      <c r="V66" s="3">
        <f>IF(P66&lt;=N66,(P66*Q66*1000),0)</f>
        <v>54554550</v>
      </c>
      <c r="W66" s="3">
        <f>IF(P66&gt;=O66,(P66*Q66*1000),0)</f>
        <v>0</v>
      </c>
      <c r="X66">
        <v>2409</v>
      </c>
      <c r="Y66" s="3">
        <v>96242451150</v>
      </c>
      <c r="Z66" s="40">
        <f>((C4*AB66)/P66)/10</f>
        <v>0.31652223598004087</v>
      </c>
      <c r="AA66" s="40">
        <f>((M66*AB66)*C4)</f>
        <v>-0.28230618227059845</v>
      </c>
      <c r="AB66" s="40">
        <f>AE66/AE323</f>
        <v>0.0026744414454540648</v>
      </c>
      <c r="AC66" s="40">
        <f>AF66/AF323</f>
        <v>0.0026736561950914356</v>
      </c>
      <c r="AD66" s="3">
        <f>IF(ISNA(J66),(I66*Y66)/10,(J66*Y66)/10)</f>
        <v>95376269089.649994</v>
      </c>
      <c r="AE66" s="3">
        <f>IF(ISNA(P66),(I66*Y66)/10,(P66*Y66)/10)</f>
        <v>95376269089.649994</v>
      </c>
      <c r="AF66" s="3">
        <f>(I66*Y66)/10</f>
        <v>96242451150</v>
      </c>
      <c r="AG66" t="s">
        <f>IF(AND(P66&lt;=N66,L66&lt;0),IF(Q66&lt;10,"DBL10",IF(Q66&gt;=200,"DBM200",IF(Q66&gt;=150,"DBM150",IF(Q66&gt;=100,"DBM100",IF(Q66&gt;=50,"DBM50","DBM10-50"))))),0)</f>
        <v>16</v>
      </c>
      <c r="AH66">
        <f>IF(AND(P66&gt;=O66,L66&lt;0),IF(Q66&lt;10,"DAL10",IF(Q66&gt;=200,"DAM200",IF(Q66&gt;=150,"DAM150",IF(Q66&gt;=100,"DAM100",IF(Q66&gt;=50,"DAM50","DAM10-50"))))),0)</f>
        <v>0</v>
      </c>
      <c r="AI66">
        <f>IF(AND(P66&gt;=O66,L66&gt;0),IF(Q66&lt;10,"UAL10",IF(Q66&gt;=200,"UAM200",IF(Q66&gt;=150,"UAM150",IF(Q66&gt;=100,"UAM100",IF(Q66&gt;=50,"UAM50","UAM10-50"))))),0)</f>
        <v>0</v>
      </c>
      <c r="AJ66">
        <f>IF(AND(P66&lt;=N66,L66&gt;0),IF(Q66&lt;10,"UBL10",IF(Q66&gt;=200,"UBM200",IF(Q66&gt;=150,"UBM150",IF(Q66&gt;=100,"UBM100",IF(Q66&gt;=50,"UBM50","UBM10-50"))))),0)</f>
        <v>0</v>
      </c>
      <c r="AK66" t="s">
        <f>IF(Q66&lt;2913,"down",IF(Q66=2913,2913,IF(Q66&gt;2913,"up")))</f>
        <v>6</v>
      </c>
    </row>
    <row r="67" spans="1:37">
      <c r="A67">
        <f>IF(X67=2356,2356,"Error")</f>
        <v>2356</v>
      </c>
      <c r="B67" t="s">
        <f>IF(K67&lt;24.449999999999999,"down",IF(K67=24.449999999999999,"low",IF(K67=24.75,"high",IF(AND(K67&gt;24.449999999999999,K67&lt;24.75),"normal","up"))))</f>
        <v>79</v>
      </c>
      <c r="C67" t="s">
        <f>IF(K67&lt;24.449999999999999,"down",IF(K67=24.449999999999999,"low",IF(K67=24.75,"high",IF(AND(K67&gt;24.449999999999999,K67&lt;24.75),"normal","up"))))</f>
        <v>79</v>
      </c>
      <c r="D67" t="s">
        <f>IF(K67&lt;24.449999999999999,"down",IF(K67=24.449999999999999,"low",IF(K67=24.75,"high",IF(AND(K67&gt;24.449999999999999,K67&lt;24.75),"normal","up"))))</f>
        <v>79</v>
      </c>
      <c r="E67" t="s">
        <f>IF(K67&lt;24.25,"down",IF(K67=24.25,"low",IF(K67=24.949999999999999,"high",IF(AND(K67&gt;24.25,K67&lt;24.949999999999999),"normal","up"))))</f>
        <v>79</v>
      </c>
      <c r="F67" t="s">
        <f>IF(P67&lt;24.550000000000001,"PVP-down",IF(P67=24.550000000000001,24.550000000000001,IF(P67&gt;24.550000000000001,"PVP-up")))</f>
        <v>80</v>
      </c>
      <c r="G67" t="s">
        <f>IF(R67&lt;3717,"PVV-down",IF(R67=3717,3717,IF(R67&gt;3717,"PVV-up")))</f>
        <v>81</v>
      </c>
      <c r="H67" s="40">
        <f>R67/(Y67/10000)</f>
        <v>0.0042712491984188191</v>
      </c>
      <c r="I67">
        <v>24.75</v>
      </c>
      <c r="J67">
        <v>24.149999999999999</v>
      </c>
      <c r="K67">
        <v>24.550000000000001</v>
      </c>
      <c r="L67">
        <v>-0.59999999999999998</v>
      </c>
      <c r="M67">
        <v>-0.024199999999999999</v>
      </c>
      <c r="N67">
        <v>24.149999999999999</v>
      </c>
      <c r="O67">
        <v>24.199999999999999</v>
      </c>
      <c r="P67">
        <v>24.149999999999999</v>
      </c>
      <c r="Q67">
        <v>860</v>
      </c>
      <c r="R67">
        <v>15323</v>
      </c>
      <c r="S67">
        <v>11119</v>
      </c>
      <c r="T67" s="40">
        <f>((P67-K67)/K67)</f>
        <v>-0.016293279022403344</v>
      </c>
      <c r="U67" s="40">
        <f>((T67*AB67)*D4)</f>
        <v>-0.50587660548993107</v>
      </c>
      <c r="V67" s="3">
        <f>IF(P67&lt;=N67,(P67*Q67*1000),0)</f>
        <v>20769000</v>
      </c>
      <c r="W67" s="3">
        <f>IF(P67&gt;=O67,(P67*Q67*1000),0)</f>
        <v>0</v>
      </c>
      <c r="X67">
        <v>2356</v>
      </c>
      <c r="Y67" s="3">
        <v>35874750660</v>
      </c>
      <c r="Z67" s="40">
        <f>((C4*AB67)/P67)/10</f>
        <v>0.11798490331913838</v>
      </c>
      <c r="AA67" s="40">
        <f>((M67*AB67)*C4)</f>
        <v>-0.68953917046804036</v>
      </c>
      <c r="AB67" s="40">
        <f>AE67/AE323</f>
        <v>0.0024293986757586827</v>
      </c>
      <c r="AC67" s="40">
        <f>AF67/AF323</f>
        <v>0.0024666241539291591</v>
      </c>
      <c r="AD67" s="3">
        <f>IF(ISNA(J67),(I67*Y67)/10,(J67*Y67)/10)</f>
        <v>86637522843.899994</v>
      </c>
      <c r="AE67" s="3">
        <f>IF(ISNA(P67),(I67*Y67)/10,(P67*Y67)/10)</f>
        <v>86637522843.899994</v>
      </c>
      <c r="AF67" s="3">
        <f>(I67*Y67)/10</f>
        <v>88790007883.5</v>
      </c>
      <c r="AG67" t="s">
        <f>IF(AND(P67&lt;=N67,L67&lt;0),IF(Q67&lt;10,"DBL10",IF(Q67&gt;=200,"DBM200",IF(Q67&gt;=150,"DBM150",IF(Q67&gt;=100,"DBM100",IF(Q67&gt;=50,"DBM50","DBM10-50"))))),0)</f>
        <v>16</v>
      </c>
      <c r="AH67">
        <f>IF(AND(P67&gt;=O67,L67&lt;0),IF(Q67&lt;10,"DAL10",IF(Q67&gt;=200,"DAM200",IF(Q67&gt;=150,"DAM150",IF(Q67&gt;=100,"DAM100",IF(Q67&gt;=50,"DAM50","DAM10-50"))))),0)</f>
        <v>0</v>
      </c>
      <c r="AI67">
        <f>IF(AND(P67&gt;=O67,L67&gt;0),IF(Q67&lt;10,"UAL10",IF(Q67&gt;=200,"UAM200",IF(Q67&gt;=150,"UAM150",IF(Q67&gt;=100,"UAM100",IF(Q67&gt;=50,"UAM50","UAM10-50"))))),0)</f>
        <v>0</v>
      </c>
      <c r="AJ67">
        <f>IF(AND(P67&lt;=N67,L67&gt;0),IF(Q67&lt;10,"UBL10",IF(Q67&gt;=200,"UBM200",IF(Q67&gt;=150,"UBM150",IF(Q67&gt;=100,"UBM100",IF(Q67&gt;=50,"UBM50","UBM10-50"))))),0)</f>
        <v>0</v>
      </c>
      <c r="AK67" t="s">
        <f>IF(Q67&lt;230,"down",IF(Q67=230,230,IF(Q67&gt;230,"up")))</f>
        <v>6</v>
      </c>
    </row>
    <row r="68" spans="1:37">
      <c r="A68">
        <f>IF(X68=2492,2492,"Error")</f>
        <v>2492</v>
      </c>
      <c r="B68" t="s">
        <f>IF(K68&lt;175.5,"down",IF(K68=175.5,"low",IF(K68=179.5,"high",IF(AND(K68&gt;175.5,K68&lt;179.5),"normal","up"))))</f>
        <v>79</v>
      </c>
      <c r="C68" t="s">
        <f>IF(K68&lt;175.5,"down",IF(K68=175.5,"low",IF(K68=179.5,"high",IF(AND(K68&gt;175.5,K68&lt;179.5),"normal","up"))))</f>
        <v>79</v>
      </c>
      <c r="D68" t="s">
        <f>IF(K68&lt;175.5,"down",IF(K68=175.5,"low",IF(K68=179.5,"high",IF(AND(K68&gt;175.5,K68&lt;179.5),"normal","up"))))</f>
        <v>79</v>
      </c>
      <c r="E68" t="s">
        <f>IF(K68&lt;175.5,"down",IF(K68=175.5,"low",IF(K68=185,"high",IF(AND(K68&gt;175.5,K68&lt;185),"normal","up"))))</f>
        <v>79</v>
      </c>
      <c r="F68" t="s">
        <f>IF(P68&lt;176,"PVP-down",IF(P68=176,176,IF(P68&gt;176,"PVP-up")))</f>
        <v>83</v>
      </c>
      <c r="G68" t="s">
        <f>IF(R68&lt;1108,"PVV-down",IF(R68=1108,1108,IF(R68&gt;1108,"PVV-up")))</f>
        <v>81</v>
      </c>
      <c r="H68" s="40">
        <f>R68/(Y68/10000)</f>
        <v>0.024454508027995061</v>
      </c>
      <c r="I68">
        <v>176</v>
      </c>
      <c r="J68">
        <v>179</v>
      </c>
      <c r="K68">
        <v>179</v>
      </c>
      <c r="L68">
        <v>3</v>
      </c>
      <c r="M68">
        <v>0.017000000000000001</v>
      </c>
      <c r="N68">
        <v>179</v>
      </c>
      <c r="O68">
        <v>179.5</v>
      </c>
      <c r="P68">
        <v>179</v>
      </c>
      <c r="Q68">
        <v>454</v>
      </c>
      <c r="R68">
        <v>11880</v>
      </c>
      <c r="S68">
        <v>3609</v>
      </c>
      <c r="T68" s="40">
        <f>((P68-K68)/K68)</f>
        <v>0</v>
      </c>
      <c r="U68" s="40">
        <f>((T68*AB68)*D4)</f>
        <v>0</v>
      </c>
      <c r="V68" s="3">
        <f>IF(P68&lt;=N68,(P68*Q68*1000),0)</f>
        <v>81266000</v>
      </c>
      <c r="W68" s="3">
        <f>IF(P68&gt;=O68,(P68*Q68*1000),0)</f>
        <v>0</v>
      </c>
      <c r="X68">
        <v>2492</v>
      </c>
      <c r="Y68" s="3">
        <v>4858000000</v>
      </c>
      <c r="Z68" s="40">
        <f>((C4*AB68)/P68)/10</f>
        <v>0.015976993561754672</v>
      </c>
      <c r="AA68" s="40">
        <f>((M68*AB68)*C4)</f>
        <v>0.48617991408419464</v>
      </c>
      <c r="AB68" s="40">
        <f>AE68/AE323</f>
        <v>0.0024383907687087437</v>
      </c>
      <c r="AC68" s="40">
        <f>AF68/AF323</f>
        <v>0.0023752485610428449</v>
      </c>
      <c r="AD68" s="3">
        <f>IF(ISNA(J68),(I68*Y68)/10,(J68*Y68)/10)</f>
        <v>86958200000</v>
      </c>
      <c r="AE68" s="3">
        <f>IF(ISNA(P68),(I68*Y68)/10,(P68*Y68)/10)</f>
        <v>86958200000</v>
      </c>
      <c r="AF68" s="3">
        <f>(I68*Y68)/10</f>
        <v>85500800000</v>
      </c>
      <c r="AG68">
        <f>IF(AND(P68&lt;=N68,L68&lt;0),IF(Q68&lt;10,"DBL10",IF(Q68&gt;=200,"DBM200",IF(Q68&gt;=150,"DBM150",IF(Q68&gt;=100,"DBM100",IF(Q68&gt;=50,"DBM50","DBM10-50"))))),0)</f>
        <v>0</v>
      </c>
      <c r="AH68">
        <f>IF(AND(P68&gt;=O68,L68&lt;0),IF(Q68&lt;10,"DAL10",IF(Q68&gt;=200,"DAM200",IF(Q68&gt;=150,"DAM150",IF(Q68&gt;=100,"DAM100",IF(Q68&gt;=50,"DAM50","DAM10-50"))))),0)</f>
        <v>0</v>
      </c>
      <c r="AI68">
        <f>IF(AND(P68&gt;=O68,L68&gt;0),IF(Q68&lt;10,"UAL10",IF(Q68&gt;=200,"UAM200",IF(Q68&gt;=150,"UAM150",IF(Q68&gt;=100,"UAM100",IF(Q68&gt;=50,"UAM50","UAM10-50"))))),0)</f>
        <v>0</v>
      </c>
      <c r="AJ68" t="s">
        <f>IF(AND(P68&lt;=N68,L68&gt;0),IF(Q68&lt;10,"UBL10",IF(Q68&gt;=200,"UBM200",IF(Q68&gt;=150,"UBM150",IF(Q68&gt;=100,"UBM100",IF(Q68&gt;=50,"UBM50","UBM10-50"))))),0)</f>
        <v>21</v>
      </c>
      <c r="AK68" t="s">
        <f>IF(Q68&lt;135,"down",IF(Q68=135,135,IF(Q68&gt;135,"up")))</f>
        <v>6</v>
      </c>
    </row>
    <row r="69" spans="1:37">
      <c r="A69">
        <f>IF(X69=2324,2324,"Error")</f>
        <v>2324</v>
      </c>
      <c r="B69" t="s">
        <f>IF(K69&lt;18.800000000000001,"down",IF(K69=18.800000000000001,"low",IF(K69=19,"high",IF(AND(K69&gt;18.800000000000001,K69&lt;19),"normal","up"))))</f>
        <v>6</v>
      </c>
      <c r="C69" t="s">
        <f>IF(K69&lt;18.800000000000001,"down",IF(K69=18.800000000000001,"low",IF(K69=19,"high",IF(AND(K69&gt;18.800000000000001,K69&lt;19),"normal","up"))))</f>
        <v>6</v>
      </c>
      <c r="D69" t="s">
        <f>IF(K69&lt;18.800000000000001,"down",IF(K69=18.800000000000001,"low",IF(K69=19,"high",IF(AND(K69&gt;18.800000000000001,K69&lt;19),"normal","up"))))</f>
        <v>6</v>
      </c>
      <c r="E69" t="s">
        <f>IF(K69&lt;18.300000000000001,"down",IF(K69=18.300000000000001,"low",IF(K69=19,"high",IF(AND(K69&gt;18.300000000000001,K69&lt;19),"normal","up"))))</f>
        <v>6</v>
      </c>
      <c r="F69" t="s">
        <f>IF(P69&lt;18.850000000000001,"PVP-down",IF(P69=18.850000000000001,18.850000000000001,IF(P69&gt;18.850000000000001,"PVP-up")))</f>
        <v>80</v>
      </c>
      <c r="G69" t="s">
        <f>IF(R69&lt;7619,"PVV-down",IF(R69=7619,7619,IF(R69&gt;7619,"PVV-up")))</f>
        <v>81</v>
      </c>
      <c r="H69" s="40">
        <f>R69/(Y69/10000)</f>
        <v>0.0025696898614077767</v>
      </c>
      <c r="I69">
        <v>19</v>
      </c>
      <c r="J69">
        <v>18.800000000000001</v>
      </c>
      <c r="K69">
        <v>19.100000000000001</v>
      </c>
      <c r="L69">
        <v>-0.20000000000000001</v>
      </c>
      <c r="M69">
        <v>-0.010500000000000001</v>
      </c>
      <c r="N69">
        <v>18.800000000000001</v>
      </c>
      <c r="O69">
        <v>18.850000000000001</v>
      </c>
      <c r="P69">
        <v>18.800000000000001</v>
      </c>
      <c r="Q69">
        <v>1152</v>
      </c>
      <c r="R69">
        <v>11325</v>
      </c>
      <c r="S69">
        <v>14860</v>
      </c>
      <c r="T69" s="40">
        <f>((P69-K69)/K69)</f>
        <v>-0.01570680628272255</v>
      </c>
      <c r="U69" s="40">
        <f>((T69*AB69)*D4)</f>
        <v>-0.46637290469072074</v>
      </c>
      <c r="V69" s="3">
        <f>IF(P69&lt;=N69,(P69*Q69*1000),0)</f>
        <v>21657600.000000004</v>
      </c>
      <c r="W69" s="3">
        <f>IF(P69&gt;=O69,(P69*Q69*1000),0)</f>
        <v>0</v>
      </c>
      <c r="X69">
        <v>2324</v>
      </c>
      <c r="Y69" s="3">
        <v>44071466250</v>
      </c>
      <c r="Z69" s="40">
        <f>((C4*AB69)/P69)/10</f>
        <v>0.14494226688623679</v>
      </c>
      <c r="AA69" s="40">
        <f>((M69*AB69)*C4)</f>
        <v>-0.28611603483343145</v>
      </c>
      <c r="AB69" s="40">
        <f>AE69/AE323</f>
        <v>0.0023233150888452478</v>
      </c>
      <c r="AC69" s="40">
        <f>AF69/AF323</f>
        <v>0.0023262157185357977</v>
      </c>
      <c r="AD69" s="3">
        <f>IF(ISNA(J69),(I69*Y69)/10,(J69*Y69)/10)</f>
        <v>82854356550</v>
      </c>
      <c r="AE69" s="3">
        <f>IF(ISNA(P69),(I69*Y69)/10,(P69*Y69)/10)</f>
        <v>82854356550</v>
      </c>
      <c r="AF69" s="3">
        <f>(I69*Y69)/10</f>
        <v>83735785875</v>
      </c>
      <c r="AG69" t="s">
        <f>IF(AND(P69&lt;=N69,L69&lt;0),IF(Q69&lt;10,"DBL10",IF(Q69&gt;=200,"DBM200",IF(Q69&gt;=150,"DBM150",IF(Q69&gt;=100,"DBM100",IF(Q69&gt;=50,"DBM50","DBM10-50"))))),0)</f>
        <v>16</v>
      </c>
      <c r="AH69">
        <f>IF(AND(P69&gt;=O69,L69&lt;0),IF(Q69&lt;10,"DAL10",IF(Q69&gt;=200,"DAM200",IF(Q69&gt;=150,"DAM150",IF(Q69&gt;=100,"DAM100",IF(Q69&gt;=50,"DAM50","DAM10-50"))))),0)</f>
        <v>0</v>
      </c>
      <c r="AI69">
        <f>IF(AND(P69&gt;=O69,L69&gt;0),IF(Q69&lt;10,"UAL10",IF(Q69&gt;=200,"UAM200",IF(Q69&gt;=150,"UAM150",IF(Q69&gt;=100,"UAM100",IF(Q69&gt;=50,"UAM50","UAM10-50"))))),0)</f>
        <v>0</v>
      </c>
      <c r="AJ69">
        <f>IF(AND(P69&lt;=N69,L69&gt;0),IF(Q69&lt;10,"UBL10",IF(Q69&gt;=200,"UBM200",IF(Q69&gt;=150,"UBM150",IF(Q69&gt;=100,"UBM100",IF(Q69&gt;=50,"UBM50","UBM10-50"))))),0)</f>
        <v>0</v>
      </c>
      <c r="AK69" t="s">
        <f>IF(Q69&lt;204,"down",IF(Q69=204,204,IF(Q69&gt;204,"up")))</f>
        <v>6</v>
      </c>
    </row>
    <row r="70" spans="1:37">
      <c r="A70">
        <f>IF(X70=3481,3481,"Error")</f>
        <v>3481</v>
      </c>
      <c r="B70" t="s">
        <f>IF(K70&lt;8.1699999999999999,"down",IF(K70=8.1699999999999999,"low",IF(K70=8.3000000000000007,"high",IF(AND(K70&gt;8.1699999999999999,K70&lt;8.3000000000000007),"normal","up"))))</f>
        <v>79</v>
      </c>
      <c r="C70" t="s">
        <f>IF(K70&lt;8.1699999999999999,"down",IF(K70=8.1699999999999999,"low",IF(K70=8.3000000000000007,"high",IF(AND(K70&gt;8.1699999999999999,K70&lt;8.3000000000000007),"normal","up"))))</f>
        <v>79</v>
      </c>
      <c r="D70" t="s">
        <f>IF(K70&lt;8.1699999999999999,"down",IF(K70=8.1699999999999999,"low",IF(K70=8.3000000000000007,"high",IF(AND(K70&gt;8.1699999999999999,K70&lt;8.3000000000000007),"normal","up"))))</f>
        <v>79</v>
      </c>
      <c r="E70" t="s">
        <f>IF(K70&lt;8.1300000000000008,"down",IF(K70=8.1300000000000008,"low",IF(K70=8.8200000000000003,"high",IF(AND(K70&gt;8.1300000000000008,K70&lt;8.8200000000000003),"normal","up"))))</f>
        <v>79</v>
      </c>
      <c r="F70" t="s">
        <f>IF(P70&lt;8.1899999999999995,"PVP-down",IF(P70=8.1899999999999995,8.1899999999999995,IF(P70&gt;8.1899999999999995,"PVP-up")))</f>
        <v>80</v>
      </c>
      <c r="G70" t="s">
        <f>IF(R70&lt;12543,"PVV-down",IF(R70=12543,12543,IF(R70&gt;12543,"PVV-up")))</f>
        <v>81</v>
      </c>
      <c r="H70" s="40">
        <f>R70/(Y70/10000)</f>
        <v>0.0069693644697820575</v>
      </c>
      <c r="I70">
        <v>8.1899999999999995</v>
      </c>
      <c r="J70">
        <v>8.1099999999999994</v>
      </c>
      <c r="K70">
        <v>8.2699999999999996</v>
      </c>
      <c r="L70">
        <v>-0.080000000000000002</v>
      </c>
      <c r="M70">
        <v>-0.0097999999999999997</v>
      </c>
      <c r="N70">
        <v>8.1099999999999994</v>
      </c>
      <c r="O70">
        <v>8.1199999999999992</v>
      </c>
      <c r="P70">
        <v>8.1099999999999994</v>
      </c>
      <c r="Q70">
        <v>2941</v>
      </c>
      <c r="R70">
        <v>67680</v>
      </c>
      <c r="S70">
        <v>71109</v>
      </c>
      <c r="T70" s="40">
        <f>((P70-K70)/K70)</f>
        <v>-0.019347037484885147</v>
      </c>
      <c r="U70" s="40">
        <f>((T70*AB70)*D4)</f>
        <v>-0.54605020546056515</v>
      </c>
      <c r="V70" s="3">
        <f>IF(P70&lt;=N70,(P70*Q70*1000),0)</f>
        <v>23851510</v>
      </c>
      <c r="W70" s="3">
        <f>IF(P70&gt;=O70,(P70*Q70*1000),0)</f>
        <v>0</v>
      </c>
      <c r="X70">
        <v>3481</v>
      </c>
      <c r="Y70" s="3">
        <v>97110719770</v>
      </c>
      <c r="Z70" s="40">
        <f>((C4*AB70)/P70)/10</f>
        <v>0.31937779838259617</v>
      </c>
      <c r="AA70" s="40">
        <f>((M70*AB70)*C4)</f>
        <v>-0.25383508659851983</v>
      </c>
      <c r="AB70" s="40">
        <f>AE70/AE323</f>
        <v>0.0022084155239274952</v>
      </c>
      <c r="AC70" s="40">
        <f>AF70/AF323</f>
        <v>0.0022094794173497436</v>
      </c>
      <c r="AD70" s="3">
        <f>IF(ISNA(J70),(I70*Y70)/10,(J70*Y70)/10)</f>
        <v>78756793733.470001</v>
      </c>
      <c r="AE70" s="3">
        <f>IF(ISNA(P70),(I70*Y70)/10,(P70*Y70)/10)</f>
        <v>78756793733.470001</v>
      </c>
      <c r="AF70" s="3">
        <f>(I70*Y70)/10</f>
        <v>79533679491.62999</v>
      </c>
      <c r="AG70" t="s">
        <f>IF(AND(P70&lt;=N70,L70&lt;0),IF(Q70&lt;10,"DBL10",IF(Q70&gt;=200,"DBM200",IF(Q70&gt;=150,"DBM150",IF(Q70&gt;=100,"DBM100",IF(Q70&gt;=50,"DBM50","DBM10-50"))))),0)</f>
        <v>16</v>
      </c>
      <c r="AH70">
        <f>IF(AND(P70&gt;=O70,L70&lt;0),IF(Q70&lt;10,"DAL10",IF(Q70&gt;=200,"DAM200",IF(Q70&gt;=150,"DAM150",IF(Q70&gt;=100,"DAM100",IF(Q70&gt;=50,"DAM50","DAM10-50"))))),0)</f>
        <v>0</v>
      </c>
      <c r="AI70">
        <f>IF(AND(P70&gt;=O70,L70&gt;0),IF(Q70&lt;10,"UAL10",IF(Q70&gt;=200,"UAM200",IF(Q70&gt;=150,"UAM150",IF(Q70&gt;=100,"UAM100",IF(Q70&gt;=50,"UAM50","UAM10-50"))))),0)</f>
        <v>0</v>
      </c>
      <c r="AJ70">
        <f>IF(AND(P70&lt;=N70,L70&gt;0),IF(Q70&lt;10,"UBL10",IF(Q70&gt;=200,"UBM200",IF(Q70&gt;=150,"UBM150",IF(Q70&gt;=100,"UBM100",IF(Q70&gt;=50,"UBM50","UBM10-50"))))),0)</f>
        <v>0</v>
      </c>
      <c r="AK70" t="s">
        <f>IF(Q70&lt;3695,"down",IF(Q70=3695,3695,IF(Q70&gt;3695,"up")))</f>
        <v>7</v>
      </c>
    </row>
    <row r="71" spans="1:37">
      <c r="A71">
        <f>IF(X71=2354,2354,"Error")</f>
        <v>2354</v>
      </c>
      <c r="B71" t="s">
        <f>IF(K71&lt;54.100000000000001,"down",IF(K71=54.100000000000001,"low",IF(K71=54.700000000000003,"high",IF(AND(K71&gt;54.100000000000001,K71&lt;54.700000000000003),"normal","up"))))</f>
        <v>84</v>
      </c>
      <c r="C71" t="s">
        <f>IF(K71&lt;54.100000000000001,"down",IF(K71=54.100000000000001,"low",IF(K71=54.700000000000003,"high",IF(AND(K71&gt;54.100000000000001,K71&lt;54.700000000000003),"normal","up"))))</f>
        <v>84</v>
      </c>
      <c r="D71" t="s">
        <f>IF(K71&lt;54.100000000000001,"down",IF(K71=54.100000000000001,"low",IF(K71=54.700000000000003,"high",IF(AND(K71&gt;54.100000000000001,K71&lt;54.700000000000003),"normal","up"))))</f>
        <v>84</v>
      </c>
      <c r="E71" t="s">
        <f>IF(K71&lt;53.799999999999997,"down",IF(K71=53.799999999999997,"low",IF(K71=55.200000000000003,"high",IF(AND(K71&gt;53.799999999999997,K71&lt;55.200000000000003),"normal","up"))))</f>
        <v>79</v>
      </c>
      <c r="F71" t="s">
        <f>IF(P71&lt;54.399999999999999,"PVP-down",IF(P71=54.399999999999999,54.399999999999999,IF(P71&gt;54.399999999999999,"PVP-up")))</f>
        <v>80</v>
      </c>
      <c r="G71" t="s">
        <f>IF(R71&lt;758,"PVV-down",IF(R71=758,758,IF(R71&gt;758,"PVV-up")))</f>
        <v>81</v>
      </c>
      <c r="H71" s="40">
        <f>R71/(Y71/10000)</f>
        <v>0.0017370277284599527</v>
      </c>
      <c r="I71">
        <v>54.399999999999999</v>
      </c>
      <c r="J71">
        <v>53.700000000000003</v>
      </c>
      <c r="K71">
        <v>54.700000000000003</v>
      </c>
      <c r="L71">
        <v>-0.69999999999999996</v>
      </c>
      <c r="M71">
        <v>-0.0129</v>
      </c>
      <c r="N71">
        <v>53.700000000000003</v>
      </c>
      <c r="O71">
        <v>53.799999999999997</v>
      </c>
      <c r="P71">
        <v>53.700000000000003</v>
      </c>
      <c r="Q71">
        <v>154</v>
      </c>
      <c r="R71">
        <v>2457</v>
      </c>
      <c r="S71">
        <v>2035</v>
      </c>
      <c r="T71" s="40">
        <f>((P71-K71)/K71)</f>
        <v>-0.018281535648994516</v>
      </c>
      <c r="U71" s="40">
        <f>((T71*AB71)*D4)</f>
        <v>-0.49764018069652222</v>
      </c>
      <c r="V71" s="3">
        <f>IF(P71&lt;=N71,(P71*Q71*1000),0)</f>
        <v>8269800.0000000009</v>
      </c>
      <c r="W71" s="3">
        <f>IF(P71&gt;=O71,(P71*Q71*1000),0)</f>
        <v>0</v>
      </c>
      <c r="X71">
        <v>2354</v>
      </c>
      <c r="Y71" s="3">
        <v>14144851920</v>
      </c>
      <c r="Z71" s="40">
        <f>((C4*AB71)/P71)/10</f>
        <v>0.046519598200455578</v>
      </c>
      <c r="AA71" s="40">
        <f>((M71*AB71)*C4)</f>
        <v>-0.32225521261401596</v>
      </c>
      <c r="AB71" s="40">
        <f>AE71/AE323</f>
        <v>0.0021299306101161064</v>
      </c>
      <c r="AC71" s="40">
        <f>AF71/AF323</f>
        <v>0.0021376479878567689</v>
      </c>
      <c r="AD71" s="3">
        <f>IF(ISNA(J71),(I71*Y71)/10,(J71*Y71)/10)</f>
        <v>75957854810.399994</v>
      </c>
      <c r="AE71" s="3">
        <f>IF(ISNA(P71),(I71*Y71)/10,(P71*Y71)/10)</f>
        <v>75957854810.399994</v>
      </c>
      <c r="AF71" s="3">
        <f>(I71*Y71)/10</f>
        <v>76947994444.800003</v>
      </c>
      <c r="AG71" t="s">
        <f>IF(AND(P71&lt;=N71,L71&lt;0),IF(Q71&lt;10,"DBL10",IF(Q71&gt;=200,"DBM200",IF(Q71&gt;=150,"DBM150",IF(Q71&gt;=100,"DBM100",IF(Q71&gt;=50,"DBM50","DBM10-50"))))),0)</f>
        <v>15</v>
      </c>
      <c r="AH71">
        <f>IF(AND(P71&gt;=O71,L71&lt;0),IF(Q71&lt;10,"DAL10",IF(Q71&gt;=200,"DAM200",IF(Q71&gt;=150,"DAM150",IF(Q71&gt;=100,"DAM100",IF(Q71&gt;=50,"DAM50","DAM10-50"))))),0)</f>
        <v>0</v>
      </c>
      <c r="AI71">
        <f>IF(AND(P71&gt;=O71,L71&gt;0),IF(Q71&lt;10,"UAL10",IF(Q71&gt;=200,"UAM200",IF(Q71&gt;=150,"UAM150",IF(Q71&gt;=100,"UAM100",IF(Q71&gt;=50,"UAM50","UAM10-50"))))),0)</f>
        <v>0</v>
      </c>
      <c r="AJ71">
        <f>IF(AND(P71&lt;=N71,L71&gt;0),IF(Q71&lt;10,"UBL10",IF(Q71&gt;=200,"UBM200",IF(Q71&gt;=150,"UBM150",IF(Q71&gt;=100,"UBM100",IF(Q71&gt;=50,"UBM50","UBM10-50"))))),0)</f>
        <v>0</v>
      </c>
      <c r="AK71" t="s">
        <f>IF(Q71&lt;36,"down",IF(Q71=36,36,IF(Q71&gt;36,"up")))</f>
        <v>6</v>
      </c>
    </row>
    <row r="72" spans="1:37">
      <c r="A72">
        <f>IF(X72=6239,6239,"Error")</f>
        <v>6239</v>
      </c>
      <c r="B72" t="s">
        <f>IF(K72&lt;94,"down",IF(K72=94,"low",IF(K72=97.5,"high",IF(AND(K72&gt;94,K72&lt;97.5),"normal","up"))))</f>
        <v>79</v>
      </c>
      <c r="C72" t="s">
        <f>IF(K72&lt;94,"down",IF(K72=94,"low",IF(K72=97.5,"high",IF(AND(K72&gt;94,K72&lt;97.5),"normal","up"))))</f>
        <v>79</v>
      </c>
      <c r="D72" t="s">
        <f>IF(K72&lt;94,"down",IF(K72=94,"low",IF(K72=97.5,"high",IF(AND(K72&gt;94,K72&lt;97.5),"normal","up"))))</f>
        <v>79</v>
      </c>
      <c r="E72" t="s">
        <f>IF(K72&lt;94,"down",IF(K72=94,"low",IF(K72=99.200000000000003,"high",IF(AND(K72&gt;94,K72&lt;99.200000000000003),"normal","up"))))</f>
        <v>79</v>
      </c>
      <c r="F72" t="s">
        <f>IF(P72&lt;94.099999999999994,"PVP-down",IF(P72=94.099999999999994,94.099999999999994,IF(P72&gt;94.099999999999994,"PVP-up")))</f>
        <v>80</v>
      </c>
      <c r="G72" t="s">
        <f>IF(R72&lt;1593,"PVV-down",IF(R72=1593,1593,IF(R72&gt;1593,"PVV-up")))</f>
        <v>81</v>
      </c>
      <c r="H72" s="40">
        <f>R72/(Y72/10000)</f>
        <v>0.01088241882849487</v>
      </c>
      <c r="I72">
        <v>94.099999999999994</v>
      </c>
      <c r="J72">
        <v>93.200000000000003</v>
      </c>
      <c r="K72">
        <v>94.400000000000006</v>
      </c>
      <c r="L72">
        <v>-0.90000000000000002</v>
      </c>
      <c r="M72">
        <v>-0.0095999999999999992</v>
      </c>
      <c r="N72">
        <v>93.200000000000003</v>
      </c>
      <c r="O72">
        <v>93.299999999999997</v>
      </c>
      <c r="P72">
        <v>93.200000000000003</v>
      </c>
      <c r="Q72">
        <v>443</v>
      </c>
      <c r="R72">
        <v>8479</v>
      </c>
      <c r="S72">
        <v>8019</v>
      </c>
      <c r="T72" s="40">
        <f>((P72-K72)/K72)</f>
        <v>-0.01271186440677969</v>
      </c>
      <c r="U72" s="40">
        <f>((T72*AB72)*D4)</f>
        <v>-0.33080680696501474</v>
      </c>
      <c r="V72" s="3">
        <f>IF(P72&lt;=N72,(P72*Q72*1000),0)</f>
        <v>41287600</v>
      </c>
      <c r="W72" s="3">
        <f>IF(P72&gt;=O72,(P72*Q72*1000),0)</f>
        <v>0</v>
      </c>
      <c r="X72">
        <v>6239</v>
      </c>
      <c r="Y72" s="3">
        <v>7791466340</v>
      </c>
      <c r="Z72" s="40">
        <f>((C4*AB72)/P72)/10</f>
        <v>0.025624579569948173</v>
      </c>
      <c r="AA72" s="40">
        <f>((M72*AB72)*C4)</f>
        <v>-0.22926823832824031</v>
      </c>
      <c r="AB72" s="40">
        <f>AE72/AE323</f>
        <v>0.0020362348927974545</v>
      </c>
      <c r="AC72" s="40">
        <f>AF72/AF323</f>
        <v>0.0020367968169843244</v>
      </c>
      <c r="AD72" s="3">
        <f>IF(ISNA(J72),(I72*Y72)/10,(J72*Y72)/10)</f>
        <v>72616466288.800003</v>
      </c>
      <c r="AE72" s="3">
        <f>IF(ISNA(P72),(I72*Y72)/10,(P72*Y72)/10)</f>
        <v>72616466288.800003</v>
      </c>
      <c r="AF72" s="3">
        <f>(I72*Y72)/10</f>
        <v>73317698259.399994</v>
      </c>
      <c r="AG72" t="s">
        <f>IF(AND(P72&lt;=N72,L72&lt;0),IF(Q72&lt;10,"DBL10",IF(Q72&gt;=200,"DBM200",IF(Q72&gt;=150,"DBM150",IF(Q72&gt;=100,"DBM100",IF(Q72&gt;=50,"DBM50","DBM10-50"))))),0)</f>
        <v>16</v>
      </c>
      <c r="AH72">
        <f>IF(AND(P72&gt;=O72,L72&lt;0),IF(Q72&lt;10,"DAL10",IF(Q72&gt;=200,"DAM200",IF(Q72&gt;=150,"DAM150",IF(Q72&gt;=100,"DAM100",IF(Q72&gt;=50,"DAM50","DAM10-50"))))),0)</f>
        <v>0</v>
      </c>
      <c r="AI72">
        <f>IF(AND(P72&gt;=O72,L72&gt;0),IF(Q72&lt;10,"UAL10",IF(Q72&gt;=200,"UAM200",IF(Q72&gt;=150,"UAM150",IF(Q72&gt;=100,"UAM100",IF(Q72&gt;=50,"UAM50","UAM10-50"))))),0)</f>
        <v>0</v>
      </c>
      <c r="AJ72">
        <f>IF(AND(P72&lt;=N72,L72&gt;0),IF(Q72&lt;10,"UBL10",IF(Q72&gt;=200,"UBM200",IF(Q72&gt;=150,"UBM150",IF(Q72&gt;=100,"UBM100",IF(Q72&gt;=50,"UBM50","UBM10-50"))))),0)</f>
        <v>0</v>
      </c>
      <c r="AK72" t="s">
        <f>IF(Q72&lt;66,"down",IF(Q72=66,66,IF(Q72&gt;66,"up")))</f>
        <v>6</v>
      </c>
    </row>
    <row r="73" spans="1:37">
      <c r="A73">
        <f>IF(X73=3406,3406,"Error")</f>
        <v>3406</v>
      </c>
      <c r="B73" t="s">
        <f>IF(K73&lt;651,"down",IF(K73=651,"low",IF(K73=682,"high",IF(AND(K73&gt;651,K73&lt;682),"normal","up"))))</f>
        <v>79</v>
      </c>
      <c r="C73" t="s">
        <f>IF(K73&lt;651,"down",IF(K73=651,"low",IF(K73=682,"high",IF(AND(K73&gt;651,K73&lt;682),"normal","up"))))</f>
        <v>79</v>
      </c>
      <c r="D73" t="s">
        <f>IF(K73&lt;651,"down",IF(K73=651,"low",IF(K73=682,"high",IF(AND(K73&gt;651,K73&lt;682),"normal","up"))))</f>
        <v>79</v>
      </c>
      <c r="E73" t="s">
        <f>IF(K73&lt;640,"down",IF(K73=640,"low",IF(K73=705,"high",IF(AND(K73&gt;640,K73&lt;705),"normal","up"))))</f>
        <v>79</v>
      </c>
      <c r="F73" t="s">
        <f>IF(P73&lt;662,"PVP-down",IF(P73=662,662,IF(P73&gt;662,"PVP-up")))</f>
        <v>80</v>
      </c>
      <c r="G73" t="s">
        <f>IF(R73&lt;1304,"PVV-down",IF(R73=1304,1304,IF(R73&gt;1304,"PVV-up")))</f>
        <v>81</v>
      </c>
      <c r="H73" s="40">
        <f>R73/(Y73/10000)</f>
        <v>0.044814659889972339</v>
      </c>
      <c r="I73">
        <v>662</v>
      </c>
      <c r="J73">
        <v>652</v>
      </c>
      <c r="K73">
        <v>665</v>
      </c>
      <c r="L73">
        <v>-10</v>
      </c>
      <c r="M73">
        <v>-0.015100000000000001</v>
      </c>
      <c r="N73">
        <v>652</v>
      </c>
      <c r="O73">
        <v>653</v>
      </c>
      <c r="P73">
        <v>652</v>
      </c>
      <c r="Q73">
        <v>532</v>
      </c>
      <c r="R73">
        <v>4995</v>
      </c>
      <c r="S73">
        <v>10597</v>
      </c>
      <c r="T73" s="40">
        <f>((P73-K73)/K73)</f>
        <v>-0.019548872180451128</v>
      </c>
      <c r="U73" s="40">
        <f>((T73*AB73)*D4)</f>
        <v>-0.50911367787974771</v>
      </c>
      <c r="V73" s="3">
        <f>IF(P73&lt;=N73,(P73*Q73*1000),0)</f>
        <v>346864000</v>
      </c>
      <c r="W73" s="3">
        <f>IF(P73&gt;=O73,(P73*Q73*1000),0)</f>
        <v>0</v>
      </c>
      <c r="X73">
        <v>3406</v>
      </c>
      <c r="Y73" s="3">
        <v>1114590630</v>
      </c>
      <c r="Z73" s="40">
        <f>((C4*AB73)/P73)/10</f>
        <v>0.0036656663893581895</v>
      </c>
      <c r="AA73" s="40">
        <f>((M73*AB73)*C4)</f>
        <v>-0.36089218736509249</v>
      </c>
      <c r="AB73" s="40">
        <f>AE73/AE323</f>
        <v>0.0020377727367965107</v>
      </c>
      <c r="AC73" s="40">
        <f>AF73/AF323</f>
        <v>0.0020498036521521225</v>
      </c>
      <c r="AD73" s="3">
        <f>IF(ISNA(J73),(I73*Y73)/10,(J73*Y73)/10)</f>
        <v>72671309076</v>
      </c>
      <c r="AE73" s="3">
        <f>IF(ISNA(P73),(I73*Y73)/10,(P73*Y73)/10)</f>
        <v>72671309076</v>
      </c>
      <c r="AF73" s="3">
        <f>(I73*Y73)/10</f>
        <v>73785899706</v>
      </c>
      <c r="AG73" t="s">
        <f>IF(AND(P73&lt;=N73,L73&lt;0),IF(Q73&lt;10,"DBL10",IF(Q73&gt;=200,"DBM200",IF(Q73&gt;=150,"DBM150",IF(Q73&gt;=100,"DBM100",IF(Q73&gt;=50,"DBM50","DBM10-50"))))),0)</f>
        <v>16</v>
      </c>
      <c r="AH73">
        <f>IF(AND(P73&gt;=O73,L73&lt;0),IF(Q73&lt;10,"DAL10",IF(Q73&gt;=200,"DAM200",IF(Q73&gt;=150,"DAM150",IF(Q73&gt;=100,"DAM100",IF(Q73&gt;=50,"DAM50","DAM10-50"))))),0)</f>
        <v>0</v>
      </c>
      <c r="AI73">
        <f>IF(AND(P73&gt;=O73,L73&gt;0),IF(Q73&lt;10,"UAL10",IF(Q73&gt;=200,"UAM200",IF(Q73&gt;=150,"UAM150",IF(Q73&gt;=100,"UAM100",IF(Q73&gt;=50,"UAM50","UAM10-50"))))),0)</f>
        <v>0</v>
      </c>
      <c r="AJ73">
        <f>IF(AND(P73&lt;=N73,L73&gt;0),IF(Q73&lt;10,"UBL10",IF(Q73&gt;=200,"UBM200",IF(Q73&gt;=150,"UBM150",IF(Q73&gt;=100,"UBM100",IF(Q73&gt;=50,"UBM50","UBM10-50"))))),0)</f>
        <v>0</v>
      </c>
      <c r="AK73" t="s">
        <f>IF(Q73&lt;378,"down",IF(Q73=378,378,IF(Q73&gt;378,"up")))</f>
        <v>6</v>
      </c>
    </row>
    <row r="74" spans="1:37">
      <c r="A74">
        <f>IF(X74=6409,6409,"Error")</f>
        <v>6409</v>
      </c>
      <c r="B74" t="s">
        <f>IF(K74&lt;970,"down",IF(K74=970,"low",IF(K74=1005,"high",IF(AND(K74&gt;970,K74&lt;1005),"normal","up"))))</f>
        <v>79</v>
      </c>
      <c r="C74" t="s">
        <f>IF(K74&lt;970,"down",IF(K74=970,"low",IF(K74=1005,"high",IF(AND(K74&gt;970,K74&lt;1005),"normal","up"))))</f>
        <v>79</v>
      </c>
      <c r="D74" t="s">
        <f>IF(K74&lt;970,"down",IF(K74=970,"low",IF(K74=1005,"high",IF(AND(K74&gt;970,K74&lt;1005),"normal","up"))))</f>
        <v>79</v>
      </c>
      <c r="E74" t="s">
        <f>IF(K74&lt;878,"down",IF(K74=878,"low",IF(K74=1010,"high",IF(AND(K74&gt;878,K74&lt;1010),"normal","up"))))</f>
        <v>79</v>
      </c>
      <c r="F74" t="s">
        <f>IF(P74&lt;980,"PVP-down",IF(P74=980,980,IF(P74&gt;980,"PVP-up")))</f>
        <v>80</v>
      </c>
      <c r="G74" t="s">
        <f>IF(R74&lt;22,"PVV-down",IF(R74=22,22,IF(R74&gt;22,"PVV-up")))</f>
        <v>81</v>
      </c>
      <c r="H74" s="40">
        <f>R74/(Y74/10000)</f>
        <v>0.0026290045321157034</v>
      </c>
      <c r="I74">
        <v>980</v>
      </c>
      <c r="J74">
        <v>975</v>
      </c>
      <c r="K74">
        <v>980</v>
      </c>
      <c r="L74">
        <v>-5</v>
      </c>
      <c r="M74">
        <v>-0.0051000000000000004</v>
      </c>
      <c r="N74">
        <v>975</v>
      </c>
      <c r="O74">
        <v>991</v>
      </c>
      <c r="P74">
        <v>975</v>
      </c>
      <c r="Q74">
        <v>8</v>
      </c>
      <c r="R74">
        <v>219</v>
      </c>
      <c r="S74">
        <v>133</v>
      </c>
      <c r="T74" s="40">
        <f>((P74-K74)/K74)</f>
        <v>-0.0051020408163265302</v>
      </c>
      <c r="U74" s="40">
        <f>((T74*AB74)*D4)</f>
        <v>-0.14850169094908891</v>
      </c>
      <c r="V74" s="3">
        <f>IF(P74&lt;=N74,(P74*Q74*1000),0)</f>
        <v>7800000</v>
      </c>
      <c r="W74" s="3">
        <f>IF(P74&gt;=O74,(P74*Q74*1000),0)</f>
        <v>0</v>
      </c>
      <c r="X74">
        <v>6409</v>
      </c>
      <c r="Y74" s="3">
        <v>833014920</v>
      </c>
      <c r="Z74" s="40">
        <f>((C4*AB74)/P74)/10</f>
        <v>0.0027396200110509639</v>
      </c>
      <c r="AA74" s="40">
        <f>((M74*AB74)*C4)</f>
        <v>-0.1362276050495092</v>
      </c>
      <c r="AB74" s="40">
        <f>AE74/AE323</f>
        <v>0.0022774568630060609</v>
      </c>
      <c r="AC74" s="40">
        <f>AF74/AF323</f>
        <v>0.002267867833115101</v>
      </c>
      <c r="AD74" s="3">
        <f>IF(ISNA(J74),(I74*Y74)/10,(J74*Y74)/10)</f>
        <v>81218954700</v>
      </c>
      <c r="AE74" s="3">
        <f>IF(ISNA(P74),(I74*Y74)/10,(P74*Y74)/10)</f>
        <v>81218954700</v>
      </c>
      <c r="AF74" s="3">
        <f>(I74*Y74)/10</f>
        <v>81635462160</v>
      </c>
      <c r="AG74" t="s">
        <f>IF(AND(P74&lt;=N74,L74&lt;0),IF(Q74&lt;10,"DBL10",IF(Q74&gt;=200,"DBM200",IF(Q74&gt;=150,"DBM150",IF(Q74&gt;=100,"DBM100",IF(Q74&gt;=50,"DBM50","DBM10-50"))))),0)</f>
        <v>85</v>
      </c>
      <c r="AH74">
        <f>IF(AND(P74&gt;=O74,L74&lt;0),IF(Q74&lt;10,"DAL10",IF(Q74&gt;=200,"DAM200",IF(Q74&gt;=150,"DAM150",IF(Q74&gt;=100,"DAM100",IF(Q74&gt;=50,"DAM50","DAM10-50"))))),0)</f>
        <v>0</v>
      </c>
      <c r="AI74">
        <f>IF(AND(P74&gt;=O74,L74&gt;0),IF(Q74&lt;10,"UAL10",IF(Q74&gt;=200,"UAM200",IF(Q74&gt;=150,"UAM150",IF(Q74&gt;=100,"UAM100",IF(Q74&gt;=50,"UAM50","UAM10-50"))))),0)</f>
        <v>0</v>
      </c>
      <c r="AJ74">
        <f>IF(AND(P74&lt;=N74,L74&gt;0),IF(Q74&lt;10,"UBL10",IF(Q74&gt;=200,"UBM200",IF(Q74&gt;=150,"UBM150",IF(Q74&gt;=100,"UBM100",IF(Q74&gt;=50,"UBM50","UBM10-50"))))),0)</f>
        <v>0</v>
      </c>
      <c r="AK74" t="s">
        <f>IF(Q74&lt;0,"down",IF(Q74=0,0,IF(Q74&gt;0,"up")))</f>
        <v>6</v>
      </c>
    </row>
    <row r="75" spans="1:37">
      <c r="A75">
        <f>IF(X75=2347,2347,"Error")</f>
        <v>2347</v>
      </c>
      <c r="B75" t="s">
        <f>IF(K75&lt;42.799999999999997,"down",IF(K75=42.799999999999997,"low",IF(K75=43.5,"high",IF(AND(K75&gt;42.799999999999997,K75&lt;43.5),"normal","up"))))</f>
        <v>84</v>
      </c>
      <c r="C75" t="s">
        <f>IF(K75&lt;42.799999999999997,"down",IF(K75=42.799999999999997,"low",IF(K75=43.5,"high",IF(AND(K75&gt;42.799999999999997,K75&lt;43.5),"normal","up"))))</f>
        <v>84</v>
      </c>
      <c r="D75" t="s">
        <f>IF(K75&lt;42.799999999999997,"down",IF(K75=42.799999999999997,"low",IF(K75=43.5,"high",IF(AND(K75&gt;42.799999999999997,K75&lt;43.5),"normal","up"))))</f>
        <v>84</v>
      </c>
      <c r="E75" t="s">
        <f>IF(K75&lt;42.25,"down",IF(K75=42.25,"low",IF(K75=43.850000000000001,"high",IF(AND(K75&gt;42.25,K75&lt;43.850000000000001),"normal","up"))))</f>
        <v>79</v>
      </c>
      <c r="F75" t="s">
        <f>IF(P75&lt;42.950000000000003,"PVP-down",IF(P75=42.950000000000003,42.950000000000003,IF(P75&gt;42.950000000000003,"PVP-up")))</f>
        <v>83</v>
      </c>
      <c r="G75" t="s">
        <f>IF(R75&lt;354,"PVV-down",IF(R75=354,354,IF(R75&gt;354,"PVV-up")))</f>
        <v>81</v>
      </c>
      <c r="H75" s="40">
        <f>R75/(Y75/10000)</f>
        <v>0.0065811444911598651</v>
      </c>
      <c r="I75">
        <v>42.799999999999997</v>
      </c>
      <c r="J75">
        <v>44.399999999999999</v>
      </c>
      <c r="K75">
        <v>43.5</v>
      </c>
      <c r="L75">
        <v>1.6000000000000001</v>
      </c>
      <c r="M75">
        <v>0.037400000000000003</v>
      </c>
      <c r="N75">
        <v>44.399999999999999</v>
      </c>
      <c r="O75">
        <v>44.5</v>
      </c>
      <c r="P75">
        <v>44.399999999999999</v>
      </c>
      <c r="Q75">
        <v>663</v>
      </c>
      <c r="R75">
        <v>10977</v>
      </c>
      <c r="S75">
        <v>2357</v>
      </c>
      <c r="T75" s="40">
        <f>((P75-K75)/K75)</f>
        <v>0.020689655172413762</v>
      </c>
      <c r="U75" s="40">
        <f>((T75*AB75)*D4)</f>
        <v>0.54909632276947618</v>
      </c>
      <c r="V75" s="3">
        <f>IF(P75&lt;=N75,(P75*Q75*1000),0)</f>
        <v>29437200</v>
      </c>
      <c r="W75" s="3">
        <f>IF(P75&gt;=O75,(P75*Q75*1000),0)</f>
        <v>0</v>
      </c>
      <c r="X75">
        <v>2347</v>
      </c>
      <c r="Y75" s="3">
        <v>16679469680</v>
      </c>
      <c r="Z75" s="40">
        <f>((C4*AB75)/P75)/10</f>
        <v>0.054855450739160615</v>
      </c>
      <c r="AA75" s="40">
        <f>((M75*AB75)*C4)</f>
        <v>0.91090767279420548</v>
      </c>
      <c r="AB75" s="40">
        <f>AE75/AE323</f>
        <v>0.0020766244946690718</v>
      </c>
      <c r="AC75" s="40">
        <f>AF75/AF323</f>
        <v>0.0019831925970902825</v>
      </c>
      <c r="AD75" s="3">
        <f>IF(ISNA(J75),(I75*Y75)/10,(J75*Y75)/10)</f>
        <v>74056845379.199997</v>
      </c>
      <c r="AE75" s="3">
        <f>IF(ISNA(P75),(I75*Y75)/10,(P75*Y75)/10)</f>
        <v>74056845379.199997</v>
      </c>
      <c r="AF75" s="3">
        <f>(I75*Y75)/10</f>
        <v>71388130230.399994</v>
      </c>
      <c r="AG75">
        <f>IF(AND(P75&lt;=N75,L75&lt;0),IF(Q75&lt;10,"DBL10",IF(Q75&gt;=200,"DBM200",IF(Q75&gt;=150,"DBM150",IF(Q75&gt;=100,"DBM100",IF(Q75&gt;=50,"DBM50","DBM10-50"))))),0)</f>
        <v>0</v>
      </c>
      <c r="AH75">
        <f>IF(AND(P75&gt;=O75,L75&lt;0),IF(Q75&lt;10,"DAL10",IF(Q75&gt;=200,"DAM200",IF(Q75&gt;=150,"DAM150",IF(Q75&gt;=100,"DAM100",IF(Q75&gt;=50,"DAM50","DAM10-50"))))),0)</f>
        <v>0</v>
      </c>
      <c r="AI75">
        <f>IF(AND(P75&gt;=O75,L75&gt;0),IF(Q75&lt;10,"UAL10",IF(Q75&gt;=200,"UAM200",IF(Q75&gt;=150,"UAM150",IF(Q75&gt;=100,"UAM100",IF(Q75&gt;=50,"UAM50","UAM10-50"))))),0)</f>
        <v>0</v>
      </c>
      <c r="AJ75" t="s">
        <f>IF(AND(P75&lt;=N75,L75&gt;0),IF(Q75&lt;10,"UBL10",IF(Q75&gt;=200,"UBM200",IF(Q75&gt;=150,"UBM150",IF(Q75&gt;=100,"UBM100",IF(Q75&gt;=50,"UBM50","UBM10-50"))))),0)</f>
        <v>21</v>
      </c>
      <c r="AK75" t="s">
        <f>IF(Q75&lt;187,"down",IF(Q75=187,187,IF(Q75&gt;187,"up")))</f>
        <v>6</v>
      </c>
    </row>
    <row r="76" spans="1:37">
      <c r="A76">
        <f>IF(X76=2360,2360,"Error")</f>
        <v>2360</v>
      </c>
      <c r="B76" t="s">
        <f>IF(K76&lt;157.5,"down",IF(K76=157.5,"low",IF(K76=162,"high",IF(AND(K76&gt;157.5,K76&lt;162),"normal","up"))))</f>
        <v>79</v>
      </c>
      <c r="C76" t="s">
        <f>IF(K76&lt;157.5,"down",IF(K76=157.5,"low",IF(K76=162,"high",IF(AND(K76&gt;157.5,K76&lt;162),"normal","up"))))</f>
        <v>79</v>
      </c>
      <c r="D76" t="s">
        <f>IF(K76&lt;157.5,"down",IF(K76=157.5,"low",IF(K76=162,"high",IF(AND(K76&gt;157.5,K76&lt;162),"normal","up"))))</f>
        <v>79</v>
      </c>
      <c r="E76" t="s">
        <f>IF(K76&lt;157.5,"down",IF(K76=157.5,"low",IF(K76=173,"high",IF(AND(K76&gt;157.5,K76&lt;173),"normal","up"))))</f>
        <v>79</v>
      </c>
      <c r="F76" t="s">
        <f>IF(P76&lt;158,"PVP-down",IF(P76=158,158,IF(P76&gt;158,"PVP-up")))</f>
        <v>83</v>
      </c>
      <c r="G76" t="s">
        <f>IF(R76&lt;304,"PVV-down",IF(R76=304,304,IF(R76&gt;304,"PVV-up")))</f>
        <v>81</v>
      </c>
      <c r="H76" s="40">
        <f>R76/(Y76/10000)</f>
        <v>0.0021485522476224908</v>
      </c>
      <c r="I76">
        <v>158</v>
      </c>
      <c r="J76">
        <v>158.5</v>
      </c>
      <c r="K76">
        <v>160</v>
      </c>
      <c r="L76">
        <v>0.5</v>
      </c>
      <c r="M76">
        <v>0.0032000000000000002</v>
      </c>
      <c r="N76">
        <v>158.5</v>
      </c>
      <c r="O76">
        <v>159</v>
      </c>
      <c r="P76">
        <v>158.5</v>
      </c>
      <c r="Q76">
        <v>40</v>
      </c>
      <c r="R76">
        <v>904</v>
      </c>
      <c r="S76">
        <v>840</v>
      </c>
      <c r="T76" s="40">
        <f>((P76-K76)/K76)</f>
        <v>-0.0093749999999999997</v>
      </c>
      <c r="U76" s="40">
        <f>((T76*AB76)*D4)</f>
        <v>-0.22405422031832203</v>
      </c>
      <c r="V76" s="3">
        <f>IF(P76&lt;=N76,(P76*Q76*1000),0)</f>
        <v>6340000</v>
      </c>
      <c r="W76" s="3">
        <f>IF(P76&gt;=O76,(P76*Q76*1000),0)</f>
        <v>0</v>
      </c>
      <c r="X76">
        <v>2360</v>
      </c>
      <c r="Y76" s="3">
        <v>4207484370</v>
      </c>
      <c r="Z76" s="40">
        <f>((C4*AB76)/P76)/10</f>
        <v>0.013837577334432569</v>
      </c>
      <c r="AA76" s="40">
        <f>((M76*AB76)*C4)</f>
        <v>0.070184192240241985</v>
      </c>
      <c r="AB76" s="40">
        <f>AE76/AE323</f>
        <v>0.0018700126394016327</v>
      </c>
      <c r="AC76" s="40">
        <f>AF76/AF323</f>
        <v>0.0018467941222556237</v>
      </c>
      <c r="AD76" s="3">
        <f>IF(ISNA(J76),(I76*Y76)/10,(J76*Y76)/10)</f>
        <v>66688627264.5</v>
      </c>
      <c r="AE76" s="3">
        <f>IF(ISNA(P76),(I76*Y76)/10,(P76*Y76)/10)</f>
        <v>66688627264.5</v>
      </c>
      <c r="AF76" s="3">
        <f>(I76*Y76)/10</f>
        <v>66478253046</v>
      </c>
      <c r="AG76">
        <f>IF(AND(P76&lt;=N76,L76&lt;0),IF(Q76&lt;10,"DBL10",IF(Q76&gt;=200,"DBM200",IF(Q76&gt;=150,"DBM150",IF(Q76&gt;=100,"DBM100",IF(Q76&gt;=50,"DBM50","DBM10-50"))))),0)</f>
        <v>0</v>
      </c>
      <c r="AH76">
        <f>IF(AND(P76&gt;=O76,L76&lt;0),IF(Q76&lt;10,"DAL10",IF(Q76&gt;=200,"DAM200",IF(Q76&gt;=150,"DAM150",IF(Q76&gt;=100,"DAM100",IF(Q76&gt;=50,"DAM50","DAM10-50"))))),0)</f>
        <v>0</v>
      </c>
      <c r="AI76">
        <f>IF(AND(P76&gt;=O76,L76&gt;0),IF(Q76&lt;10,"UAL10",IF(Q76&gt;=200,"UAM200",IF(Q76&gt;=150,"UAM150",IF(Q76&gt;=100,"UAM100",IF(Q76&gt;=50,"UAM50","UAM10-50"))))),0)</f>
        <v>0</v>
      </c>
      <c r="AJ76" t="s">
        <f>IF(AND(P76&lt;=N76,L76&gt;0),IF(Q76&lt;10,"UBL10",IF(Q76&gt;=200,"UBM200",IF(Q76&gt;=150,"UBM150",IF(Q76&gt;=100,"UBM100",IF(Q76&gt;=50,"UBM50","UBM10-50"))))),0)</f>
        <v>17</v>
      </c>
      <c r="AK76" t="s">
        <f>IF(Q76&lt;10,"down",IF(Q76=10,10,IF(Q76&gt;10,"up")))</f>
        <v>6</v>
      </c>
    </row>
    <row r="77" spans="1:37">
      <c r="A77">
        <f>IF(X77=3702,3702,"Error")</f>
        <v>3702</v>
      </c>
      <c r="B77" t="s">
        <f>IF(K77&lt;39.950000000000003,"down",IF(K77=39.950000000000003,"low",IF(K77=40.25,"high",IF(AND(K77&gt;39.950000000000003,K77&lt;40.25),"normal","up"))))</f>
        <v>6</v>
      </c>
      <c r="C77" t="s">
        <f>IF(K77&lt;39.950000000000003,"down",IF(K77=39.950000000000003,"low",IF(K77=40.25,"high",IF(AND(K77&gt;39.950000000000003,K77&lt;40.25),"normal","up"))))</f>
        <v>6</v>
      </c>
      <c r="D77" t="s">
        <f>IF(K77&lt;39.950000000000003,"down",IF(K77=39.950000000000003,"low",IF(K77=40.25,"high",IF(AND(K77&gt;39.950000000000003,K77&lt;40.25),"normal","up"))))</f>
        <v>6</v>
      </c>
      <c r="E77" t="s">
        <f>IF(K77&lt;39.450000000000003,"down",IF(K77=39.450000000000003,"low",IF(K77=40.600000000000001,"high",IF(AND(K77&gt;39.450000000000003,K77&lt;40.600000000000001),"normal","up"))))</f>
        <v>79</v>
      </c>
      <c r="F77" t="s">
        <f>IF(P77&lt;40,"PVP-down",IF(P77=40,40,IF(P77&gt;40,"PVP-up")))</f>
        <v>83</v>
      </c>
      <c r="G77" t="s">
        <f>IF(R77&lt;1373,"PVV-down",IF(R77=1373,1373,IF(R77&gt;1373,"PVV-up")))</f>
        <v>81</v>
      </c>
      <c r="H77" s="40">
        <f>R77/(Y77/10000)</f>
        <v>0.0024054621023801678</v>
      </c>
      <c r="I77">
        <v>40</v>
      </c>
      <c r="J77">
        <v>40.350000000000001</v>
      </c>
      <c r="K77">
        <v>40.299999999999997</v>
      </c>
      <c r="L77">
        <v>0.34999999999999998</v>
      </c>
      <c r="M77">
        <v>0.0088000000000000005</v>
      </c>
      <c r="N77">
        <v>40.299999999999997</v>
      </c>
      <c r="O77">
        <v>40.350000000000001</v>
      </c>
      <c r="P77">
        <v>40.350000000000001</v>
      </c>
      <c r="Q77">
        <v>358</v>
      </c>
      <c r="R77">
        <v>4520</v>
      </c>
      <c r="S77">
        <v>2298</v>
      </c>
      <c r="T77" s="40">
        <f>((P77-K77)/K77)</f>
        <v>0.0012406947890819917</v>
      </c>
      <c r="U77" s="40">
        <f>((T77*AB77)*D4)</f>
        <v>0.033711531865189222</v>
      </c>
      <c r="V77" s="3">
        <f>IF(P77&lt;=N77,(P77*Q77*1000),0)</f>
        <v>0</v>
      </c>
      <c r="W77" s="3">
        <f>IF(P77&gt;=O77,(P77*Q77*1000),0)</f>
        <v>14445300.000000002</v>
      </c>
      <c r="X77">
        <v>3702</v>
      </c>
      <c r="Y77" s="3">
        <v>18790568330</v>
      </c>
      <c r="Z77" s="40">
        <f>((C4*AB77)/P77)/10</f>
        <v>0.061798433353256743</v>
      </c>
      <c r="AA77" s="40">
        <f>((M77*AB77)*C4)</f>
        <v>0.21943387715074406</v>
      </c>
      <c r="AB77" s="40">
        <f>AE77/AE323</f>
        <v>0.0021260634375029003</v>
      </c>
      <c r="AC77" s="40">
        <f>AF77/AF323</f>
        <v>0.0020880398960949958</v>
      </c>
      <c r="AD77" s="3">
        <f>IF(ISNA(J77),(I77*Y77)/10,(J77*Y77)/10)</f>
        <v>75819943211.550003</v>
      </c>
      <c r="AE77" s="3">
        <f>IF(ISNA(P77),(I77*Y77)/10,(P77*Y77)/10)</f>
        <v>75819943211.550003</v>
      </c>
      <c r="AF77" s="3">
        <f>(I77*Y77)/10</f>
        <v>75162273320</v>
      </c>
      <c r="AG77">
        <f>IF(AND(P77&lt;=N77,L77&lt;0),IF(Q77&lt;10,"DBL10",IF(Q77&gt;=200,"DBM200",IF(Q77&gt;=150,"DBM150",IF(Q77&gt;=100,"DBM100",IF(Q77&gt;=50,"DBM50","DBM10-50"))))),0)</f>
        <v>0</v>
      </c>
      <c r="AH77">
        <f>IF(AND(P77&gt;=O77,L77&lt;0),IF(Q77&lt;10,"DAL10",IF(Q77&gt;=200,"DAM200",IF(Q77&gt;=150,"DAM150",IF(Q77&gt;=100,"DAM100",IF(Q77&gt;=50,"DAM50","DAM10-50"))))),0)</f>
        <v>0</v>
      </c>
      <c r="AI77" t="s">
        <f>IF(AND(P77&gt;=O77,L77&gt;0),IF(Q77&lt;10,"UAL10",IF(Q77&gt;=200,"UAM200",IF(Q77&gt;=150,"UAM150",IF(Q77&gt;=100,"UAM100",IF(Q77&gt;=50,"UAM50","UAM10-50"))))),0)</f>
        <v>31</v>
      </c>
      <c r="AJ77">
        <f>IF(AND(P77&lt;=N77,L77&gt;0),IF(Q77&lt;10,"UBL10",IF(Q77&gt;=200,"UBM200",IF(Q77&gt;=150,"UBM150",IF(Q77&gt;=100,"UBM100",IF(Q77&gt;=50,"UBM50","UBM10-50"))))),0)</f>
        <v>0</v>
      </c>
      <c r="AK77" t="s">
        <f>IF(Q77&lt;10,"down",IF(Q77=10,10,IF(Q77&gt;10,"up")))</f>
        <v>6</v>
      </c>
    </row>
    <row r="78" spans="1:37">
      <c r="A78">
        <f>IF(X78=3044,3044,"Error")</f>
        <v>3044</v>
      </c>
      <c r="B78" t="s">
        <f>IF(K78&lt;125,"down",IF(K78=125,"low",IF(K78=131.5,"high",IF(AND(K78&gt;125,K78&lt;131.5),"normal","up"))))</f>
        <v>7</v>
      </c>
      <c r="C78" t="s">
        <f>IF(K78&lt;125,"down",IF(K78=125,"low",IF(K78=131.5,"high",IF(AND(K78&gt;125,K78&lt;131.5),"normal","up"))))</f>
        <v>7</v>
      </c>
      <c r="D78" t="s">
        <f>IF(K78&lt;125,"down",IF(K78=125,"low",IF(K78=131.5,"high",IF(AND(K78&gt;125,K78&lt;131.5),"normal","up"))))</f>
        <v>7</v>
      </c>
      <c r="E78" t="s">
        <f>IF(K78&lt;124,"down",IF(K78=124,"low",IF(K78=132,"high",IF(AND(K78&gt;124,K78&lt;132),"normal","up"))))</f>
        <v>7</v>
      </c>
      <c r="F78" t="s">
        <f>IF(P78&lt;130,"PVP-down",IF(P78=130,130,IF(P78&gt;130,"PVP-up")))</f>
        <v>80</v>
      </c>
      <c r="G78" t="s">
        <f>IF(R78&lt;784,"PVV-down",IF(R78=784,784,IF(R78&gt;784,"PVV-up")))</f>
        <v>81</v>
      </c>
      <c r="H78" s="40">
        <f>R78/(Y78/10000)</f>
        <v>0.011930992448642574</v>
      </c>
      <c r="I78">
        <v>125.5</v>
      </c>
      <c r="J78">
        <v>122</v>
      </c>
      <c r="K78">
        <v>123.5</v>
      </c>
      <c r="L78">
        <v>-3.5</v>
      </c>
      <c r="M78">
        <v>-0.027900000000000001</v>
      </c>
      <c r="N78">
        <v>122</v>
      </c>
      <c r="O78">
        <v>122.5</v>
      </c>
      <c r="P78">
        <v>122</v>
      </c>
      <c r="Q78">
        <v>214</v>
      </c>
      <c r="R78">
        <v>6271</v>
      </c>
      <c r="S78">
        <v>4515</v>
      </c>
      <c r="T78" s="40">
        <f>((P78-K78)/K78)</f>
        <v>-0.012145748987854251</v>
      </c>
      <c r="U78" s="40">
        <f>((T78*AB78)*D4)</f>
        <v>-0.27910938291249709</v>
      </c>
      <c r="V78" s="3">
        <f>IF(P78&lt;=N78,(P78*Q78*1000),0)</f>
        <v>26108000</v>
      </c>
      <c r="W78" s="3">
        <f>IF(P78&gt;=O78,(P78*Q78*1000),0)</f>
        <v>0</v>
      </c>
      <c r="X78">
        <v>3044</v>
      </c>
      <c r="Y78" s="3">
        <v>5256058980</v>
      </c>
      <c r="Z78" s="40">
        <f>((C4*AB78)/P78)/10</f>
        <v>0.017286130194249245</v>
      </c>
      <c r="AA78" s="40">
        <f>((M78*AB78)*C4)</f>
        <v>-0.58838529955185581</v>
      </c>
      <c r="AB78" s="40">
        <f>AE78/AE323</f>
        <v>0.0017980957919870983</v>
      </c>
      <c r="AC78" s="40">
        <f>AF78/AF323</f>
        <v>0.0018324951806178026</v>
      </c>
      <c r="AD78" s="3">
        <f>IF(ISNA(J78),(I78*Y78)/10,(J78*Y78)/10)</f>
        <v>64123919556</v>
      </c>
      <c r="AE78" s="3">
        <f>IF(ISNA(P78),(I78*Y78)/10,(P78*Y78)/10)</f>
        <v>64123919556</v>
      </c>
      <c r="AF78" s="3">
        <f>(I78*Y78)/10</f>
        <v>65963540199</v>
      </c>
      <c r="AG78" t="s">
        <f>IF(AND(P78&lt;=N78,L78&lt;0),IF(Q78&lt;10,"DBL10",IF(Q78&gt;=200,"DBM200",IF(Q78&gt;=150,"DBM150",IF(Q78&gt;=100,"DBM100",IF(Q78&gt;=50,"DBM50","DBM10-50"))))),0)</f>
        <v>16</v>
      </c>
      <c r="AH78">
        <f>IF(AND(P78&gt;=O78,L78&lt;0),IF(Q78&lt;10,"DAL10",IF(Q78&gt;=200,"DAM200",IF(Q78&gt;=150,"DAM150",IF(Q78&gt;=100,"DAM100",IF(Q78&gt;=50,"DAM50","DAM10-50"))))),0)</f>
        <v>0</v>
      </c>
      <c r="AI78">
        <f>IF(AND(P78&gt;=O78,L78&gt;0),IF(Q78&lt;10,"UAL10",IF(Q78&gt;=200,"UAM200",IF(Q78&gt;=150,"UAM150",IF(Q78&gt;=100,"UAM100",IF(Q78&gt;=50,"UAM50","UAM10-50"))))),0)</f>
        <v>0</v>
      </c>
      <c r="AJ78">
        <f>IF(AND(P78&lt;=N78,L78&gt;0),IF(Q78&lt;10,"UBL10",IF(Q78&gt;=200,"UBM200",IF(Q78&gt;=150,"UBM150",IF(Q78&gt;=100,"UBM100",IF(Q78&gt;=50,"UBM50","UBM10-50"))))),0)</f>
        <v>0</v>
      </c>
      <c r="AK78" t="s">
        <f>IF(Q78&lt;61,"down",IF(Q78=61,61,IF(Q78&gt;61,"up")))</f>
        <v>6</v>
      </c>
    </row>
    <row r="79" spans="1:37">
      <c r="A79">
        <f>IF(X79=8046,8046,"Error")</f>
        <v>8046</v>
      </c>
      <c r="B79" t="s">
        <f>IF(K79&lt;111.5,"down",IF(K79=111.5,"low",IF(K79=121,"high",IF(AND(K79&gt;111.5,K79&lt;121),"normal","up"))))</f>
        <v>79</v>
      </c>
      <c r="C79" t="s">
        <f>IF(K79&lt;111.5,"down",IF(K79=111.5,"low",IF(K79=121,"high",IF(AND(K79&gt;111.5,K79&lt;121),"normal","up"))))</f>
        <v>79</v>
      </c>
      <c r="D79" t="s">
        <f>IF(K79&lt;111.5,"down",IF(K79=111.5,"low",IF(K79=121,"high",IF(AND(K79&gt;111.5,K79&lt;121),"normal","up"))))</f>
        <v>79</v>
      </c>
      <c r="E79" t="s">
        <f>IF(K79&lt;100,"down",IF(K79=100,"low",IF(K79=121.5,"high",IF(AND(K79&gt;100,K79&lt;121.5),"normal","up"))))</f>
        <v>79</v>
      </c>
      <c r="F79" t="s">
        <f>IF(P79&lt;120,"PVP-down",IF(P79=120,120,IF(P79&gt;120,"PVP-up")))</f>
        <v>80</v>
      </c>
      <c r="G79" t="s">
        <f>IF(R79&lt;3874,"PVV-down",IF(R79=3874,3874,IF(R79&gt;3874,"PVV-up")))</f>
        <v>81</v>
      </c>
      <c r="H79" s="40">
        <f>R79/(Y79/10000)</f>
        <v>0.044617053340083451</v>
      </c>
      <c r="I79">
        <v>120</v>
      </c>
      <c r="J79">
        <v>117.5</v>
      </c>
      <c r="K79">
        <v>118</v>
      </c>
      <c r="L79">
        <v>-2.5</v>
      </c>
      <c r="M79">
        <v>-0.020799999999999999</v>
      </c>
      <c r="N79">
        <v>117.5</v>
      </c>
      <c r="O79">
        <v>118</v>
      </c>
      <c r="P79">
        <v>117.5</v>
      </c>
      <c r="Q79">
        <v>888</v>
      </c>
      <c r="R79">
        <v>28830</v>
      </c>
      <c r="S79">
        <v>22648</v>
      </c>
      <c r="T79" s="40">
        <f>((P79-K79)/K79)</f>
        <v>-0.0042372881355932203</v>
      </c>
      <c r="U79" s="40">
        <f>((T79*AB79)*D4)</f>
        <v>-0.11529213878916859</v>
      </c>
      <c r="V79" s="3">
        <f>IF(P79&lt;=N79,(P79*Q79*1000),0)</f>
        <v>104340000</v>
      </c>
      <c r="W79" s="3">
        <f>IF(P79&gt;=O79,(P79*Q79*1000),0)</f>
        <v>0</v>
      </c>
      <c r="X79">
        <v>8046</v>
      </c>
      <c r="Y79" s="3">
        <v>6461654870</v>
      </c>
      <c r="Z79" s="40">
        <f>((C4*AB79)/P79)/10</f>
        <v>0.021251094741924811</v>
      </c>
      <c r="AA79" s="40">
        <f>((M79*AB79)*C4)</f>
        <v>-0.51937675549264239</v>
      </c>
      <c r="AB79" s="40">
        <f>AE79/AE323</f>
        <v>0.0021289937594232782</v>
      </c>
      <c r="AC79" s="40">
        <f>AF79/AF323</f>
        <v>0.0021540902211801046</v>
      </c>
      <c r="AD79" s="3">
        <f>IF(ISNA(J79),(I79*Y79)/10,(J79*Y79)/10)</f>
        <v>75924444722.5</v>
      </c>
      <c r="AE79" s="3">
        <f>IF(ISNA(P79),(I79*Y79)/10,(P79*Y79)/10)</f>
        <v>75924444722.5</v>
      </c>
      <c r="AF79" s="3">
        <f>(I79*Y79)/10</f>
        <v>77539858440</v>
      </c>
      <c r="AG79" t="s">
        <f>IF(AND(P79&lt;=N79,L79&lt;0),IF(Q79&lt;10,"DBL10",IF(Q79&gt;=200,"DBM200",IF(Q79&gt;=150,"DBM150",IF(Q79&gt;=100,"DBM100",IF(Q79&gt;=50,"DBM50","DBM10-50"))))),0)</f>
        <v>16</v>
      </c>
      <c r="AH79">
        <f>IF(AND(P79&gt;=O79,L79&lt;0),IF(Q79&lt;10,"DAL10",IF(Q79&gt;=200,"DAM200",IF(Q79&gt;=150,"DAM150",IF(Q79&gt;=100,"DAM100",IF(Q79&gt;=50,"DAM50","DAM10-50"))))),0)</f>
        <v>0</v>
      </c>
      <c r="AI79">
        <f>IF(AND(P79&gt;=O79,L79&gt;0),IF(Q79&lt;10,"UAL10",IF(Q79&gt;=200,"UAM200",IF(Q79&gt;=150,"UAM150",IF(Q79&gt;=100,"UAM100",IF(Q79&gt;=50,"UAM50","UAM10-50"))))),0)</f>
        <v>0</v>
      </c>
      <c r="AJ79">
        <f>IF(AND(P79&lt;=N79,L79&gt;0),IF(Q79&lt;10,"UBL10",IF(Q79&gt;=200,"UBM200",IF(Q79&gt;=150,"UBM150",IF(Q79&gt;=100,"UBM100",IF(Q79&gt;=50,"UBM50","UBM10-50"))))),0)</f>
        <v>0</v>
      </c>
      <c r="AK79" t="s">
        <f>IF(Q79&lt;348,"down",IF(Q79=348,348,IF(Q79&gt;348,"up")))</f>
        <v>6</v>
      </c>
    </row>
    <row r="80" spans="1:37">
      <c r="A80">
        <f>IF(X80=2385,2385,"Error")</f>
        <v>2385</v>
      </c>
      <c r="B80" t="s">
        <f>IF(K80&lt;89,"down",IF(K80=89,"low",IF(K80=93.700000000000003,"high",IF(AND(K80&gt;89,K80&lt;93.700000000000003),"normal","up"))))</f>
        <v>6</v>
      </c>
      <c r="C80" t="s">
        <f>IF(K80&lt;89,"down",IF(K80=89,"low",IF(K80=93.700000000000003,"high",IF(AND(K80&gt;89,K80&lt;93.700000000000003),"normal","up"))))</f>
        <v>6</v>
      </c>
      <c r="D80" t="s">
        <f>IF(K80&lt;89,"down",IF(K80=89,"low",IF(K80=93.700000000000003,"high",IF(AND(K80&gt;89,K80&lt;93.700000000000003),"normal","up"))))</f>
        <v>6</v>
      </c>
      <c r="E80" t="s">
        <f>IF(K80&lt;84.599999999999994,"down",IF(K80=84.599999999999994,"low",IF(K80=93.700000000000003,"high",IF(AND(K80&gt;84.599999999999994,K80&lt;93.700000000000003),"normal","up"))))</f>
        <v>6</v>
      </c>
      <c r="F80" t="s">
        <f>IF(P80&lt;91,"PVP-down",IF(P80=91,91,IF(P80&gt;91,"PVP-up")))</f>
        <v>80</v>
      </c>
      <c r="G80" t="s">
        <f>IF(R80&lt;576,"PVV-down",IF(R80=576,576,IF(R80&gt;576,"PVV-up")))</f>
        <v>81</v>
      </c>
      <c r="H80" s="40">
        <f>R80/(Y80/10000)</f>
        <v>0.0095461514296305023</v>
      </c>
      <c r="I80">
        <v>93.599999999999994</v>
      </c>
      <c r="J80">
        <v>88.599999999999994</v>
      </c>
      <c r="K80">
        <v>95.099999999999994</v>
      </c>
      <c r="L80">
        <v>-5</v>
      </c>
      <c r="M80">
        <v>-0.053400000000000003</v>
      </c>
      <c r="N80">
        <v>88.599999999999994</v>
      </c>
      <c r="O80">
        <v>88.700000000000003</v>
      </c>
      <c r="P80">
        <v>88.599999999999994</v>
      </c>
      <c r="Q80">
        <v>353</v>
      </c>
      <c r="R80">
        <v>7059</v>
      </c>
      <c r="S80">
        <v>6529</v>
      </c>
      <c r="T80" s="40">
        <f>((P80-K80)/K80)</f>
        <v>-0.068349106203995799</v>
      </c>
      <c r="U80" s="40">
        <f>((T80*AB80)*D4)</f>
        <v>-1.6047652029169923</v>
      </c>
      <c r="V80" s="3">
        <f>IF(P80&lt;=N80,(P80*Q80*1000),0)</f>
        <v>31275800</v>
      </c>
      <c r="W80" s="3">
        <f>IF(P80&gt;=O80,(P80*Q80*1000),0)</f>
        <v>0</v>
      </c>
      <c r="X80">
        <v>2385</v>
      </c>
      <c r="Y80" s="3">
        <v>7394603000</v>
      </c>
      <c r="Z80" s="40">
        <f>((C4*AB80)/P80)/10</f>
        <v>0.024319375159063773</v>
      </c>
      <c r="AA80" s="40">
        <f>((M80*AB80)*C4)</f>
        <v>-1.1506080052756888</v>
      </c>
      <c r="AB80" s="40">
        <f>AE80/AE323</f>
        <v>0.0018371361735191002</v>
      </c>
      <c r="AC80" s="40">
        <f>AF80/AF323</f>
        <v>0.0019227800028278315</v>
      </c>
      <c r="AD80" s="3">
        <f>IF(ISNA(J80),(I80*Y80)/10,(J80*Y80)/10)</f>
        <v>65516182580</v>
      </c>
      <c r="AE80" s="3">
        <f>IF(ISNA(P80),(I80*Y80)/10,(P80*Y80)/10)</f>
        <v>65516182580</v>
      </c>
      <c r="AF80" s="3">
        <f>(I80*Y80)/10</f>
        <v>69213484080</v>
      </c>
      <c r="AG80" t="s">
        <f>IF(AND(P80&lt;=N80,L80&lt;0),IF(Q80&lt;10,"DBL10",IF(Q80&gt;=200,"DBM200",IF(Q80&gt;=150,"DBM150",IF(Q80&gt;=100,"DBM100",IF(Q80&gt;=50,"DBM50","DBM10-50"))))),0)</f>
        <v>16</v>
      </c>
      <c r="AH80">
        <f>IF(AND(P80&gt;=O80,L80&lt;0),IF(Q80&lt;10,"DAL10",IF(Q80&gt;=200,"DAM200",IF(Q80&gt;=150,"DAM150",IF(Q80&gt;=100,"DAM100",IF(Q80&gt;=50,"DAM50","DAM10-50"))))),0)</f>
        <v>0</v>
      </c>
      <c r="AI80">
        <f>IF(AND(P80&gt;=O80,L80&gt;0),IF(Q80&lt;10,"UAL10",IF(Q80&gt;=200,"UAM200",IF(Q80&gt;=150,"UAM150",IF(Q80&gt;=100,"UAM100",IF(Q80&gt;=50,"UAM50","UAM10-50"))))),0)</f>
        <v>0</v>
      </c>
      <c r="AJ80">
        <f>IF(AND(P80&lt;=N80,L80&gt;0),IF(Q80&lt;10,"UBL10",IF(Q80&gt;=200,"UBM200",IF(Q80&gt;=150,"UBM150",IF(Q80&gt;=100,"UBM100",IF(Q80&gt;=50,"UBM50","UBM10-50"))))),0)</f>
        <v>0</v>
      </c>
      <c r="AK80" t="s">
        <f>IF(Q80&lt;84,"down",IF(Q80=84,84,IF(Q80&gt;84,"up")))</f>
        <v>6</v>
      </c>
    </row>
    <row r="81" spans="1:37">
      <c r="A81">
        <f>IF(X81=2353,2353,"Error")</f>
        <v>2353</v>
      </c>
      <c r="B81" t="s">
        <f>IF(K81&lt;22.199999999999999,"down",IF(K81=22.199999999999999,"low",IF(K81=23.850000000000001,"high",IF(AND(K81&gt;22.199999999999999,K81&lt;23.850000000000001),"normal","up"))))</f>
        <v>79</v>
      </c>
      <c r="C81" t="s">
        <f>IF(K81&lt;22.199999999999999,"down",IF(K81=22.199999999999999,"low",IF(K81=23.850000000000001,"high",IF(AND(K81&gt;22.199999999999999,K81&lt;23.850000000000001),"normal","up"))))</f>
        <v>79</v>
      </c>
      <c r="D81" t="s">
        <f>IF(K81&lt;22.199999999999999,"down",IF(K81=22.199999999999999,"low",IF(K81=23.850000000000001,"high",IF(AND(K81&gt;22.199999999999999,K81&lt;23.850000000000001),"normal","up"))))</f>
        <v>79</v>
      </c>
      <c r="E81" t="s">
        <f>IF(K81&lt;20.100000000000001,"down",IF(K81=20.100000000000001,"low",IF(K81=23.850000000000001,"high",IF(AND(K81&gt;20.100000000000001,K81&lt;23.850000000000001),"normal","up"))))</f>
        <v>79</v>
      </c>
      <c r="F81" t="s">
        <f>IF(P81&lt;23.199999999999999,"PVP-down",IF(P81=23.199999999999999,23.199999999999999,IF(P81&gt;23.199999999999999,"PVP-up")))</f>
        <v>80</v>
      </c>
      <c r="G81" t="s">
        <f>IF(R81&lt;9787,"PVV-down",IF(R81=9787,9787,IF(R81&gt;9787,"PVV-up")))</f>
        <v>81</v>
      </c>
      <c r="H81" s="40">
        <f>R81/(Y81/10000)</f>
        <v>0.019400417484366106</v>
      </c>
      <c r="I81">
        <v>23.199999999999999</v>
      </c>
      <c r="J81">
        <v>22.550000000000001</v>
      </c>
      <c r="K81">
        <v>23.199999999999999</v>
      </c>
      <c r="L81">
        <v>-0.65000000000000002</v>
      </c>
      <c r="M81">
        <v>-0.028000000000000001</v>
      </c>
      <c r="N81">
        <v>22.5</v>
      </c>
      <c r="O81">
        <v>22.550000000000001</v>
      </c>
      <c r="P81">
        <v>22.550000000000001</v>
      </c>
      <c r="Q81">
        <v>2344</v>
      </c>
      <c r="R81">
        <v>59655</v>
      </c>
      <c r="S81">
        <v>106674</v>
      </c>
      <c r="T81" s="40">
        <f>((P81-K81)/K81)</f>
        <v>-0.028017241379310283</v>
      </c>
      <c r="U81" s="40">
        <f>((T81*AB81)*D4)</f>
        <v>-0.69620600792726206</v>
      </c>
      <c r="V81" s="3">
        <f>IF(P81&lt;=N81,(P81*Q81*1000),0)</f>
        <v>0</v>
      </c>
      <c r="W81" s="3">
        <f>IF(P81&gt;=O81,(P81*Q81*1000),0)</f>
        <v>52857200.000000007</v>
      </c>
      <c r="X81">
        <v>2353</v>
      </c>
      <c r="Y81" s="3">
        <v>30749338280</v>
      </c>
      <c r="Z81" s="40">
        <f>((C4*AB81)/P81)/10</f>
        <v>0.10112844374799845</v>
      </c>
      <c r="AA81" s="40">
        <f>((M81*AB81)*C4)</f>
        <v>-0.63852499382486216</v>
      </c>
      <c r="AB81" s="40">
        <f>AE81/AE323</f>
        <v>0.0019443528658160088</v>
      </c>
      <c r="AC81" s="40">
        <f>AF81/AF323</f>
        <v>0.0019818128705931179</v>
      </c>
      <c r="AD81" s="3">
        <f>IF(ISNA(J81),(I81*Y81)/10,(J81*Y81)/10)</f>
        <v>69339757821.399994</v>
      </c>
      <c r="AE81" s="3">
        <f>IF(ISNA(P81),(I81*Y81)/10,(P81*Y81)/10)</f>
        <v>69339757821.399994</v>
      </c>
      <c r="AF81" s="3">
        <f>(I81*Y81)/10</f>
        <v>71338464809.600006</v>
      </c>
      <c r="AG81">
        <f>IF(AND(P81&lt;=N81,L81&lt;0),IF(Q81&lt;10,"DBL10",IF(Q81&gt;=200,"DBM200",IF(Q81&gt;=150,"DBM150",IF(Q81&gt;=100,"DBM100",IF(Q81&gt;=50,"DBM50","DBM10-50"))))),0)</f>
        <v>0</v>
      </c>
      <c r="AH81" t="s">
        <f>IF(AND(P81&gt;=O81,L81&lt;0),IF(Q81&lt;10,"DAL10",IF(Q81&gt;=200,"DAM200",IF(Q81&gt;=150,"DAM150",IF(Q81&gt;=100,"DAM100",IF(Q81&gt;=50,"DAM50","DAM10-50"))))),0)</f>
        <v>26</v>
      </c>
      <c r="AI81">
        <f>IF(AND(P81&gt;=O81,L81&gt;0),IF(Q81&lt;10,"UAL10",IF(Q81&gt;=200,"UAM200",IF(Q81&gt;=150,"UAM150",IF(Q81&gt;=100,"UAM100",IF(Q81&gt;=50,"UAM50","UAM10-50"))))),0)</f>
        <v>0</v>
      </c>
      <c r="AJ81">
        <f>IF(AND(P81&lt;=N81,L81&gt;0),IF(Q81&lt;10,"UBL10",IF(Q81&gt;=200,"UBM200",IF(Q81&gt;=150,"UBM150",IF(Q81&gt;=100,"UBM100",IF(Q81&gt;=50,"UBM50","UBM10-50"))))),0)</f>
        <v>0</v>
      </c>
      <c r="AK81" t="s">
        <f>IF(Q81&lt;2757,"down",IF(Q81=2757,2757,IF(Q81&gt;2757,"up")))</f>
        <v>7</v>
      </c>
    </row>
    <row r="82" spans="1:37">
      <c r="A82">
        <f>IF(X82=2337,2337,"Error")</f>
        <v>2337</v>
      </c>
      <c r="B82" t="s">
        <f>IF(K82&lt;30.350000000000001,"down",IF(K82=30.350000000000001,"low",IF(K82=30.850000000000001,"high",IF(AND(K82&gt;30.350000000000001,K82&lt;30.850000000000001),"normal","up"))))</f>
        <v>79</v>
      </c>
      <c r="C82" t="s">
        <f>IF(K82&lt;30.350000000000001,"down",IF(K82=30.350000000000001,"low",IF(K82=30.850000000000001,"high",IF(AND(K82&gt;30.350000000000001,K82&lt;30.850000000000001),"normal","up"))))</f>
        <v>79</v>
      </c>
      <c r="D82" t="s">
        <f>IF(K82&lt;30.350000000000001,"down",IF(K82=30.350000000000001,"low",IF(K82=30.850000000000001,"high",IF(AND(K82&gt;30.350000000000001,K82&lt;30.850000000000001),"normal","up"))))</f>
        <v>79</v>
      </c>
      <c r="E82" t="s">
        <f>IF(K82&lt;30.25,"down",IF(K82=30.25,"low",IF(K82=31.699999999999999,"high",IF(AND(K82&gt;30.25,K82&lt;31.699999999999999),"normal","up"))))</f>
        <v>79</v>
      </c>
      <c r="F82">
        <f>IF(P82&lt;30.600000000000001,"PVP-down",IF(P82=30.600000000000001,30.600000000000001,IF(P82&gt;30.600000000000001,"PVP-up")))</f>
        <v>30.600000000000001</v>
      </c>
      <c r="G82" t="s">
        <f>IF(R82&lt;3714,"PVV-down",IF(R82=3714,3714,IF(R82&gt;3714,"PVV-up")))</f>
        <v>81</v>
      </c>
      <c r="H82" s="40">
        <f>R82/(Y82/10000)</f>
        <v>0.012443509663333102</v>
      </c>
      <c r="I82">
        <v>30.5</v>
      </c>
      <c r="J82">
        <v>30.600000000000001</v>
      </c>
      <c r="K82">
        <v>30.600000000000001</v>
      </c>
      <c r="L82">
        <v>0.10000000000000001</v>
      </c>
      <c r="M82">
        <v>0.0033</v>
      </c>
      <c r="N82">
        <v>30.600000000000001</v>
      </c>
      <c r="O82">
        <v>30.649999999999999</v>
      </c>
      <c r="P82">
        <v>30.600000000000001</v>
      </c>
      <c r="Q82">
        <v>1017</v>
      </c>
      <c r="R82">
        <v>23099</v>
      </c>
      <c r="S82">
        <v>15119</v>
      </c>
      <c r="T82" s="40">
        <f>((P82-K82)/K82)</f>
        <v>0</v>
      </c>
      <c r="U82" s="40">
        <f>((T82*AB82)*D4)</f>
        <v>0</v>
      </c>
      <c r="V82" s="3">
        <f>IF(P82&lt;=N82,(P82*Q82*1000),0)</f>
        <v>31120200</v>
      </c>
      <c r="W82" s="3">
        <f>IF(P82&gt;=O82,(P82*Q82*1000),0)</f>
        <v>0</v>
      </c>
      <c r="X82">
        <v>2337</v>
      </c>
      <c r="Y82" s="3">
        <v>18563090820</v>
      </c>
      <c r="Z82" s="40">
        <f>((C4*AB82)/P82)/10</f>
        <v>0.061050305170318495</v>
      </c>
      <c r="AA82" s="40">
        <f>((M82*AB82)*C4)</f>
        <v>0.061648598160987618</v>
      </c>
      <c r="AB82" s="40">
        <f>AE82/AE323</f>
        <v>0.0015928118571937031</v>
      </c>
      <c r="AC82" s="40">
        <f>AF82/AF323</f>
        <v>0.0015728561839663906</v>
      </c>
      <c r="AD82" s="3">
        <f>IF(ISNA(J82),(I82*Y82)/10,(J82*Y82)/10)</f>
        <v>56803057909.199997</v>
      </c>
      <c r="AE82" s="3">
        <f>IF(ISNA(P82),(I82*Y82)/10,(P82*Y82)/10)</f>
        <v>56803057909.199997</v>
      </c>
      <c r="AF82" s="3">
        <f>(I82*Y82)/10</f>
        <v>56617427001</v>
      </c>
      <c r="AG82">
        <f>IF(AND(P82&lt;=N82,L82&lt;0),IF(Q82&lt;10,"DBL10",IF(Q82&gt;=200,"DBM200",IF(Q82&gt;=150,"DBM150",IF(Q82&gt;=100,"DBM100",IF(Q82&gt;=50,"DBM50","DBM10-50"))))),0)</f>
        <v>0</v>
      </c>
      <c r="AH82">
        <f>IF(AND(P82&gt;=O82,L82&lt;0),IF(Q82&lt;10,"DAL10",IF(Q82&gt;=200,"DAM200",IF(Q82&gt;=150,"DAM150",IF(Q82&gt;=100,"DAM100",IF(Q82&gt;=50,"DAM50","DAM10-50"))))),0)</f>
        <v>0</v>
      </c>
      <c r="AI82">
        <f>IF(AND(P82&gt;=O82,L82&gt;0),IF(Q82&lt;10,"UAL10",IF(Q82&gt;=200,"UAM200",IF(Q82&gt;=150,"UAM150",IF(Q82&gt;=100,"UAM100",IF(Q82&gt;=50,"UAM50","UAM10-50"))))),0)</f>
        <v>0</v>
      </c>
      <c r="AJ82" t="s">
        <f>IF(AND(P82&lt;=N82,L82&gt;0),IF(Q82&lt;10,"UBL10",IF(Q82&gt;=200,"UBM200",IF(Q82&gt;=150,"UBM150",IF(Q82&gt;=100,"UBM100",IF(Q82&gt;=50,"UBM50","UBM10-50"))))),0)</f>
        <v>21</v>
      </c>
      <c r="AK82" t="s">
        <f>IF(Q82&lt;605,"down",IF(Q82=605,605,IF(Q82&gt;605,"up")))</f>
        <v>6</v>
      </c>
    </row>
    <row r="83" spans="1:37">
      <c r="A83">
        <f>IF(X83=6176,6176,"Error")</f>
        <v>6176</v>
      </c>
      <c r="B83" t="s">
        <f>IF(K83&lt;118,"down",IF(K83=118,"low",IF(K83=122.5,"high",IF(AND(K83&gt;118,K83&lt;122.5),"normal","up"))))</f>
        <v>7</v>
      </c>
      <c r="C83" t="s">
        <f>IF(K83&lt;118,"down",IF(K83=118,"low",IF(K83=122.5,"high",IF(AND(K83&gt;118,K83&lt;122.5),"normal","up"))))</f>
        <v>7</v>
      </c>
      <c r="D83" t="s">
        <f>IF(K83&lt;118,"down",IF(K83=118,"low",IF(K83=122.5,"high",IF(AND(K83&gt;118,K83&lt;122.5),"normal","up"))))</f>
        <v>7</v>
      </c>
      <c r="E83" t="s">
        <f>IF(K83&lt;118,"down",IF(K83=118,"low",IF(K83=127,"high",IF(AND(K83&gt;118,K83&lt;127),"normal","up"))))</f>
        <v>7</v>
      </c>
      <c r="F83" t="s">
        <f>IF(P83&lt;118.5,"PVP-down",IF(P83=118.5,118.5,IF(P83&gt;118.5,"PVP-up")))</f>
        <v>80</v>
      </c>
      <c r="G83" t="s">
        <f>IF(R83&lt;2174,"PVV-down",IF(R83=2174,2174,IF(R83&gt;2174,"PVV-up")))</f>
        <v>81</v>
      </c>
      <c r="H83" s="40">
        <f>R83/(Y83/10000)</f>
        <v>0.01378413807106187</v>
      </c>
      <c r="I83">
        <v>118.5</v>
      </c>
      <c r="J83">
        <v>116</v>
      </c>
      <c r="K83">
        <v>117.5</v>
      </c>
      <c r="L83">
        <v>-2.5</v>
      </c>
      <c r="M83">
        <v>-0.021100000000000001</v>
      </c>
      <c r="N83">
        <v>116</v>
      </c>
      <c r="O83">
        <v>116.5</v>
      </c>
      <c r="P83">
        <v>116</v>
      </c>
      <c r="Q83">
        <v>342</v>
      </c>
      <c r="R83">
        <v>6410</v>
      </c>
      <c r="S83">
        <v>6518</v>
      </c>
      <c r="T83" s="40">
        <f>((P83-K83)/K83)</f>
        <v>-0.01276595744680851</v>
      </c>
      <c r="U83" s="40">
        <f>((T83*AB83)*D4)</f>
        <v>-0.2467856318879996</v>
      </c>
      <c r="V83" s="3">
        <f>IF(P83&lt;=N83,(P83*Q83*1000),0)</f>
        <v>39672000</v>
      </c>
      <c r="W83" s="3">
        <f>IF(P83&gt;=O83,(P83*Q83*1000),0)</f>
        <v>0</v>
      </c>
      <c r="X83">
        <v>6176</v>
      </c>
      <c r="Y83" s="3">
        <v>4650272630</v>
      </c>
      <c r="Z83" s="40">
        <f>((C4*AB83)/P83)/10</f>
        <v>0.015293819652102506</v>
      </c>
      <c r="AA83" s="40">
        <f>((M83*AB83)*C4)</f>
        <v>-0.3743315298048609</v>
      </c>
      <c r="AB83" s="40">
        <f>AE83/AE323</f>
        <v>0.001512617665665375</v>
      </c>
      <c r="AC83" s="40">
        <f>AF83/AF323</f>
        <v>0.0015308606173093521</v>
      </c>
      <c r="AD83" s="3">
        <f>IF(ISNA(J83),(I83*Y83)/10,(J83*Y83)/10)</f>
        <v>53943162508</v>
      </c>
      <c r="AE83" s="3">
        <f>IF(ISNA(P83),(I83*Y83)/10,(P83*Y83)/10)</f>
        <v>53943162508</v>
      </c>
      <c r="AF83" s="3">
        <f>(I83*Y83)/10</f>
        <v>55105730665.5</v>
      </c>
      <c r="AG83" t="s">
        <f>IF(AND(P83&lt;=N83,L83&lt;0),IF(Q83&lt;10,"DBL10",IF(Q83&gt;=200,"DBM200",IF(Q83&gt;=150,"DBM150",IF(Q83&gt;=100,"DBM100",IF(Q83&gt;=50,"DBM50","DBM10-50"))))),0)</f>
        <v>16</v>
      </c>
      <c r="AH83">
        <f>IF(AND(P83&gt;=O83,L83&lt;0),IF(Q83&lt;10,"DAL10",IF(Q83&gt;=200,"DAM200",IF(Q83&gt;=150,"DAM150",IF(Q83&gt;=100,"DAM100",IF(Q83&gt;=50,"DAM50","DAM10-50"))))),0)</f>
        <v>0</v>
      </c>
      <c r="AI83">
        <f>IF(AND(P83&gt;=O83,L83&gt;0),IF(Q83&lt;10,"UAL10",IF(Q83&gt;=200,"UAM200",IF(Q83&gt;=150,"UAM150",IF(Q83&gt;=100,"UAM100",IF(Q83&gt;=50,"UAM50","UAM10-50"))))),0)</f>
        <v>0</v>
      </c>
      <c r="AJ83">
        <f>IF(AND(P83&lt;=N83,L83&gt;0),IF(Q83&lt;10,"UBL10",IF(Q83&gt;=200,"UBM200",IF(Q83&gt;=150,"UBM150",IF(Q83&gt;=100,"UBM100",IF(Q83&gt;=50,"UBM50","UBM10-50"))))),0)</f>
        <v>0</v>
      </c>
      <c r="AK83" t="s">
        <f>IF(Q83&lt;233,"down",IF(Q83=233,233,IF(Q83&gt;233,"up")))</f>
        <v>6</v>
      </c>
    </row>
    <row r="84" spans="1:37">
      <c r="A84">
        <f>IF(X84=2313,2313,"Error")</f>
        <v>2313</v>
      </c>
      <c r="B84" t="s">
        <f>IF(K84&lt;51,"down",IF(K84=51,"low",IF(K84=54.299999999999997,"high",IF(AND(K84&gt;51,K84&lt;54.299999999999997),"normal","up"))))</f>
        <v>79</v>
      </c>
      <c r="C84" t="s">
        <f>IF(K84&lt;51,"down",IF(K84=51,"low",IF(K84=54.299999999999997,"high",IF(AND(K84&gt;51,K84&lt;54.299999999999997),"normal","up"))))</f>
        <v>79</v>
      </c>
      <c r="D84" t="s">
        <f>IF(K84&lt;51,"down",IF(K84=51,"low",IF(K84=54.299999999999997,"high",IF(AND(K84&gt;51,K84&lt;54.299999999999997),"normal","up"))))</f>
        <v>79</v>
      </c>
      <c r="E84" t="s">
        <f>IF(K84&lt;48.200000000000003,"down",IF(K84=48.200000000000003,"low",IF(K84=54.700000000000003,"high",IF(AND(K84&gt;48.200000000000003,K84&lt;54.700000000000003),"normal","up"))))</f>
        <v>79</v>
      </c>
      <c r="F84" t="s">
        <f>IF(P84&lt;52.899999999999999,"PVP-down",IF(P84=52.899999999999999,52.899999999999999,IF(P84&gt;52.899999999999999,"PVP-up")))</f>
        <v>80</v>
      </c>
      <c r="G84" t="s">
        <f>IF(R84&lt;4385,"PVV-down",IF(R84=4385,4385,IF(R84&gt;4385,"PVV-up")))</f>
        <v>81</v>
      </c>
      <c r="H84" s="40">
        <f>R84/(Y84/10000)</f>
        <v>0.050051157490114483</v>
      </c>
      <c r="I84">
        <v>51</v>
      </c>
      <c r="J84">
        <v>52.5</v>
      </c>
      <c r="K84">
        <v>51.700000000000003</v>
      </c>
      <c r="L84">
        <v>1.5</v>
      </c>
      <c r="M84">
        <v>0.029399999999999999</v>
      </c>
      <c r="N84">
        <v>52.5</v>
      </c>
      <c r="O84">
        <v>52.600000000000001</v>
      </c>
      <c r="P84">
        <v>52.5</v>
      </c>
      <c r="Q84">
        <v>1484</v>
      </c>
      <c r="R84">
        <v>59652</v>
      </c>
      <c r="S84">
        <v>59277</v>
      </c>
      <c r="T84" s="40">
        <f>((P84-K84)/K84)</f>
        <v>0.015473887814313291</v>
      </c>
      <c r="U84" s="40">
        <f>((T84*AB84)*D4)</f>
        <v>0.3469762152253737</v>
      </c>
      <c r="V84" s="3">
        <f>IF(P84&lt;=N84,(P84*Q84*1000),0)</f>
        <v>77910000</v>
      </c>
      <c r="W84" s="3">
        <f>IF(P84&gt;=O84,(P84*Q84*1000),0)</f>
        <v>0</v>
      </c>
      <c r="X84">
        <v>2313</v>
      </c>
      <c r="Y84" s="3">
        <v>11918205890</v>
      </c>
      <c r="Z84" s="40">
        <f>((C4*AB84)/P84)/10</f>
        <v>0.039196603287813228</v>
      </c>
      <c r="AA84" s="40">
        <f>((M84*AB84)*C4)</f>
        <v>0.60499957174739705</v>
      </c>
      <c r="AB84" s="40">
        <f>AE84/AE323</f>
        <v>0.0017545386969160751</v>
      </c>
      <c r="AC84" s="40">
        <f>AF84/AF323</f>
        <v>0.001688573406227986</v>
      </c>
      <c r="AD84" s="3">
        <f>IF(ISNA(J84),(I84*Y84)/10,(J84*Y84)/10)</f>
        <v>62570580922.5</v>
      </c>
      <c r="AE84" s="3">
        <f>IF(ISNA(P84),(I84*Y84)/10,(P84*Y84)/10)</f>
        <v>62570580922.5</v>
      </c>
      <c r="AF84" s="3">
        <f>(I84*Y84)/10</f>
        <v>60782850039</v>
      </c>
      <c r="AG84">
        <f>IF(AND(P84&lt;=N84,L84&lt;0),IF(Q84&lt;10,"DBL10",IF(Q84&gt;=200,"DBM200",IF(Q84&gt;=150,"DBM150",IF(Q84&gt;=100,"DBM100",IF(Q84&gt;=50,"DBM50","DBM10-50"))))),0)</f>
        <v>0</v>
      </c>
      <c r="AH84">
        <f>IF(AND(P84&gt;=O84,L84&lt;0),IF(Q84&lt;10,"DAL10",IF(Q84&gt;=200,"DAM200",IF(Q84&gt;=150,"DAM150",IF(Q84&gt;=100,"DAM100",IF(Q84&gt;=50,"DAM50","DAM10-50"))))),0)</f>
        <v>0</v>
      </c>
      <c r="AI84">
        <f>IF(AND(P84&gt;=O84,L84&gt;0),IF(Q84&lt;10,"UAL10",IF(Q84&gt;=200,"UAM200",IF(Q84&gt;=150,"UAM150",IF(Q84&gt;=100,"UAM100",IF(Q84&gt;=50,"UAM50","UAM10-50"))))),0)</f>
        <v>0</v>
      </c>
      <c r="AJ84" t="s">
        <f>IF(AND(P84&lt;=N84,L84&gt;0),IF(Q84&lt;10,"UBL10",IF(Q84&gt;=200,"UBM200",IF(Q84&gt;=150,"UBM150",IF(Q84&gt;=100,"UBM100",IF(Q84&gt;=50,"UBM50","UBM10-50"))))),0)</f>
        <v>21</v>
      </c>
      <c r="AK84" t="s">
        <f>IF(Q84&lt;1127,"down",IF(Q84=1127,1127,IF(Q84&gt;1127,"up")))</f>
        <v>6</v>
      </c>
    </row>
    <row r="85" spans="1:37">
      <c r="A85">
        <f>IF(X85=2383,2383,"Error")</f>
        <v>2383</v>
      </c>
      <c r="B85" t="s">
        <f>IF(K85&lt;168.5,"down",IF(K85=168.5,"low",IF(K85=174,"high",IF(AND(K85&gt;168.5,K85&lt;174),"normal","up"))))</f>
        <v>79</v>
      </c>
      <c r="C85" t="s">
        <f>IF(K85&lt;168.5,"down",IF(K85=168.5,"low",IF(K85=174,"high",IF(AND(K85&gt;168.5,K85&lt;174),"normal","up"))))</f>
        <v>79</v>
      </c>
      <c r="D85" t="s">
        <f>IF(K85&lt;168.5,"down",IF(K85=168.5,"low",IF(K85=174,"high",IF(AND(K85&gt;168.5,K85&lt;174),"normal","up"))))</f>
        <v>79</v>
      </c>
      <c r="E85" t="s">
        <f>IF(K85&lt;168.5,"down",IF(K85=168.5,"low",IF(K85=183,"high",IF(AND(K85&gt;168.5,K85&lt;183),"normal","up"))))</f>
        <v>79</v>
      </c>
      <c r="F85" t="s">
        <f>IF(P85&lt;169.5,"PVP-down",IF(P85=169.5,169.5,IF(P85&gt;169.5,"PVP-up")))</f>
        <v>83</v>
      </c>
      <c r="G85" t="s">
        <f>IF(R85&lt;1093,"PVV-down",IF(R85=1093,1093,IF(R85&gt;1093,"PVV-up")))</f>
        <v>81</v>
      </c>
      <c r="H85" s="40">
        <f>R85/(Y85/10000)</f>
        <v>0.0094242227183859838</v>
      </c>
      <c r="I85">
        <v>169</v>
      </c>
      <c r="J85">
        <v>171</v>
      </c>
      <c r="K85">
        <v>170</v>
      </c>
      <c r="L85">
        <v>1.5</v>
      </c>
      <c r="M85">
        <v>0.0088999999999999999</v>
      </c>
      <c r="N85">
        <v>170.5</v>
      </c>
      <c r="O85">
        <v>171</v>
      </c>
      <c r="P85">
        <v>170.5</v>
      </c>
      <c r="Q85">
        <v>97</v>
      </c>
      <c r="R85">
        <v>3013</v>
      </c>
      <c r="S85">
        <v>4342</v>
      </c>
      <c r="T85" s="40">
        <f>((P85-K85)/K85)</f>
        <v>0.0029411764705882353</v>
      </c>
      <c r="U85" s="40">
        <f>((T85*AB85)*D4)</f>
        <v>0.057455172301765292</v>
      </c>
      <c r="V85" s="3">
        <f>IF(P85&lt;=N85,(P85*Q85*1000),0)</f>
        <v>16538500</v>
      </c>
      <c r="W85" s="3">
        <f>IF(P85&gt;=O85,(P85*Q85*1000),0)</f>
        <v>0</v>
      </c>
      <c r="X85">
        <v>2383</v>
      </c>
      <c r="Y85" s="3">
        <v>3197080640</v>
      </c>
      <c r="Z85" s="40">
        <f>((C4*AB85)/P85)/10</f>
        <v>0.010514560889602823</v>
      </c>
      <c r="AA85" s="40">
        <f>((M85*AB85)*C4)</f>
        <v>0.15955320421927802</v>
      </c>
      <c r="AB85" s="40">
        <f>AE85/AE323</f>
        <v>0.0015285186356854006</v>
      </c>
      <c r="AC85" s="40">
        <f>AF85/AF323</f>
        <v>0.0015009947755564293</v>
      </c>
      <c r="AD85" s="3">
        <f>IF(ISNA(J85),(I85*Y85)/10,(J85*Y85)/10)</f>
        <v>54670078944</v>
      </c>
      <c r="AE85" s="3">
        <f>IF(ISNA(P85),(I85*Y85)/10,(P85*Y85)/10)</f>
        <v>54510224912</v>
      </c>
      <c r="AF85" s="3">
        <f>(I85*Y85)/10</f>
        <v>54030662816</v>
      </c>
      <c r="AG85">
        <f>IF(AND(P85&lt;=N85,L85&lt;0),IF(Q85&lt;10,"DBL10",IF(Q85&gt;=200,"DBM200",IF(Q85&gt;=150,"DBM150",IF(Q85&gt;=100,"DBM100",IF(Q85&gt;=50,"DBM50","DBM10-50"))))),0)</f>
        <v>0</v>
      </c>
      <c r="AH85">
        <f>IF(AND(P85&gt;=O85,L85&lt;0),IF(Q85&lt;10,"DAL10",IF(Q85&gt;=200,"DAM200",IF(Q85&gt;=150,"DAM150",IF(Q85&gt;=100,"DAM100",IF(Q85&gt;=50,"DAM50","DAM10-50"))))),0)</f>
        <v>0</v>
      </c>
      <c r="AI85">
        <f>IF(AND(P85&gt;=O85,L85&gt;0),IF(Q85&lt;10,"UAL10",IF(Q85&gt;=200,"UAM200",IF(Q85&gt;=150,"UAM150",IF(Q85&gt;=100,"UAM100",IF(Q85&gt;=50,"UAM50","UAM10-50"))))),0)</f>
        <v>0</v>
      </c>
      <c r="AJ85" t="s">
        <f>IF(AND(P85&lt;=N85,L85&gt;0),IF(Q85&lt;10,"UBL10",IF(Q85&gt;=200,"UBM200",IF(Q85&gt;=150,"UBM150",IF(Q85&gt;=100,"UBM100",IF(Q85&gt;=50,"UBM50","UBM10-50"))))),0)</f>
        <v>18</v>
      </c>
      <c r="AK85" t="s">
        <f>IF(Q85&lt;20,"down",IF(Q85=20,20,IF(Q85&gt;20,"up")))</f>
        <v>6</v>
      </c>
    </row>
    <row r="86" spans="1:37">
      <c r="A86">
        <f>IF(X86=2376,2376,"Error")</f>
        <v>2376</v>
      </c>
      <c r="B86" t="s">
        <f>IF(K86&lt;79.599999999999994,"down",IF(K86=79.599999999999994,"low",IF(K86=82.900000000000006,"high",IF(AND(K86&gt;79.599999999999994,K86&lt;82.900000000000006),"normal","up"))))</f>
        <v>79</v>
      </c>
      <c r="C86" t="s">
        <f>IF(K86&lt;79.599999999999994,"down",IF(K86=79.599999999999994,"low",IF(K86=82.900000000000006,"high",IF(AND(K86&gt;79.599999999999994,K86&lt;82.900000000000006),"normal","up"))))</f>
        <v>79</v>
      </c>
      <c r="D86" t="s">
        <f>IF(K86&lt;79.599999999999994,"down",IF(K86=79.599999999999994,"low",IF(K86=82.900000000000006,"high",IF(AND(K86&gt;79.599999999999994,K86&lt;82.900000000000006),"normal","up"))))</f>
        <v>79</v>
      </c>
      <c r="E86" t="s">
        <f>IF(K86&lt;79.599999999999994,"down",IF(K86=79.599999999999994,"low",IF(K86=85.900000000000006,"high",IF(AND(K86&gt;79.599999999999994,K86&lt;85.900000000000006),"normal","up"))))</f>
        <v>79</v>
      </c>
      <c r="F86" t="s">
        <f>IF(P86&lt;80.099999999999994,"PVP-down",IF(P86=80.099999999999994,80.099999999999994,IF(P86&gt;80.099999999999994,"PVP-up")))</f>
        <v>83</v>
      </c>
      <c r="G86" t="s">
        <f>IF(R86&lt;863,"PVV-down",IF(R86=863,863,IF(R86&gt;863,"PVV-up")))</f>
        <v>81</v>
      </c>
      <c r="H86" s="40">
        <f>R86/(Y86/10000)</f>
        <v>0.0092151996503522307</v>
      </c>
      <c r="I86">
        <v>80.099999999999994</v>
      </c>
      <c r="J86">
        <v>82</v>
      </c>
      <c r="K86">
        <v>80.799999999999997</v>
      </c>
      <c r="L86">
        <v>1.8999999999999999</v>
      </c>
      <c r="M86">
        <v>0.023699999999999999</v>
      </c>
      <c r="N86">
        <v>81.900000000000006</v>
      </c>
      <c r="O86">
        <v>82</v>
      </c>
      <c r="P86">
        <v>82</v>
      </c>
      <c r="Q86">
        <v>242</v>
      </c>
      <c r="R86">
        <v>5858</v>
      </c>
      <c r="S86">
        <v>7184</v>
      </c>
      <c r="T86" s="40">
        <f>((P86-K86)/K86)</f>
        <v>0.014851485148514887</v>
      </c>
      <c r="U86" s="40">
        <f>((T86*AB86)*D4)</f>
        <v>0.27743319967806268</v>
      </c>
      <c r="V86" s="3">
        <f>IF(P86&lt;=N86,(P86*Q86*1000),0)</f>
        <v>0</v>
      </c>
      <c r="W86" s="3">
        <f>IF(P86&gt;=O86,(P86*Q86*1000),0)</f>
        <v>19844000</v>
      </c>
      <c r="X86">
        <v>2376</v>
      </c>
      <c r="Y86" s="3">
        <v>6356888860</v>
      </c>
      <c r="Z86" s="40">
        <f>((C4*AB86)/P86)/10</f>
        <v>0.020906540220051461</v>
      </c>
      <c r="AA86" s="40">
        <f>((M86*AB86)*C4)</f>
        <v>0.40629770263648007</v>
      </c>
      <c r="AB86" s="40">
        <f>AE86/AE323</f>
        <v>0.001461676400089214</v>
      </c>
      <c r="AC86" s="40">
        <f>AF86/AF323</f>
        <v>0.001414542563935876</v>
      </c>
      <c r="AD86" s="3">
        <f>IF(ISNA(J86),(I86*Y86)/10,(J86*Y86)/10)</f>
        <v>52126488652</v>
      </c>
      <c r="AE86" s="3">
        <f>IF(ISNA(P86),(I86*Y86)/10,(P86*Y86)/10)</f>
        <v>52126488652</v>
      </c>
      <c r="AF86" s="3">
        <f>(I86*Y86)/10</f>
        <v>50918679768.599991</v>
      </c>
      <c r="AG86">
        <f>IF(AND(P86&lt;=N86,L86&lt;0),IF(Q86&lt;10,"DBL10",IF(Q86&gt;=200,"DBM200",IF(Q86&gt;=150,"DBM150",IF(Q86&gt;=100,"DBM100",IF(Q86&gt;=50,"DBM50","DBM10-50"))))),0)</f>
        <v>0</v>
      </c>
      <c r="AH86">
        <f>IF(AND(P86&gt;=O86,L86&lt;0),IF(Q86&lt;10,"DAL10",IF(Q86&gt;=200,"DAM200",IF(Q86&gt;=150,"DAM150",IF(Q86&gt;=100,"DAM100",IF(Q86&gt;=50,"DAM50","DAM10-50"))))),0)</f>
        <v>0</v>
      </c>
      <c r="AI86" t="s">
        <f>IF(AND(P86&gt;=O86,L86&gt;0),IF(Q86&lt;10,"UAL10",IF(Q86&gt;=200,"UAM200",IF(Q86&gt;=150,"UAM150",IF(Q86&gt;=100,"UAM100",IF(Q86&gt;=50,"UAM50","UAM10-50"))))),0)</f>
        <v>31</v>
      </c>
      <c r="AJ86">
        <f>IF(AND(P86&lt;=N86,L86&gt;0),IF(Q86&lt;10,"UBL10",IF(Q86&gt;=200,"UBM200",IF(Q86&gt;=150,"UBM150",IF(Q86&gt;=100,"UBM100",IF(Q86&gt;=50,"UBM50","UBM10-50"))))),0)</f>
        <v>0</v>
      </c>
      <c r="AK86" t="s">
        <f>IF(Q86&lt;114,"down",IF(Q86=114,114,IF(Q86&gt;114,"up")))</f>
        <v>6</v>
      </c>
    </row>
    <row r="87" spans="1:37">
      <c r="A87">
        <f>IF(X87=2344,2344,"Error")</f>
        <v>2344</v>
      </c>
      <c r="B87" t="s">
        <f>IF(K87&lt;13.15,"down",IF(K87=13.15,"low",IF(K87=13.300000000000001,"high",IF(AND(K87&gt;13.15,K87&lt;13.300000000000001),"normal","up"))))</f>
        <v>79</v>
      </c>
      <c r="C87" t="s">
        <f>IF(K87&lt;13.15,"down",IF(K87=13.15,"low",IF(K87=13.300000000000001,"high",IF(AND(K87&gt;13.15,K87&lt;13.300000000000001),"normal","up"))))</f>
        <v>79</v>
      </c>
      <c r="D87" t="s">
        <f>IF(K87&lt;13.15,"down",IF(K87=13.15,"low",IF(K87=13.300000000000001,"high",IF(AND(K87&gt;13.15,K87&lt;13.300000000000001),"normal","up"))))</f>
        <v>79</v>
      </c>
      <c r="E87" t="s">
        <f>IF(K87&lt;12.949999999999999,"down",IF(K87=12.949999999999999,"low",IF(K87=13.699999999999999,"high",IF(AND(K87&gt;12.949999999999999,K87&lt;13.699999999999999),"normal","up"))))</f>
        <v>79</v>
      </c>
      <c r="F87" t="s">
        <f>IF(P87&lt;13.199999999999999,"PVP-down",IF(P87=13.199999999999999,13.199999999999999,IF(P87&gt;13.199999999999999,"PVP-up")))</f>
        <v>80</v>
      </c>
      <c r="G87" t="s">
        <f>IF(R87&lt;6926,"PVV-down",IF(R87=6926,6926,IF(R87&gt;6926,"PVV-up")))</f>
        <v>81</v>
      </c>
      <c r="H87" s="40">
        <f>R87/(Y87/10000)</f>
        <v>0.004239698286868902</v>
      </c>
      <c r="I87">
        <v>13.15</v>
      </c>
      <c r="J87">
        <v>13.15</v>
      </c>
      <c r="K87">
        <v>13.25</v>
      </c>
      <c r="L87">
        <v>0</v>
      </c>
      <c r="M87">
        <v>0</v>
      </c>
      <c r="N87">
        <v>13.15</v>
      </c>
      <c r="O87">
        <v>13.199999999999999</v>
      </c>
      <c r="P87">
        <v>13.15</v>
      </c>
      <c r="Q87">
        <v>964</v>
      </c>
      <c r="R87">
        <v>16874</v>
      </c>
      <c r="S87">
        <v>14368</v>
      </c>
      <c r="T87" s="40">
        <f>((P87-K87)/K87)</f>
        <v>-0.0075471698113207279</v>
      </c>
      <c r="U87" s="40">
        <f>((T87*AB87)*D4)</f>
        <v>-0.14155429207436049</v>
      </c>
      <c r="V87" s="3">
        <f>IF(P87&lt;=N87,(P87*Q87*1000),0)</f>
        <v>12676600</v>
      </c>
      <c r="W87" s="3">
        <f>IF(P87&gt;=O87,(P87*Q87*1000),0)</f>
        <v>0</v>
      </c>
      <c r="X87">
        <v>2344</v>
      </c>
      <c r="Y87" s="3">
        <v>39800001930</v>
      </c>
      <c r="Z87" s="40">
        <f>((C4*AB87)/P87)/10</f>
        <v>0.13089427225060385</v>
      </c>
      <c r="AA87" s="40">
        <f>((M87*AB87)*C4)</f>
        <v>0</v>
      </c>
      <c r="AB87" s="40">
        <f>AE87/AE323</f>
        <v>0.0014675794099972559</v>
      </c>
      <c r="AC87" s="40">
        <f>AF87/AF323</f>
        <v>0.0014539441732423727</v>
      </c>
      <c r="AD87" s="3">
        <f>IF(ISNA(J87),(I87*Y87)/10,(J87*Y87)/10)</f>
        <v>52337002537.949997</v>
      </c>
      <c r="AE87" s="3">
        <f>IF(ISNA(P87),(I87*Y87)/10,(P87*Y87)/10)</f>
        <v>52337002537.949997</v>
      </c>
      <c r="AF87" s="3">
        <f>(I87*Y87)/10</f>
        <v>52337002537.949997</v>
      </c>
      <c r="AG87">
        <f>IF(AND(P87&lt;=N87,L87&lt;0),IF(Q87&lt;10,"DBL10",IF(Q87&gt;=200,"DBM200",IF(Q87&gt;=150,"DBM150",IF(Q87&gt;=100,"DBM100",IF(Q87&gt;=50,"DBM50","DBM10-50"))))),0)</f>
        <v>0</v>
      </c>
      <c r="AH87">
        <f>IF(AND(P87&gt;=O87,L87&lt;0),IF(Q87&lt;10,"DAL10",IF(Q87&gt;=200,"DAM200",IF(Q87&gt;=150,"DAM150",IF(Q87&gt;=100,"DAM100",IF(Q87&gt;=50,"DAM50","DAM10-50"))))),0)</f>
        <v>0</v>
      </c>
      <c r="AI87">
        <f>IF(AND(P87&gt;=O87,L87&gt;0),IF(Q87&lt;10,"UAL10",IF(Q87&gt;=200,"UAM200",IF(Q87&gt;=150,"UAM150",IF(Q87&gt;=100,"UAM100",IF(Q87&gt;=50,"UAM50","UAM10-50"))))),0)</f>
        <v>0</v>
      </c>
      <c r="AJ87">
        <f>IF(AND(P87&lt;=N87,L87&gt;0),IF(Q87&lt;10,"UBL10",IF(Q87&gt;=200,"UBM200",IF(Q87&gt;=150,"UBM150",IF(Q87&gt;=100,"UBM100",IF(Q87&gt;=50,"UBM50","UBM10-50"))))),0)</f>
        <v>0</v>
      </c>
      <c r="AK87" t="s">
        <f>IF(Q87&lt;245,"down",IF(Q87=245,245,IF(Q87&gt;245,"up")))</f>
        <v>6</v>
      </c>
    </row>
    <row r="88" spans="1:37">
      <c r="A88">
        <f>IF(X88=3532,3532,"Error")</f>
        <v>3532</v>
      </c>
      <c r="B88" t="s">
        <f>IF(K88&lt;125.5,"down",IF(K88=125.5,"low",IF(K88=127,"high",IF(AND(K88&gt;125.5,K88&lt;127),"normal","up"))))</f>
        <v>79</v>
      </c>
      <c r="C88" t="s">
        <f>IF(K88&lt;125.5,"down",IF(K88=125.5,"low",IF(K88=127,"high",IF(AND(K88&gt;125.5,K88&lt;127),"normal","up"))))</f>
        <v>79</v>
      </c>
      <c r="D88" t="s">
        <f>IF(K88&lt;125.5,"down",IF(K88=125.5,"low",IF(K88=127,"high",IF(AND(K88&gt;125.5,K88&lt;127),"normal","up"))))</f>
        <v>79</v>
      </c>
      <c r="E88" t="s">
        <f>IF(K88&lt;125.5,"down",IF(K88=125.5,"low",IF(K88=131,"high",IF(AND(K88&gt;125.5,K88&lt;131),"normal","up"))))</f>
        <v>79</v>
      </c>
      <c r="F88" t="s">
        <f>IF(P88&lt;126.5,"PVP-down",IF(P88=126.5,126.5,IF(P88&gt;126.5,"PVP-up")))</f>
        <v>80</v>
      </c>
      <c r="G88" t="s">
        <f>IF(R88&lt;205,"PVV-down",IF(R88=205,205,IF(R88&gt;205,"PVV-up")))</f>
        <v>81</v>
      </c>
      <c r="H88" s="40">
        <f>R88/(Y88/10000)</f>
        <v>0.0016527080304335484</v>
      </c>
      <c r="I88">
        <v>126.5</v>
      </c>
      <c r="J88">
        <v>126.5</v>
      </c>
      <c r="K88">
        <v>126.5</v>
      </c>
      <c r="L88">
        <v>-0.5</v>
      </c>
      <c r="M88">
        <v>-0.0040000000000000001</v>
      </c>
      <c r="N88">
        <v>126</v>
      </c>
      <c r="O88">
        <v>126.5</v>
      </c>
      <c r="P88">
        <v>126</v>
      </c>
      <c r="Q88">
        <v>39</v>
      </c>
      <c r="R88">
        <v>641</v>
      </c>
      <c r="S88">
        <v>436</v>
      </c>
      <c r="T88" s="40">
        <f>((P88-K88)/K88)</f>
        <v>-0.003952569169960474</v>
      </c>
      <c r="U88" s="40">
        <f>((T88*AB88)*D4)</f>
        <v>-0.069221656932222542</v>
      </c>
      <c r="V88" s="3">
        <f>IF(P88&lt;=N88,(P88*Q88*1000),0)</f>
        <v>4914000</v>
      </c>
      <c r="W88" s="3">
        <f>IF(P88&gt;=O88,(P88*Q88*1000),0)</f>
        <v>0</v>
      </c>
      <c r="X88">
        <v>3532</v>
      </c>
      <c r="Y88" s="3">
        <v>3878483000</v>
      </c>
      <c r="Z88" s="40">
        <f>((C4*AB88)/P88)/10</f>
        <v>0.012755557414651082</v>
      </c>
      <c r="AA88" s="40">
        <f>((M88*AB88)*C4)</f>
        <v>-0.064288009369841456</v>
      </c>
      <c r="AB88" s="40">
        <f>AE88/AE323</f>
        <v>0.0013703301127645446</v>
      </c>
      <c r="AC88" s="40">
        <f>AF88/AF323</f>
        <v>0.0013629857116477984</v>
      </c>
      <c r="AD88" s="3">
        <f>IF(ISNA(J88),(I88*Y88)/10,(J88*Y88)/10)</f>
        <v>49062809950</v>
      </c>
      <c r="AE88" s="3">
        <f>IF(ISNA(P88),(I88*Y88)/10,(P88*Y88)/10)</f>
        <v>48868885800</v>
      </c>
      <c r="AF88" s="3">
        <f>(I88*Y88)/10</f>
        <v>49062809950</v>
      </c>
      <c r="AG88" t="s">
        <f>IF(AND(P88&lt;=N88,L88&lt;0),IF(Q88&lt;10,"DBL10",IF(Q88&gt;=200,"DBM200",IF(Q88&gt;=150,"DBM150",IF(Q88&gt;=100,"DBM100",IF(Q88&gt;=50,"DBM50","DBM10-50"))))),0)</f>
        <v>12</v>
      </c>
      <c r="AH88">
        <f>IF(AND(P88&gt;=O88,L88&lt;0),IF(Q88&lt;10,"DAL10",IF(Q88&gt;=200,"DAM200",IF(Q88&gt;=150,"DAM150",IF(Q88&gt;=100,"DAM100",IF(Q88&gt;=50,"DAM50","DAM10-50"))))),0)</f>
        <v>0</v>
      </c>
      <c r="AI88">
        <f>IF(AND(P88&gt;=O88,L88&gt;0),IF(Q88&lt;10,"UAL10",IF(Q88&gt;=200,"UAM200",IF(Q88&gt;=150,"UAM150",IF(Q88&gt;=100,"UAM100",IF(Q88&gt;=50,"UAM50","UAM10-50"))))),0)</f>
        <v>0</v>
      </c>
      <c r="AJ88">
        <f>IF(AND(P88&lt;=N88,L88&gt;0),IF(Q88&lt;10,"UBL10",IF(Q88&gt;=200,"UBM200",IF(Q88&gt;=150,"UBM150",IF(Q88&gt;=100,"UBM100",IF(Q88&gt;=50,"UBM50","UBM10-50"))))),0)</f>
        <v>0</v>
      </c>
      <c r="AK88" t="s">
        <f>IF(Q88&lt;20,"down",IF(Q88=20,20,IF(Q88&gt;20,"up")))</f>
        <v>6</v>
      </c>
    </row>
    <row r="89" spans="1:37">
      <c r="A89">
        <f>IF(X89=2448,2448,"Error")</f>
        <v>2448</v>
      </c>
      <c r="B89" t="s">
        <f>IF(K89&lt;42.350000000000001,"down",IF(K89=42.350000000000001,"low",IF(K89=43.950000000000003,"high",IF(AND(K89&gt;42.350000000000001,K89&lt;43.950000000000003),"normal","up"))))</f>
        <v>79</v>
      </c>
      <c r="C89" t="s">
        <f>IF(K89&lt;42.350000000000001,"down",IF(K89=42.350000000000001,"low",IF(K89=43.950000000000003,"high",IF(AND(K89&gt;42.350000000000001,K89&lt;43.950000000000003),"normal","up"))))</f>
        <v>79</v>
      </c>
      <c r="D89" t="s">
        <f>IF(K89&lt;42.350000000000001,"down",IF(K89=42.350000000000001,"low",IF(K89=43.950000000000003,"high",IF(AND(K89&gt;42.350000000000001,K89&lt;43.950000000000003),"normal","up"))))</f>
        <v>79</v>
      </c>
      <c r="E89" t="s">
        <f>IF(K89&lt;42.350000000000001,"down",IF(K89=42.350000000000001,"low",IF(K89=46.899999999999999,"high",IF(AND(K89&gt;42.350000000000001,K89&lt;46.899999999999999),"normal","up"))))</f>
        <v>79</v>
      </c>
      <c r="F89">
        <f>IF(P89&lt;42.549999999999997,"PVP-down",IF(P89=42.549999999999997,42.549999999999997,IF(P89&gt;42.549999999999997,"PVP-up")))</f>
        <v>42.549999999999997</v>
      </c>
      <c r="G89" t="s">
        <f>IF(R89&lt;2459,"PVV-down",IF(R89=2459,2459,IF(R89&gt;2459,"PVV-up")))</f>
        <v>81</v>
      </c>
      <c r="H89" s="40">
        <f>R89/(Y89/10000)</f>
        <v>0.018573504006024942</v>
      </c>
      <c r="I89">
        <v>42.549999999999997</v>
      </c>
      <c r="J89">
        <v>42.549999999999997</v>
      </c>
      <c r="K89">
        <v>42.600000000000001</v>
      </c>
      <c r="L89">
        <v>0</v>
      </c>
      <c r="M89">
        <v>0</v>
      </c>
      <c r="N89">
        <v>42.549999999999997</v>
      </c>
      <c r="O89">
        <v>42.600000000000001</v>
      </c>
      <c r="P89">
        <v>42.549999999999997</v>
      </c>
      <c r="Q89">
        <v>1044</v>
      </c>
      <c r="R89">
        <v>20221</v>
      </c>
      <c r="S89">
        <v>18986</v>
      </c>
      <c r="T89" s="40">
        <f>((P89-K89)/K89)</f>
        <v>-0.0011737089201878934</v>
      </c>
      <c r="U89" s="40">
        <f>((T89*AB89)*D4)</f>
        <v>-0.019484929084562841</v>
      </c>
      <c r="V89" s="3">
        <f>IF(P89&lt;=N89,(P89*Q89*1000),0)</f>
        <v>44422200</v>
      </c>
      <c r="W89" s="3">
        <f>IF(P89&gt;=O89,(P89*Q89*1000),0)</f>
        <v>0</v>
      </c>
      <c r="X89">
        <v>2448</v>
      </c>
      <c r="Y89" s="3">
        <v>10887014100</v>
      </c>
      <c r="Z89" s="40">
        <f>((C4*AB89)/P89)/10</f>
        <v>0.035805219057725879</v>
      </c>
      <c r="AA89" s="40">
        <f>((M89*AB89)*C4)</f>
        <v>0</v>
      </c>
      <c r="AB89" s="40">
        <f>AE89/AE323</f>
        <v>0.0012989759604549013</v>
      </c>
      <c r="AC89" s="40">
        <f>AF89/AF323</f>
        <v>0.0012869072133472152</v>
      </c>
      <c r="AD89" s="3">
        <f>IF(ISNA(J89),(I89*Y89)/10,(J89*Y89)/10)</f>
        <v>46324244995.499992</v>
      </c>
      <c r="AE89" s="3">
        <f>IF(ISNA(P89),(I89*Y89)/10,(P89*Y89)/10)</f>
        <v>46324244995.499992</v>
      </c>
      <c r="AF89" s="3">
        <f>(I89*Y89)/10</f>
        <v>46324244995.499992</v>
      </c>
      <c r="AG89">
        <f>IF(AND(P89&lt;=N89,L89&lt;0),IF(Q89&lt;10,"DBL10",IF(Q89&gt;=200,"DBM200",IF(Q89&gt;=150,"DBM150",IF(Q89&gt;=100,"DBM100",IF(Q89&gt;=50,"DBM50","DBM10-50"))))),0)</f>
        <v>0</v>
      </c>
      <c r="AH89">
        <f>IF(AND(P89&gt;=O89,L89&lt;0),IF(Q89&lt;10,"DAL10",IF(Q89&gt;=200,"DAM200",IF(Q89&gt;=150,"DAM150",IF(Q89&gt;=100,"DAM100",IF(Q89&gt;=50,"DAM50","DAM10-50"))))),0)</f>
        <v>0</v>
      </c>
      <c r="AI89">
        <f>IF(AND(P89&gt;=O89,L89&gt;0),IF(Q89&lt;10,"UAL10",IF(Q89&gt;=200,"UAM200",IF(Q89&gt;=150,"UAM150",IF(Q89&gt;=100,"UAM100",IF(Q89&gt;=50,"UAM50","UAM10-50"))))),0)</f>
        <v>0</v>
      </c>
      <c r="AJ89">
        <f>IF(AND(P89&lt;=N89,L89&gt;0),IF(Q89&lt;10,"UBL10",IF(Q89&gt;=200,"UBM200",IF(Q89&gt;=150,"UBM150",IF(Q89&gt;=100,"UBM100",IF(Q89&gt;=50,"UBM50","UBM10-50"))))),0)</f>
        <v>0</v>
      </c>
      <c r="AK89" t="s">
        <f>IF(Q89&lt;381,"down",IF(Q89=381,381,IF(Q89&gt;381,"up")))</f>
        <v>6</v>
      </c>
    </row>
    <row r="90" spans="1:37">
      <c r="A90">
        <f>IF(X90=6269,6269,"Error")</f>
        <v>6269</v>
      </c>
      <c r="B90" t="s">
        <f>IF(K90&lt;133,"down",IF(K90=133,"low",IF(K90=138,"high",IF(AND(K90&gt;133,K90&lt;138),"normal","up"))))</f>
        <v>79</v>
      </c>
      <c r="C90" t="s">
        <f>IF(K90&lt;133,"down",IF(K90=133,"low",IF(K90=138,"high",IF(AND(K90&gt;133,K90&lt;138),"normal","up"))))</f>
        <v>79</v>
      </c>
      <c r="D90" t="s">
        <f>IF(K90&lt;133,"down",IF(K90=133,"low",IF(K90=138,"high",IF(AND(K90&gt;133,K90&lt;138),"normal","up"))))</f>
        <v>79</v>
      </c>
      <c r="E90" t="s">
        <f>IF(K90&lt;133,"down",IF(K90=133,"low",IF(K90=142.5,"high",IF(AND(K90&gt;133,K90&lt;142.5),"normal","up"))))</f>
        <v>79</v>
      </c>
      <c r="F90" t="s">
        <f>IF(P90&lt;135.5,"PVP-down",IF(P90=135.5,135.5,IF(P90&gt;135.5,"PVP-up")))</f>
        <v>83</v>
      </c>
      <c r="G90" t="s">
        <f>IF(R90&lt;1055,"PVV-down",IF(R90=1055,1055,IF(R90&gt;1055,"PVV-up")))</f>
        <v>81</v>
      </c>
      <c r="H90" s="40">
        <f>R90/(Y90/10000)</f>
        <v>0.018764306751108389</v>
      </c>
      <c r="I90">
        <v>133.5</v>
      </c>
      <c r="J90">
        <v>137.5</v>
      </c>
      <c r="K90">
        <v>133.5</v>
      </c>
      <c r="L90">
        <v>4</v>
      </c>
      <c r="M90">
        <v>0.029999999999999999</v>
      </c>
      <c r="N90">
        <v>137</v>
      </c>
      <c r="O90">
        <v>137.5</v>
      </c>
      <c r="P90">
        <v>137.5</v>
      </c>
      <c r="Q90">
        <v>375</v>
      </c>
      <c r="R90">
        <v>6359</v>
      </c>
      <c r="S90">
        <v>5170</v>
      </c>
      <c r="T90" s="40">
        <f>((P90-K90)/K90)</f>
        <v>0.029962546816479401</v>
      </c>
      <c r="U90" s="40">
        <f>((T90*AB90)*D4)</f>
        <v>0.50034296664356248</v>
      </c>
      <c r="V90" s="3">
        <f>IF(P90&lt;=N90,(P90*Q90*1000),0)</f>
        <v>0</v>
      </c>
      <c r="W90" s="3">
        <f>IF(P90&gt;=O90,(P90*Q90*1000),0)</f>
        <v>51562500</v>
      </c>
      <c r="X90">
        <v>6269</v>
      </c>
      <c r="Y90" s="3">
        <v>3388880860</v>
      </c>
      <c r="Z90" s="40">
        <f>((C4*AB90)/P90)/10</f>
        <v>0.011145353577969048</v>
      </c>
      <c r="AA90" s="40">
        <f>((M90*AB90)*C4)</f>
        <v>0.45974583509122324</v>
      </c>
      <c r="AB90" s="40">
        <f>AE90/AE323</f>
        <v>0.0013066274063006024</v>
      </c>
      <c r="AC90" s="40">
        <f>AF90/AF323</f>
        <v>0.001256829749623156</v>
      </c>
      <c r="AD90" s="3">
        <f>IF(ISNA(J90),(I90*Y90)/10,(J90*Y90)/10)</f>
        <v>46597111825</v>
      </c>
      <c r="AE90" s="3">
        <f>IF(ISNA(P90),(I90*Y90)/10,(P90*Y90)/10)</f>
        <v>46597111825</v>
      </c>
      <c r="AF90" s="3">
        <f>(I90*Y90)/10</f>
        <v>45241559481</v>
      </c>
      <c r="AG90">
        <f>IF(AND(P90&lt;=N90,L90&lt;0),IF(Q90&lt;10,"DBL10",IF(Q90&gt;=200,"DBM200",IF(Q90&gt;=150,"DBM150",IF(Q90&gt;=100,"DBM100",IF(Q90&gt;=50,"DBM50","DBM10-50"))))),0)</f>
        <v>0</v>
      </c>
      <c r="AH90">
        <f>IF(AND(P90&gt;=O90,L90&lt;0),IF(Q90&lt;10,"DAL10",IF(Q90&gt;=200,"DAM200",IF(Q90&gt;=150,"DAM150",IF(Q90&gt;=100,"DAM100",IF(Q90&gt;=50,"DAM50","DAM10-50"))))),0)</f>
        <v>0</v>
      </c>
      <c r="AI90" t="s">
        <f>IF(AND(P90&gt;=O90,L90&gt;0),IF(Q90&lt;10,"UAL10",IF(Q90&gt;=200,"UAM200",IF(Q90&gt;=150,"UAM150",IF(Q90&gt;=100,"UAM100",IF(Q90&gt;=50,"UAM50","UAM10-50"))))),0)</f>
        <v>31</v>
      </c>
      <c r="AJ90">
        <f>IF(AND(P90&lt;=N90,L90&gt;0),IF(Q90&lt;10,"UBL10",IF(Q90&gt;=200,"UBM200",IF(Q90&gt;=150,"UBM150",IF(Q90&gt;=100,"UBM100",IF(Q90&gt;=50,"UBM50","UBM10-50"))))),0)</f>
        <v>0</v>
      </c>
      <c r="AK90" t="s">
        <f>IF(Q90&lt;76,"down",IF(Q90=76,76,IF(Q90&gt;76,"up")))</f>
        <v>6</v>
      </c>
    </row>
    <row r="91" spans="1:37">
      <c r="A91">
        <f>IF(X91=2458,2458,"Error")</f>
        <v>2458</v>
      </c>
      <c r="B91" t="s">
        <f>IF(K91&lt;142,"down",IF(K91=142,"low",IF(K91=149,"high",IF(AND(K91&gt;142,K91&lt;149),"normal","up"))))</f>
        <v>79</v>
      </c>
      <c r="C91" t="s">
        <f>IF(K91&lt;142,"down",IF(K91=142,"low",IF(K91=149,"high",IF(AND(K91&gt;142,K91&lt;149),"normal","up"))))</f>
        <v>79</v>
      </c>
      <c r="D91" t="s">
        <f>IF(K91&lt;142,"down",IF(K91=142,"low",IF(K91=149,"high",IF(AND(K91&gt;142,K91&lt;149),"normal","up"))))</f>
        <v>79</v>
      </c>
      <c r="E91" t="s">
        <f>IF(K91&lt;142,"down",IF(K91=142,"low",IF(K91=157,"high",IF(AND(K91&gt;142,K91&lt;157),"normal","up"))))</f>
        <v>79</v>
      </c>
      <c r="F91" t="s">
        <f>IF(P91&lt;143,"PVP-down",IF(P91=143,143,IF(P91&gt;143,"PVP-up")))</f>
        <v>80</v>
      </c>
      <c r="G91" t="s">
        <f>IF(R91&lt;2111,"PVV-down",IF(R91=2111,2111,IF(R91&gt;2111,"PVV-up")))</f>
        <v>81</v>
      </c>
      <c r="H91" s="40">
        <f>R91/(Y91/10000)</f>
        <v>0.029893340403483487</v>
      </c>
      <c r="I91">
        <v>143</v>
      </c>
      <c r="J91">
        <v>141</v>
      </c>
      <c r="K91">
        <v>144</v>
      </c>
      <c r="L91">
        <v>-2</v>
      </c>
      <c r="M91">
        <v>-0.014</v>
      </c>
      <c r="N91">
        <v>140.5</v>
      </c>
      <c r="O91">
        <v>141</v>
      </c>
      <c r="P91">
        <v>141</v>
      </c>
      <c r="Q91">
        <v>313</v>
      </c>
      <c r="R91">
        <v>9084</v>
      </c>
      <c r="S91">
        <v>9754</v>
      </c>
      <c r="T91" s="40">
        <f>((P91-K91)/K91)</f>
        <v>-0.020833333333333332</v>
      </c>
      <c r="U91" s="40">
        <f>((T91*AB91)*D4)</f>
        <v>-0.31989733915585716</v>
      </c>
      <c r="V91" s="3">
        <f>IF(P91&lt;=N91,(P91*Q91*1000),0)</f>
        <v>0</v>
      </c>
      <c r="W91" s="3">
        <f>IF(P91&gt;=O91,(P91*Q91*1000),0)</f>
        <v>44133000</v>
      </c>
      <c r="X91">
        <v>2458</v>
      </c>
      <c r="Y91" s="3">
        <v>3038803920</v>
      </c>
      <c r="Z91" s="40">
        <f>((C4*AB91)/P91)/10</f>
        <v>0.0099940203098548494</v>
      </c>
      <c r="AA91" s="40">
        <f>((M91*AB91)*C4)</f>
        <v>-0.19728196091653472</v>
      </c>
      <c r="AB91" s="40">
        <f>AE91/AE323</f>
        <v>0.0012014744913402026</v>
      </c>
      <c r="AC91" s="40">
        <f>AF91/AF323</f>
        <v>0.001207195480361358</v>
      </c>
      <c r="AD91" s="3">
        <f>IF(ISNA(J91),(I91*Y91)/10,(J91*Y91)/10)</f>
        <v>42847135272</v>
      </c>
      <c r="AE91" s="3">
        <f>IF(ISNA(P91),(I91*Y91)/10,(P91*Y91)/10)</f>
        <v>42847135272</v>
      </c>
      <c r="AF91" s="3">
        <f>(I91*Y91)/10</f>
        <v>43454896056</v>
      </c>
      <c r="AG91">
        <f>IF(AND(P91&lt;=N91,L91&lt;0),IF(Q91&lt;10,"DBL10",IF(Q91&gt;=200,"DBM200",IF(Q91&gt;=150,"DBM150",IF(Q91&gt;=100,"DBM100",IF(Q91&gt;=50,"DBM50","DBM10-50"))))),0)</f>
        <v>0</v>
      </c>
      <c r="AH91" t="s">
        <f>IF(AND(P91&gt;=O91,L91&lt;0),IF(Q91&lt;10,"DAL10",IF(Q91&gt;=200,"DAM200",IF(Q91&gt;=150,"DAM150",IF(Q91&gt;=100,"DAM100",IF(Q91&gt;=50,"DAM50","DAM10-50"))))),0)</f>
        <v>26</v>
      </c>
      <c r="AI91">
        <f>IF(AND(P91&gt;=O91,L91&gt;0),IF(Q91&lt;10,"UAL10",IF(Q91&gt;=200,"UAM200",IF(Q91&gt;=150,"UAM150",IF(Q91&gt;=100,"UAM100",IF(Q91&gt;=50,"UAM50","UAM10-50"))))),0)</f>
        <v>0</v>
      </c>
      <c r="AJ91">
        <f>IF(AND(P91&lt;=N91,L91&gt;0),IF(Q91&lt;10,"UBL10",IF(Q91&gt;=200,"UBM200",IF(Q91&gt;=150,"UBM150",IF(Q91&gt;=100,"UBM100",IF(Q91&gt;=50,"UBM50","UBM10-50"))))),0)</f>
        <v>0</v>
      </c>
      <c r="AK91" t="s">
        <f>IF(Q91&lt;60,"down",IF(Q91=60,60,IF(Q91&gt;60,"up")))</f>
        <v>6</v>
      </c>
    </row>
    <row r="92" spans="1:37">
      <c r="A92">
        <f>IF(X92=6456,6456,"Error")</f>
        <v>6456</v>
      </c>
      <c r="B92" t="s">
        <f>IF(K92&lt;128.5,"down",IF(K92=128.5,"low",IF(K92=134.5,"high",IF(AND(K92&gt;128.5,K92&lt;134.5),"normal","up"))))</f>
        <v>79</v>
      </c>
      <c r="C92" t="s">
        <f>IF(K92&lt;128.5,"down",IF(K92=128.5,"low",IF(K92=134.5,"high",IF(AND(K92&gt;128.5,K92&lt;134.5),"normal","up"))))</f>
        <v>79</v>
      </c>
      <c r="D92" t="s">
        <f>IF(K92&lt;128.5,"down",IF(K92=128.5,"low",IF(K92=134.5,"high",IF(AND(K92&gt;128.5,K92&lt;134.5),"normal","up"))))</f>
        <v>79</v>
      </c>
      <c r="E92" t="s">
        <f>IF(K92&lt;128.5,"down",IF(K92=128.5,"low",IF(K92=140,"high",IF(AND(K92&gt;128.5,K92&lt;140),"normal","up"))))</f>
        <v>79</v>
      </c>
      <c r="F92">
        <f>IF(P92&lt;131.5,"PVP-down",IF(P92=131.5,131.5,IF(P92&gt;131.5,"PVP-up")))</f>
        <v>131.5</v>
      </c>
      <c r="G92" t="s">
        <f>IF(R92&lt;2391,"PVV-down",IF(R92=2391,2391,IF(R92&gt;2391,"PVV-up")))</f>
        <v>81</v>
      </c>
      <c r="H92" s="40">
        <f>R92/(Y92/10000)</f>
        <v>0.020610429301454927</v>
      </c>
      <c r="I92">
        <v>132</v>
      </c>
      <c r="J92">
        <v>132</v>
      </c>
      <c r="K92">
        <v>132</v>
      </c>
      <c r="L92">
        <v>-0.5</v>
      </c>
      <c r="M92">
        <v>-0.0038</v>
      </c>
      <c r="N92">
        <v>131</v>
      </c>
      <c r="O92">
        <v>131.5</v>
      </c>
      <c r="P92">
        <v>131.5</v>
      </c>
      <c r="Q92">
        <v>377</v>
      </c>
      <c r="R92">
        <v>6996</v>
      </c>
      <c r="S92">
        <v>11608</v>
      </c>
      <c r="T92" s="40">
        <f>((P92-K92)/K92)</f>
        <v>-0.003787878787878788</v>
      </c>
      <c r="U92" s="40">
        <f>((T92*AB92)*D4)</f>
        <v>-0.060591912874613504</v>
      </c>
      <c r="V92" s="3">
        <f>IF(P92&lt;=N92,(P92*Q92*1000),0)</f>
        <v>0</v>
      </c>
      <c r="W92" s="3">
        <f>IF(P92&gt;=O92,(P92*Q92*1000),0)</f>
        <v>49575500</v>
      </c>
      <c r="X92">
        <v>6456</v>
      </c>
      <c r="Y92" s="3">
        <v>3394398000</v>
      </c>
      <c r="Z92" s="40">
        <f>((C4*AB92)/P92)/10</f>
        <v>0.011163498351591795</v>
      </c>
      <c r="AA92" s="40">
        <f>((M92*AB92)*C4)</f>
        <v>-0.055784001262904198</v>
      </c>
      <c r="AB92" s="40">
        <f>AE92/AE323</f>
        <v>0.0012516453197407836</v>
      </c>
      <c r="AC92" s="40">
        <f>AF92/AF323</f>
        <v>0.0012447312111630369</v>
      </c>
      <c r="AD92" s="3">
        <f>IF(ISNA(J92),(I92*Y92)/10,(J92*Y92)/10)</f>
        <v>44806053600</v>
      </c>
      <c r="AE92" s="3">
        <f>IF(ISNA(P92),(I92*Y92)/10,(P92*Y92)/10)</f>
        <v>44636333700</v>
      </c>
      <c r="AF92" s="3">
        <f>(I92*Y92)/10</f>
        <v>44806053600</v>
      </c>
      <c r="AG92">
        <f>IF(AND(P92&lt;=N92,L92&lt;0),IF(Q92&lt;10,"DBL10",IF(Q92&gt;=200,"DBM200",IF(Q92&gt;=150,"DBM150",IF(Q92&gt;=100,"DBM100",IF(Q92&gt;=50,"DBM50","DBM10-50"))))),0)</f>
        <v>0</v>
      </c>
      <c r="AH92" t="s">
        <f>IF(AND(P92&gt;=O92,L92&lt;0),IF(Q92&lt;10,"DAL10",IF(Q92&gt;=200,"DAM200",IF(Q92&gt;=150,"DAM150",IF(Q92&gt;=100,"DAM100",IF(Q92&gt;=50,"DAM50","DAM10-50"))))),0)</f>
        <v>26</v>
      </c>
      <c r="AI92">
        <f>IF(AND(P92&gt;=O92,L92&gt;0),IF(Q92&lt;10,"UAL10",IF(Q92&gt;=200,"UAM200",IF(Q92&gt;=150,"UAM150",IF(Q92&gt;=100,"UAM100",IF(Q92&gt;=50,"UAM50","UAM10-50"))))),0)</f>
        <v>0</v>
      </c>
      <c r="AJ92">
        <f>IF(AND(P92&lt;=N92,L92&gt;0),IF(Q92&lt;10,"UBL10",IF(Q92&gt;=200,"UBM200",IF(Q92&gt;=150,"UBM150",IF(Q92&gt;=100,"UBM100",IF(Q92&gt;=50,"UBM50","UBM10-50"))))),0)</f>
        <v>0</v>
      </c>
      <c r="AK92" t="s">
        <f>IF(Q92&lt;487,"down",IF(Q92=487,487,IF(Q92&gt;487,"up")))</f>
        <v>7</v>
      </c>
    </row>
    <row r="93" spans="1:37">
      <c r="A93">
        <f>IF(X93=3533,3533,"Error")</f>
        <v>3533</v>
      </c>
      <c r="B93" t="s">
        <f>IF(K93&lt;433,"down",IF(K93=433,"low",IF(K93=460.5,"high",IF(AND(K93&gt;433,K93&lt;460.5),"normal","up"))))</f>
        <v>7</v>
      </c>
      <c r="C93" t="s">
        <f>IF(K93&lt;433,"down",IF(K93=433,"low",IF(K93=460.5,"high",IF(AND(K93&gt;433,K93&lt;460.5),"normal","up"))))</f>
        <v>7</v>
      </c>
      <c r="D93" t="s">
        <f>IF(K93&lt;433,"down",IF(K93=433,"low",IF(K93=460.5,"high",IF(AND(K93&gt;433,K93&lt;460.5),"normal","up"))))</f>
        <v>7</v>
      </c>
      <c r="E93" t="s">
        <f>IF(K93&lt;433,"down",IF(K93=433,"low",IF(K93=481,"high",IF(AND(K93&gt;433,K93&lt;481),"normal","up"))))</f>
        <v>7</v>
      </c>
      <c r="F93" t="s">
        <f>IF(P93&lt;435,"PVP-down",IF(P93=435,435,IF(P93&gt;435,"PVP-up")))</f>
        <v>80</v>
      </c>
      <c r="G93" t="s">
        <f>IF(R93&lt;77,"PVV-down",IF(R93=77,77,IF(R93&gt;77,"PVV-up")))</f>
        <v>81</v>
      </c>
      <c r="H93" s="40">
        <f>R93/(Y93/10000)</f>
        <v>0.019347126294600104</v>
      </c>
      <c r="I93">
        <v>436</v>
      </c>
      <c r="J93">
        <v>418.5</v>
      </c>
      <c r="K93">
        <v>430</v>
      </c>
      <c r="L93">
        <v>-18</v>
      </c>
      <c r="M93">
        <v>-0.041300000000000003</v>
      </c>
      <c r="N93">
        <v>416.5</v>
      </c>
      <c r="O93">
        <v>418</v>
      </c>
      <c r="P93">
        <v>418</v>
      </c>
      <c r="Q93">
        <v>80</v>
      </c>
      <c r="R93">
        <v>2002</v>
      </c>
      <c r="S93">
        <v>1046</v>
      </c>
      <c r="T93" s="40">
        <f>((P93-K93)/K93)</f>
        <v>-0.027906976744186046</v>
      </c>
      <c r="U93" s="40">
        <f>((T93*AB93)*D4)</f>
        <v>-0.43258031565011229</v>
      </c>
      <c r="V93" s="3">
        <f>IF(P93&lt;=N93,(P93*Q93*1000),0)</f>
        <v>0</v>
      </c>
      <c r="W93" s="3">
        <f>IF(P93&gt;=O93,(P93*Q93*1000),0)</f>
        <v>33440000</v>
      </c>
      <c r="X93">
        <v>3533</v>
      </c>
      <c r="Y93" s="3">
        <v>1034779000</v>
      </c>
      <c r="Z93" s="40">
        <f>((C4*AB93)/P93)/10</f>
        <v>0.0034031818486700166</v>
      </c>
      <c r="AA93" s="40">
        <f>((M93*AB93)*C4)</f>
        <v>-0.58750489526329963</v>
      </c>
      <c r="AB93" s="40">
        <f>AE93/AE323</f>
        <v>0.0012128766977743699</v>
      </c>
      <c r="AC93" s="40">
        <f>AF93/AF323</f>
        <v>0.0012533517770662338</v>
      </c>
      <c r="AD93" s="3">
        <f>IF(ISNA(J93),(I93*Y93)/10,(J93*Y93)/10)</f>
        <v>43305501150</v>
      </c>
      <c r="AE93" s="3">
        <f>IF(ISNA(P93),(I93*Y93)/10,(P93*Y93)/10)</f>
        <v>43253762200</v>
      </c>
      <c r="AF93" s="3">
        <f>(I93*Y93)/10</f>
        <v>45116364400</v>
      </c>
      <c r="AG93">
        <f>IF(AND(P93&lt;=N93,L93&lt;0),IF(Q93&lt;10,"DBL10",IF(Q93&gt;=200,"DBM200",IF(Q93&gt;=150,"DBM150",IF(Q93&gt;=100,"DBM100",IF(Q93&gt;=50,"DBM50","DBM10-50"))))),0)</f>
        <v>0</v>
      </c>
      <c r="AH93" t="s">
        <f>IF(AND(P93&gt;=O93,L93&lt;0),IF(Q93&lt;10,"DAL10",IF(Q93&gt;=200,"DAM200",IF(Q93&gt;=150,"DAM150",IF(Q93&gt;=100,"DAM100",IF(Q93&gt;=50,"DAM50","DAM10-50"))))),0)</f>
        <v>23</v>
      </c>
      <c r="AI93">
        <f>IF(AND(P93&gt;=O93,L93&gt;0),IF(Q93&lt;10,"UAL10",IF(Q93&gt;=200,"UAM200",IF(Q93&gt;=150,"UAM150",IF(Q93&gt;=100,"UAM100",IF(Q93&gt;=50,"UAM50","UAM10-50"))))),0)</f>
        <v>0</v>
      </c>
      <c r="AJ93">
        <f>IF(AND(P93&lt;=N93,L93&gt;0),IF(Q93&lt;10,"UBL10",IF(Q93&gt;=200,"UBM200",IF(Q93&gt;=150,"UBM150",IF(Q93&gt;=100,"UBM100",IF(Q93&gt;=50,"UBM50","UBM10-50"))))),0)</f>
        <v>0</v>
      </c>
      <c r="AK93" t="s">
        <f>IF(Q93&lt;5,"down",IF(Q93=5,5,IF(Q93&gt;5,"up")))</f>
        <v>6</v>
      </c>
    </row>
    <row r="94" spans="1:37">
      <c r="A94">
        <f>IF(X94=6213,6213,"Error")</f>
        <v>6213</v>
      </c>
      <c r="B94" t="s">
        <f>IF(K94&lt;130.5,"down",IF(K94=130.5,"low",IF(K94=132.5,"high",IF(AND(K94&gt;130.5,K94&lt;132.5),"normal","up"))))</f>
        <v>79</v>
      </c>
      <c r="C94" t="s">
        <f>IF(K94&lt;130.5,"down",IF(K94=130.5,"low",IF(K94=132.5,"high",IF(AND(K94&gt;130.5,K94&lt;132.5),"normal","up"))))</f>
        <v>79</v>
      </c>
      <c r="D94" t="s">
        <f>IF(K94&lt;130.5,"down",IF(K94=130.5,"low",IF(K94=132.5,"high",IF(AND(K94&gt;130.5,K94&lt;132.5),"normal","up"))))</f>
        <v>79</v>
      </c>
      <c r="E94" t="s">
        <f>IF(K94&lt;128,"down",IF(K94=128,"low",IF(K94=134.5,"high",IF(AND(K94&gt;128,K94&lt;134.5),"normal","up"))))</f>
        <v>79</v>
      </c>
      <c r="F94" t="s">
        <f>IF(P94&lt;131.5,"PVP-down",IF(P94=131.5,131.5,IF(P94&gt;131.5,"PVP-up")))</f>
        <v>80</v>
      </c>
      <c r="G94" t="s">
        <f>IF(R94&lt;1299,"PVV-down",IF(R94=1299,1299,IF(R94&gt;1299,"PVV-up")))</f>
        <v>81</v>
      </c>
      <c r="H94" s="40">
        <f>R94/(Y94/10000)</f>
        <v>0.014097907317329881</v>
      </c>
      <c r="I94">
        <v>131</v>
      </c>
      <c r="J94">
        <v>126.5</v>
      </c>
      <c r="K94">
        <v>131</v>
      </c>
      <c r="L94">
        <v>-4.5</v>
      </c>
      <c r="M94">
        <v>-0.0344</v>
      </c>
      <c r="N94">
        <v>126.5</v>
      </c>
      <c r="O94">
        <v>127</v>
      </c>
      <c r="P94">
        <v>126.5</v>
      </c>
      <c r="Q94">
        <v>317</v>
      </c>
      <c r="R94">
        <v>4694</v>
      </c>
      <c r="S94">
        <v>2837</v>
      </c>
      <c r="T94" s="40">
        <f>((P94-K94)/K94)</f>
        <v>-0.034351145038167941</v>
      </c>
      <c r="U94" s="40">
        <f>((T94*AB94)*D4)</f>
        <v>-0.51850178075077114</v>
      </c>
      <c r="V94" s="3">
        <f>IF(P94&lt;=N94,(P94*Q94*1000),0)</f>
        <v>40100500</v>
      </c>
      <c r="W94" s="3">
        <f>IF(P94&gt;=O94,(P94*Q94*1000),0)</f>
        <v>0</v>
      </c>
      <c r="X94">
        <v>6213</v>
      </c>
      <c r="Y94" s="3">
        <v>3329572180</v>
      </c>
      <c r="Z94" s="40">
        <f>((C4*AB94)/P94)/10</f>
        <v>0.010950299152584905</v>
      </c>
      <c r="AA94" s="40">
        <f>((M94*AB94)*C4)</f>
        <v>-0.47651321792388474</v>
      </c>
      <c r="AB94" s="40">
        <f>AE94/AE323</f>
        <v>0.0011810593544184138</v>
      </c>
      <c r="AC94" s="40">
        <f>AF94/AF323</f>
        <v>0.0012117097855876913</v>
      </c>
      <c r="AD94" s="3">
        <f>IF(ISNA(J94),(I94*Y94)/10,(J94*Y94)/10)</f>
        <v>42119088077</v>
      </c>
      <c r="AE94" s="3">
        <f>IF(ISNA(P94),(I94*Y94)/10,(P94*Y94)/10)</f>
        <v>42119088077</v>
      </c>
      <c r="AF94" s="3">
        <f>(I94*Y94)/10</f>
        <v>43617395558</v>
      </c>
      <c r="AG94" t="s">
        <f>IF(AND(P94&lt;=N94,L94&lt;0),IF(Q94&lt;10,"DBL10",IF(Q94&gt;=200,"DBM200",IF(Q94&gt;=150,"DBM150",IF(Q94&gt;=100,"DBM100",IF(Q94&gt;=50,"DBM50","DBM10-50"))))),0)</f>
        <v>16</v>
      </c>
      <c r="AH94">
        <f>IF(AND(P94&gt;=O94,L94&lt;0),IF(Q94&lt;10,"DAL10",IF(Q94&gt;=200,"DAM200",IF(Q94&gt;=150,"DAM150",IF(Q94&gt;=100,"DAM100",IF(Q94&gt;=50,"DAM50","DAM10-50"))))),0)</f>
        <v>0</v>
      </c>
      <c r="AI94">
        <f>IF(AND(P94&gt;=O94,L94&gt;0),IF(Q94&lt;10,"UAL10",IF(Q94&gt;=200,"UAM200",IF(Q94&gt;=150,"UAM150",IF(Q94&gt;=100,"UAM100",IF(Q94&gt;=50,"UAM50","UAM10-50"))))),0)</f>
        <v>0</v>
      </c>
      <c r="AJ94">
        <f>IF(AND(P94&lt;=N94,L94&gt;0),IF(Q94&lt;10,"UBL10",IF(Q94&gt;=200,"UBM200",IF(Q94&gt;=150,"UBM150",IF(Q94&gt;=100,"UBM100",IF(Q94&gt;=50,"UBM50","UBM10-50"))))),0)</f>
        <v>0</v>
      </c>
      <c r="AK94" t="s">
        <f>IF(Q94&lt;24,"down",IF(Q94=24,24,IF(Q94&gt;24,"up")))</f>
        <v>6</v>
      </c>
    </row>
    <row r="95" spans="1:37">
      <c r="A95">
        <f>IF(X95=2449,2449,"Error")</f>
        <v>2449</v>
      </c>
      <c r="B95" t="s">
        <f>IF(K95&lt;34.799999999999997,"down",IF(K95=34.799999999999997,"low",IF(K95=36.399999999999999,"high",IF(AND(K95&gt;34.799999999999997,K95&lt;36.399999999999999),"normal","up"))))</f>
        <v>79</v>
      </c>
      <c r="C95" t="s">
        <f>IF(K95&lt;34.799999999999997,"down",IF(K95=34.799999999999997,"low",IF(K95=36.399999999999999,"high",IF(AND(K95&gt;34.799999999999997,K95&lt;36.399999999999999),"normal","up"))))</f>
        <v>79</v>
      </c>
      <c r="D95" t="s">
        <f>IF(K95&lt;34.799999999999997,"down",IF(K95=34.799999999999997,"low",IF(K95=36.399999999999999,"high",IF(AND(K95&gt;34.799999999999997,K95&lt;36.399999999999999),"normal","up"))))</f>
        <v>79</v>
      </c>
      <c r="E95" t="s">
        <f>IF(K95&lt;34.299999999999997,"down",IF(K95=34.299999999999997,"low",IF(K95=36.399999999999999,"high",IF(AND(K95&gt;34.299999999999997,K95&lt;36.399999999999999),"normal","up"))))</f>
        <v>79</v>
      </c>
      <c r="F95" t="s">
        <f>IF(P95&lt;35.600000000000001,"PVP-down",IF(P95=35.600000000000001,35.600000000000001,IF(P95&gt;35.600000000000001,"PVP-up")))</f>
        <v>83</v>
      </c>
      <c r="G95" t="s">
        <f>IF(R95&lt;4294,"PVV-down",IF(R95=4294,4294,IF(R95&gt;4294,"PVV-up")))</f>
        <v>81</v>
      </c>
      <c r="H95" s="40">
        <f>R95/(Y95/10000)</f>
        <v>0.015972258289179846</v>
      </c>
      <c r="I95">
        <v>35.600000000000001</v>
      </c>
      <c r="J95">
        <v>35.649999999999999</v>
      </c>
      <c r="K95">
        <v>35.75</v>
      </c>
      <c r="L95">
        <v>0.050000000000000003</v>
      </c>
      <c r="M95">
        <v>0.0014</v>
      </c>
      <c r="N95">
        <v>35.649999999999999</v>
      </c>
      <c r="O95">
        <v>35.700000000000003</v>
      </c>
      <c r="P95">
        <v>35.649999999999999</v>
      </c>
      <c r="Q95">
        <v>742</v>
      </c>
      <c r="R95">
        <v>19530</v>
      </c>
      <c r="S95">
        <v>45886</v>
      </c>
      <c r="T95" s="40">
        <f>((P95-K95)/K95)</f>
        <v>-0.0027972027972028371</v>
      </c>
      <c r="U95" s="40">
        <f>((T95*AB95)*D4)</f>
        <v>-0.043696784635057558</v>
      </c>
      <c r="V95" s="3">
        <f>IF(P95&lt;=N95,(P95*Q95*1000),0)</f>
        <v>26452300</v>
      </c>
      <c r="W95" s="3">
        <f>IF(P95&gt;=O95,(P95*Q95*1000),0)</f>
        <v>0</v>
      </c>
      <c r="X95">
        <v>2449</v>
      </c>
      <c r="Y95" s="3">
        <v>12227450650</v>
      </c>
      <c r="Z95" s="40">
        <f>((C4*AB95)/P95)/10</f>
        <v>0.040213647655768417</v>
      </c>
      <c r="AA95" s="40">
        <f>((M95*AB95)*C4)</f>
        <v>0.020070631544994017</v>
      </c>
      <c r="AB95" s="40">
        <f>AE95/AE323</f>
        <v>0.0012223292851696926</v>
      </c>
      <c r="AC95" s="40">
        <f>AF95/AF323</f>
        <v>0.00120927424116991</v>
      </c>
      <c r="AD95" s="3">
        <f>IF(ISNA(J95),(I95*Y95)/10,(J95*Y95)/10)</f>
        <v>43590861567.25</v>
      </c>
      <c r="AE95" s="3">
        <f>IF(ISNA(P95),(I95*Y95)/10,(P95*Y95)/10)</f>
        <v>43590861567.25</v>
      </c>
      <c r="AF95" s="3">
        <f>(I95*Y95)/10</f>
        <v>43529724314</v>
      </c>
      <c r="AG95">
        <f>IF(AND(P95&lt;=N95,L95&lt;0),IF(Q95&lt;10,"DBL10",IF(Q95&gt;=200,"DBM200",IF(Q95&gt;=150,"DBM150",IF(Q95&gt;=100,"DBM100",IF(Q95&gt;=50,"DBM50","DBM10-50"))))),0)</f>
        <v>0</v>
      </c>
      <c r="AH95">
        <f>IF(AND(P95&gt;=O95,L95&lt;0),IF(Q95&lt;10,"DAL10",IF(Q95&gt;=200,"DAM200",IF(Q95&gt;=150,"DAM150",IF(Q95&gt;=100,"DAM100",IF(Q95&gt;=50,"DAM50","DAM10-50"))))),0)</f>
        <v>0</v>
      </c>
      <c r="AI95">
        <f>IF(AND(P95&gt;=O95,L95&gt;0),IF(Q95&lt;10,"UAL10",IF(Q95&gt;=200,"UAM200",IF(Q95&gt;=150,"UAM150",IF(Q95&gt;=100,"UAM100",IF(Q95&gt;=50,"UAM50","UAM10-50"))))),0)</f>
        <v>0</v>
      </c>
      <c r="AJ95" t="s">
        <f>IF(AND(P95&lt;=N95,L95&gt;0),IF(Q95&lt;10,"UBL10",IF(Q95&gt;=200,"UBM200",IF(Q95&gt;=150,"UBM150",IF(Q95&gt;=100,"UBM100",IF(Q95&gt;=50,"UBM50","UBM10-50"))))),0)</f>
        <v>21</v>
      </c>
      <c r="AK95" t="s">
        <f>IF(Q95&lt;955,"down",IF(Q95=955,955,IF(Q95&gt;955,"up")))</f>
        <v>7</v>
      </c>
    </row>
    <row r="96" spans="1:37">
      <c r="A96">
        <f>IF(X96=3023,3023,"Error")</f>
        <v>3023</v>
      </c>
      <c r="B96" t="s">
        <f>IF(K96&lt;174,"down",IF(K96=174,"low",IF(K96=181,"high",IF(AND(K96&gt;174,K96&lt;181),"normal","up"))))</f>
        <v>79</v>
      </c>
      <c r="C96" t="s">
        <f>IF(K96&lt;174,"down",IF(K96=174,"low",IF(K96=181,"high",IF(AND(K96&gt;174,K96&lt;181),"normal","up"))))</f>
        <v>79</v>
      </c>
      <c r="D96" t="s">
        <f>IF(K96&lt;174,"down",IF(K96=174,"low",IF(K96=181,"high",IF(AND(K96&gt;174,K96&lt;181),"normal","up"))))</f>
        <v>79</v>
      </c>
      <c r="E96" t="s">
        <f>IF(K96&lt;171,"down",IF(K96=171,"low",IF(K96=184.5,"high",IF(AND(K96&gt;171,K96&lt;184.5),"normal","up"))))</f>
        <v>79</v>
      </c>
      <c r="F96" t="s">
        <f>IF(P96&lt;174.5,"PVP-down",IF(P96=174.5,174.5,IF(P96&gt;174.5,"PVP-up")))</f>
        <v>83</v>
      </c>
      <c r="G96" t="s">
        <f>IF(R96&lt;323,"PVV-down",IF(R96=323,323,IF(R96&gt;323,"PVV-up")))</f>
        <v>81</v>
      </c>
      <c r="H96" s="40">
        <f>R96/(Y96/10000)</f>
        <v>0.0036558521205325594</v>
      </c>
      <c r="I96">
        <v>174.5</v>
      </c>
      <c r="J96">
        <v>175</v>
      </c>
      <c r="K96">
        <v>175</v>
      </c>
      <c r="L96">
        <v>0.5</v>
      </c>
      <c r="M96">
        <v>0.0028999999999999998</v>
      </c>
      <c r="N96">
        <v>174.5</v>
      </c>
      <c r="O96">
        <v>175</v>
      </c>
      <c r="P96">
        <v>175</v>
      </c>
      <c r="Q96">
        <v>59</v>
      </c>
      <c r="R96">
        <v>851</v>
      </c>
      <c r="S96">
        <v>1548</v>
      </c>
      <c r="T96" s="40">
        <f>((P96-K96)/K96)</f>
        <v>0</v>
      </c>
      <c r="U96" s="40">
        <f>((T96*AB96)*D4)</f>
        <v>0</v>
      </c>
      <c r="V96" s="3">
        <f>IF(P96&lt;=N96,(P96*Q96*1000),0)</f>
        <v>0</v>
      </c>
      <c r="W96" s="3">
        <f>IF(P96&gt;=O96,(P96*Q96*1000),0)</f>
        <v>10325000</v>
      </c>
      <c r="X96">
        <v>3023</v>
      </c>
      <c r="Y96" s="3">
        <v>2327774680</v>
      </c>
      <c r="Z96" s="40">
        <f>((C4*AB96)/P96)/10</f>
        <v>0.0076555868825803914</v>
      </c>
      <c r="AA96" s="40">
        <f>((M96*AB96)*C4)</f>
        <v>0.038852103429095487</v>
      </c>
      <c r="AB96" s="40">
        <f>AE96/AE323</f>
        <v>0.0011422778426710088</v>
      </c>
      <c r="AC96" s="40">
        <f>AF96/AF323</f>
        <v>0.0011284316446317387</v>
      </c>
      <c r="AD96" s="3">
        <f>IF(ISNA(J96),(I96*Y96)/10,(J96*Y96)/10)</f>
        <v>40736056900</v>
      </c>
      <c r="AE96" s="3">
        <f>IF(ISNA(P96),(I96*Y96)/10,(P96*Y96)/10)</f>
        <v>40736056900</v>
      </c>
      <c r="AF96" s="3">
        <f>(I96*Y96)/10</f>
        <v>40619668166</v>
      </c>
      <c r="AG96">
        <f>IF(AND(P96&lt;=N96,L96&lt;0),IF(Q96&lt;10,"DBL10",IF(Q96&gt;=200,"DBM200",IF(Q96&gt;=150,"DBM150",IF(Q96&gt;=100,"DBM100",IF(Q96&gt;=50,"DBM50","DBM10-50"))))),0)</f>
        <v>0</v>
      </c>
      <c r="AH96">
        <f>IF(AND(P96&gt;=O96,L96&lt;0),IF(Q96&lt;10,"DAL10",IF(Q96&gt;=200,"DAM200",IF(Q96&gt;=150,"DAM150",IF(Q96&gt;=100,"DAM100",IF(Q96&gt;=50,"DAM50","DAM10-50"))))),0)</f>
        <v>0</v>
      </c>
      <c r="AI96" t="s">
        <f>IF(AND(P96&gt;=O96,L96&gt;0),IF(Q96&lt;10,"UAL10",IF(Q96&gt;=200,"UAM200",IF(Q96&gt;=150,"UAM150",IF(Q96&gt;=100,"UAM100",IF(Q96&gt;=50,"UAM50","UAM10-50"))))),0)</f>
        <v>28</v>
      </c>
      <c r="AJ96">
        <f>IF(AND(P96&lt;=N96,L96&gt;0),IF(Q96&lt;10,"UBL10",IF(Q96&gt;=200,"UBM200",IF(Q96&gt;=150,"UBM150",IF(Q96&gt;=100,"UBM100",IF(Q96&gt;=50,"UBM50","UBM10-50"))))),0)</f>
        <v>0</v>
      </c>
      <c r="AK96" t="s">
        <f>IF(Q96&lt;42,"down",IF(Q96=42,42,IF(Q96&gt;42,"up")))</f>
        <v>6</v>
      </c>
    </row>
    <row r="97" spans="1:37">
      <c r="A97">
        <f>IF(X97=6278,6278,"Error")</f>
        <v>6278</v>
      </c>
      <c r="B97" t="s">
        <f>IF(K97&lt;130.5,"down",IF(K97=130.5,"low",IF(K97=137.5,"high",IF(AND(K97&gt;130.5,K97&lt;137.5),"normal","up"))))</f>
        <v>79</v>
      </c>
      <c r="C97" t="s">
        <f>IF(K97&lt;130.5,"down",IF(K97=130.5,"low",IF(K97=137.5,"high",IF(AND(K97&gt;130.5,K97&lt;137.5),"normal","up"))))</f>
        <v>79</v>
      </c>
      <c r="D97" t="s">
        <f>IF(K97&lt;130.5,"down",IF(K97=130.5,"low",IF(K97=137.5,"high",IF(AND(K97&gt;130.5,K97&lt;137.5),"normal","up"))))</f>
        <v>79</v>
      </c>
      <c r="E97" t="s">
        <f>IF(K97&lt;128,"down",IF(K97=128,"low",IF(K97=144,"high",IF(AND(K97&gt;128,K97&lt;144),"normal","up"))))</f>
        <v>79</v>
      </c>
      <c r="F97" t="s">
        <f>IF(P97&lt;132,"PVP-down",IF(P97=132,132,IF(P97&gt;132,"PVP-up")))</f>
        <v>80</v>
      </c>
      <c r="G97" t="s">
        <f>IF(R97&lt;1644,"PVV-down",IF(R97=1644,1644,IF(R97&gt;1644,"PVV-up")))</f>
        <v>81</v>
      </c>
      <c r="H97" s="40">
        <f>R97/(Y97/10000)</f>
        <v>0.024374282299736483</v>
      </c>
      <c r="I97">
        <v>132.5</v>
      </c>
      <c r="J97">
        <v>130.5</v>
      </c>
      <c r="K97">
        <v>132.5</v>
      </c>
      <c r="L97">
        <v>-2</v>
      </c>
      <c r="M97">
        <v>-0.015100000000000001</v>
      </c>
      <c r="N97">
        <v>130.5</v>
      </c>
      <c r="O97">
        <v>131</v>
      </c>
      <c r="P97">
        <v>130.5</v>
      </c>
      <c r="Q97">
        <v>302</v>
      </c>
      <c r="R97">
        <v>7127</v>
      </c>
      <c r="S97">
        <v>8490</v>
      </c>
      <c r="T97" s="40">
        <f>((P97-K97)/K97)</f>
        <v>-0.01509433962264151</v>
      </c>
      <c r="U97" s="40">
        <f>((T97*AB97)*D4)</f>
        <v>-0.20640947326533748</v>
      </c>
      <c r="V97" s="3">
        <f>IF(P97&lt;=N97,(P97*Q97*1000),0)</f>
        <v>39411000</v>
      </c>
      <c r="W97" s="3">
        <f>IF(P97&gt;=O97,(P97*Q97*1000),0)</f>
        <v>0</v>
      </c>
      <c r="X97">
        <v>6278</v>
      </c>
      <c r="Y97" s="3">
        <v>2923983530</v>
      </c>
      <c r="Z97" s="40">
        <f>((C4*AB97)/P97)/10</f>
        <v>0.0096163989364937627</v>
      </c>
      <c r="AA97" s="40">
        <f>((M97*AB97)*C4)</f>
        <v>-0.18949594924307783</v>
      </c>
      <c r="AB97" s="40">
        <f>AE97/AE323</f>
        <v>0.0010699862524601441</v>
      </c>
      <c r="AC97" s="40">
        <f>AF97/AF323</f>
        <v>0.0010762909429610902</v>
      </c>
      <c r="AD97" s="3">
        <f>IF(ISNA(J97),(I97*Y97)/10,(J97*Y97)/10)</f>
        <v>38157985066.5</v>
      </c>
      <c r="AE97" s="3">
        <f>IF(ISNA(P97),(I97*Y97)/10,(P97*Y97)/10)</f>
        <v>38157985066.5</v>
      </c>
      <c r="AF97" s="3">
        <f>(I97*Y97)/10</f>
        <v>38742781772.5</v>
      </c>
      <c r="AG97" t="s">
        <f>IF(AND(P97&lt;=N97,L97&lt;0),IF(Q97&lt;10,"DBL10",IF(Q97&gt;=200,"DBM200",IF(Q97&gt;=150,"DBM150",IF(Q97&gt;=100,"DBM100",IF(Q97&gt;=50,"DBM50","DBM10-50"))))),0)</f>
        <v>16</v>
      </c>
      <c r="AH97">
        <f>IF(AND(P97&gt;=O97,L97&lt;0),IF(Q97&lt;10,"DAL10",IF(Q97&gt;=200,"DAM200",IF(Q97&gt;=150,"DAM150",IF(Q97&gt;=100,"DAM100",IF(Q97&gt;=50,"DAM50","DAM10-50"))))),0)</f>
        <v>0</v>
      </c>
      <c r="AI97">
        <f>IF(AND(P97&gt;=O97,L97&gt;0),IF(Q97&lt;10,"UAL10",IF(Q97&gt;=200,"UAM200",IF(Q97&gt;=150,"UAM150",IF(Q97&gt;=100,"UAM100",IF(Q97&gt;=50,"UAM50","UAM10-50"))))),0)</f>
        <v>0</v>
      </c>
      <c r="AJ97">
        <f>IF(AND(P97&lt;=N97,L97&gt;0),IF(Q97&lt;10,"UBL10",IF(Q97&gt;=200,"UBM200",IF(Q97&gt;=150,"UBM150",IF(Q97&gt;=100,"UBM100",IF(Q97&gt;=50,"UBM50","UBM10-50"))))),0)</f>
        <v>0</v>
      </c>
      <c r="AK97" t="s">
        <f>IF(Q97&lt;161,"down",IF(Q97=161,161,IF(Q97&gt;161,"up")))</f>
        <v>6</v>
      </c>
    </row>
    <row r="98" spans="1:37">
      <c r="A98">
        <f>IF(X98=3443,3443,"Error")</f>
        <v>3443</v>
      </c>
      <c r="B98" t="s">
        <f>IF(K98&lt;300.5,"down",IF(K98=300.5,"low",IF(K98=311.5,"high",IF(AND(K98&gt;300.5,K98&lt;311.5),"normal","up"))))</f>
        <v>79</v>
      </c>
      <c r="C98" t="s">
        <f>IF(K98&lt;300.5,"down",IF(K98=300.5,"low",IF(K98=311.5,"high",IF(AND(K98&gt;300.5,K98&lt;311.5),"normal","up"))))</f>
        <v>79</v>
      </c>
      <c r="D98" t="s">
        <f>IF(K98&lt;300.5,"down",IF(K98=300.5,"low",IF(K98=311.5,"high",IF(AND(K98&gt;300.5,K98&lt;311.5),"normal","up"))))</f>
        <v>79</v>
      </c>
      <c r="E98" t="s">
        <f>IF(K98&lt;294,"down",IF(K98=294,"low",IF(K98=322,"high",IF(AND(K98&gt;294,K98&lt;322),"normal","up"))))</f>
        <v>79</v>
      </c>
      <c r="F98" t="s">
        <f>IF(P98&lt;301,"PVP-down",IF(P98=301,301,IF(P98&gt;301,"PVP-up")))</f>
        <v>83</v>
      </c>
      <c r="G98" t="s">
        <f>IF(R98&lt;264,"PVV-down",IF(R98=264,264,IF(R98&gt;264,"PVV-up")))</f>
        <v>81</v>
      </c>
      <c r="H98" s="40">
        <f>R98/(Y98/10000)</f>
        <v>0.013528648210978799</v>
      </c>
      <c r="I98">
        <v>301</v>
      </c>
      <c r="J98">
        <v>302.5</v>
      </c>
      <c r="K98">
        <v>301</v>
      </c>
      <c r="L98">
        <v>0.5</v>
      </c>
      <c r="M98">
        <v>0.0016999999999999999</v>
      </c>
      <c r="N98">
        <v>301</v>
      </c>
      <c r="O98">
        <v>301.5</v>
      </c>
      <c r="P98">
        <v>301.5</v>
      </c>
      <c r="Q98">
        <v>117</v>
      </c>
      <c r="R98">
        <v>1813</v>
      </c>
      <c r="S98">
        <v>1928</v>
      </c>
      <c r="T98" s="40">
        <f>((P98-K98)/K98)</f>
        <v>0.0016611295681063123</v>
      </c>
      <c r="U98" s="40">
        <f>((T98*AB98)*D4)</f>
        <v>0.024052725776146075</v>
      </c>
      <c r="V98" s="3">
        <f>IF(P98&lt;=N98,(P98*Q98*1000),0)</f>
        <v>0</v>
      </c>
      <c r="W98" s="3">
        <f>IF(P98&gt;=O98,(P98*Q98*1000),0)</f>
        <v>35275500</v>
      </c>
      <c r="X98">
        <v>3443</v>
      </c>
      <c r="Y98" s="3">
        <v>1340119110</v>
      </c>
      <c r="Z98" s="40">
        <f>((C4*AB98)/P98)/10</f>
        <v>0.0044073846011639366</v>
      </c>
      <c r="AA98" s="40">
        <f>((M98*AB98)*C4)</f>
        <v>0.022590049773265751</v>
      </c>
      <c r="AB98" s="40">
        <f>AE98/AE323</f>
        <v>0.001132983227732916</v>
      </c>
      <c r="AC98" s="40">
        <f>AF98/AF323</f>
        <v>0.0011205952602592127</v>
      </c>
      <c r="AD98" s="3">
        <f>IF(ISNA(J98),(I98*Y98)/10,(J98*Y98)/10)</f>
        <v>40538603077.5</v>
      </c>
      <c r="AE98" s="3">
        <f>IF(ISNA(P98),(I98*Y98)/10,(P98*Y98)/10)</f>
        <v>40404591166.5</v>
      </c>
      <c r="AF98" s="3">
        <f>(I98*Y98)/10</f>
        <v>40337585211</v>
      </c>
      <c r="AG98">
        <f>IF(AND(P98&lt;=N98,L98&lt;0),IF(Q98&lt;10,"DBL10",IF(Q98&gt;=200,"DBM200",IF(Q98&gt;=150,"DBM150",IF(Q98&gt;=100,"DBM100",IF(Q98&gt;=50,"DBM50","DBM10-50"))))),0)</f>
        <v>0</v>
      </c>
      <c r="AH98">
        <f>IF(AND(P98&gt;=O98,L98&lt;0),IF(Q98&lt;10,"DAL10",IF(Q98&gt;=200,"DAM200",IF(Q98&gt;=150,"DAM150",IF(Q98&gt;=100,"DAM100",IF(Q98&gt;=50,"DAM50","DAM10-50"))))),0)</f>
        <v>0</v>
      </c>
      <c r="AI98" t="s">
        <f>IF(AND(P98&gt;=O98,L98&gt;0),IF(Q98&lt;10,"UAL10",IF(Q98&gt;=200,"UAM200",IF(Q98&gt;=150,"UAM150",IF(Q98&gt;=100,"UAM100",IF(Q98&gt;=50,"UAM50","UAM10-50"))))),0)</f>
        <v>29</v>
      </c>
      <c r="AJ98">
        <f>IF(AND(P98&lt;=N98,L98&gt;0),IF(Q98&lt;10,"UBL10",IF(Q98&gt;=200,"UBM200",IF(Q98&gt;=150,"UBM150",IF(Q98&gt;=100,"UBM100",IF(Q98&gt;=50,"UBM50","UBM10-50"))))),0)</f>
        <v>0</v>
      </c>
      <c r="AK98" t="s">
        <f>IF(Q98&lt;43,"down",IF(Q98=43,43,IF(Q98&gt;43,"up")))</f>
        <v>6</v>
      </c>
    </row>
    <row r="99" spans="1:37">
      <c r="A99">
        <f>IF(X99=2404,2404,"Error")</f>
        <v>2404</v>
      </c>
      <c r="B99" t="s">
        <f>IF(K99&lt;209,"down",IF(K99=209,"low",IF(K99=213.5,"high",IF(AND(K99&gt;209,K99&lt;213.5),"normal","up"))))</f>
        <v>6</v>
      </c>
      <c r="C99" t="s">
        <f>IF(K99&lt;209,"down",IF(K99=209,"low",IF(K99=213.5,"high",IF(AND(K99&gt;209,K99&lt;213.5),"normal","up"))))</f>
        <v>6</v>
      </c>
      <c r="D99" t="s">
        <f>IF(K99&lt;209,"down",IF(K99=209,"low",IF(K99=213.5,"high",IF(AND(K99&gt;209,K99&lt;213.5),"normal","up"))))</f>
        <v>6</v>
      </c>
      <c r="E99" t="s">
        <f>IF(K99&lt;205,"down",IF(K99=205,"low",IF(K99=214,"high",IF(AND(K99&gt;205,K99&lt;214),"normal","up"))))</f>
        <v>6</v>
      </c>
      <c r="F99" t="s">
        <f>IF(P99&lt;211.5,"PVP-down",IF(P99=211.5,211.5,IF(P99&gt;211.5,"PVP-up")))</f>
        <v>80</v>
      </c>
      <c r="G99" t="s">
        <f>IF(R99&lt;598,"PVV-down",IF(R99=598,598,IF(R99&gt;598,"PVV-up")))</f>
        <v>81</v>
      </c>
      <c r="H99" s="40">
        <f>R99/(Y99/10000)</f>
        <v>0.01449209220257334</v>
      </c>
      <c r="I99">
        <v>213</v>
      </c>
      <c r="J99">
        <v>209</v>
      </c>
      <c r="K99">
        <v>215</v>
      </c>
      <c r="L99">
        <v>-4</v>
      </c>
      <c r="M99">
        <v>-0.018800000000000001</v>
      </c>
      <c r="N99">
        <v>209</v>
      </c>
      <c r="O99">
        <v>210</v>
      </c>
      <c r="P99">
        <v>209</v>
      </c>
      <c r="Q99">
        <v>82</v>
      </c>
      <c r="R99">
        <v>2762</v>
      </c>
      <c r="S99">
        <v>2037</v>
      </c>
      <c r="T99" s="40">
        <f>((P99-K99)/K99)</f>
        <v>-0.027906976744186046</v>
      </c>
      <c r="U99" s="40">
        <f>((T99*AB99)*D4)</f>
        <v>-0.39836551562967853</v>
      </c>
      <c r="V99" s="3">
        <f>IF(P99&lt;=N99,(P99*Q99*1000),0)</f>
        <v>17138000</v>
      </c>
      <c r="W99" s="3">
        <f>IF(P99&gt;=O99,(P99*Q99*1000),0)</f>
        <v>0</v>
      </c>
      <c r="X99">
        <v>2404</v>
      </c>
      <c r="Y99" s="3">
        <v>1905866980</v>
      </c>
      <c r="Z99" s="40">
        <f>((C4*AB99)/P99)/10</f>
        <v>0.0062680165642282461</v>
      </c>
      <c r="AA99" s="40">
        <f>((M99*AB99)*C4)</f>
        <v>-0.2462829068416563</v>
      </c>
      <c r="AB99" s="40">
        <f>AE99/AE323</f>
        <v>0.0011169446080272266</v>
      </c>
      <c r="AC99" s="40">
        <f>AF99/AF323</f>
        <v>0.0011277454266860748</v>
      </c>
      <c r="AD99" s="3">
        <f>IF(ISNA(J99),(I99*Y99)/10,(J99*Y99)/10)</f>
        <v>39832619882</v>
      </c>
      <c r="AE99" s="3">
        <f>IF(ISNA(P99),(I99*Y99)/10,(P99*Y99)/10)</f>
        <v>39832619882</v>
      </c>
      <c r="AF99" s="3">
        <f>(I99*Y99)/10</f>
        <v>40594966674</v>
      </c>
      <c r="AG99" t="s">
        <f>IF(AND(P99&lt;=N99,L99&lt;0),IF(Q99&lt;10,"DBL10",IF(Q99&gt;=200,"DBM200",IF(Q99&gt;=150,"DBM150",IF(Q99&gt;=100,"DBM100",IF(Q99&gt;=50,"DBM50","DBM10-50"))))),0)</f>
        <v>13</v>
      </c>
      <c r="AH99">
        <f>IF(AND(P99&gt;=O99,L99&lt;0),IF(Q99&lt;10,"DAL10",IF(Q99&gt;=200,"DAM200",IF(Q99&gt;=150,"DAM150",IF(Q99&gt;=100,"DAM100",IF(Q99&gt;=50,"DAM50","DAM10-50"))))),0)</f>
        <v>0</v>
      </c>
      <c r="AI99">
        <f>IF(AND(P99&gt;=O99,L99&gt;0),IF(Q99&lt;10,"UAL10",IF(Q99&gt;=200,"UAM200",IF(Q99&gt;=150,"UAM150",IF(Q99&gt;=100,"UAM100",IF(Q99&gt;=50,"UAM50","UAM10-50"))))),0)</f>
        <v>0</v>
      </c>
      <c r="AJ99">
        <f>IF(AND(P99&lt;=N99,L99&gt;0),IF(Q99&lt;10,"UBL10",IF(Q99&gt;=200,"UBM200",IF(Q99&gt;=150,"UBM150",IF(Q99&gt;=100,"UBM100",IF(Q99&gt;=50,"UBM50","UBM10-50"))))),0)</f>
        <v>0</v>
      </c>
      <c r="AK99" t="s">
        <f>IF(Q99&lt;11,"down",IF(Q99=11,11,IF(Q99&gt;11,"up")))</f>
        <v>6</v>
      </c>
    </row>
    <row r="100" spans="1:37">
      <c r="A100">
        <f>IF(X100=3653,3653,"Error")</f>
        <v>3653</v>
      </c>
      <c r="B100" t="s">
        <f>IF(K100&lt;322,"down",IF(K100=322,"low",IF(K100=344,"high",IF(AND(K100&gt;322,K100&lt;344),"normal","up"))))</f>
        <v>79</v>
      </c>
      <c r="C100" t="s">
        <f>IF(K100&lt;322,"down",IF(K100=322,"low",IF(K100=344,"high",IF(AND(K100&gt;322,K100&lt;344),"normal","up"))))</f>
        <v>79</v>
      </c>
      <c r="D100" t="s">
        <f>IF(K100&lt;322,"down",IF(K100=322,"low",IF(K100=344,"high",IF(AND(K100&gt;322,K100&lt;344),"normal","up"))))</f>
        <v>79</v>
      </c>
      <c r="E100" t="s">
        <f>IF(K100&lt;305,"down",IF(K100=305,"low",IF(K100=344.5,"high",IF(AND(K100&gt;305,K100&lt;344.5),"normal","up"))))</f>
        <v>79</v>
      </c>
      <c r="F100" t="s">
        <f>IF(P100&lt;335,"PVP-down",IF(P100=335,335,IF(P100&gt;335,"PVP-up")))</f>
        <v>80</v>
      </c>
      <c r="G100" t="s">
        <f>IF(R100&lt;517,"PVV-down",IF(R100=517,517,IF(R100&gt;517,"PVV-up")))</f>
        <v>81</v>
      </c>
      <c r="H100" s="40">
        <f>R100/(Y100/10000)</f>
        <v>0.024589879073485747</v>
      </c>
      <c r="I100">
        <v>337</v>
      </c>
      <c r="J100">
        <v>313</v>
      </c>
      <c r="K100">
        <v>337</v>
      </c>
      <c r="L100">
        <v>-23</v>
      </c>
      <c r="M100">
        <v>-0.068199999999999997</v>
      </c>
      <c r="N100">
        <v>314</v>
      </c>
      <c r="O100">
        <v>314.5</v>
      </c>
      <c r="P100">
        <v>314</v>
      </c>
      <c r="Q100">
        <v>163</v>
      </c>
      <c r="R100">
        <v>2976</v>
      </c>
      <c r="S100">
        <v>4539</v>
      </c>
      <c r="T100" s="40">
        <f>((P100-K100)/K100)</f>
        <v>-0.068249258160237386</v>
      </c>
      <c r="U100" s="40">
        <f>((T100*AB100)*D4)</f>
        <v>-0.9294674632991301</v>
      </c>
      <c r="V100" s="3">
        <f>IF(P100&lt;=N100,(P100*Q100*1000),0)</f>
        <v>51182000</v>
      </c>
      <c r="W100" s="3">
        <f>IF(P100&gt;=O100,(P100*Q100*1000),0)</f>
        <v>0</v>
      </c>
      <c r="X100">
        <v>3653</v>
      </c>
      <c r="Y100" s="3">
        <v>1210254020</v>
      </c>
      <c r="Z100" s="40">
        <f>((C4*AB100)/P100)/10</f>
        <v>0.0039802842086512375</v>
      </c>
      <c r="AA100" s="40">
        <f>((M100*AB100)*C4)</f>
        <v>-0.85236990271424506</v>
      </c>
      <c r="AB100" s="40">
        <f>AE100/AE323</f>
        <v>0.0010656116160068208</v>
      </c>
      <c r="AC100" s="40">
        <f>AF100/AF323</f>
        <v>0.0011330402034506629</v>
      </c>
      <c r="AD100" s="3">
        <f>IF(ISNA(J100),(I100*Y100)/10,(J100*Y100)/10)</f>
        <v>37880950826</v>
      </c>
      <c r="AE100" s="3">
        <f>IF(ISNA(P100),(I100*Y100)/10,(P100*Y100)/10)</f>
        <v>38001976228</v>
      </c>
      <c r="AF100" s="3">
        <f>(I100*Y100)/10</f>
        <v>40785560474</v>
      </c>
      <c r="AG100" t="s">
        <f>IF(AND(P100&lt;=N100,L100&lt;0),IF(Q100&lt;10,"DBL10",IF(Q100&gt;=200,"DBM200",IF(Q100&gt;=150,"DBM150",IF(Q100&gt;=100,"DBM100",IF(Q100&gt;=50,"DBM50","DBM10-50"))))),0)</f>
        <v>15</v>
      </c>
      <c r="AH100">
        <f>IF(AND(P100&gt;=O100,L100&lt;0),IF(Q100&lt;10,"DAL10",IF(Q100&gt;=200,"DAM200",IF(Q100&gt;=150,"DAM150",IF(Q100&gt;=100,"DAM100",IF(Q100&gt;=50,"DAM50","DAM10-50"))))),0)</f>
        <v>0</v>
      </c>
      <c r="AI100">
        <f>IF(AND(P100&gt;=O100,L100&gt;0),IF(Q100&lt;10,"UAL10",IF(Q100&gt;=200,"UAM200",IF(Q100&gt;=150,"UAM150",IF(Q100&gt;=100,"UAM100",IF(Q100&gt;=50,"UAM50","UAM10-50"))))),0)</f>
        <v>0</v>
      </c>
      <c r="AJ100">
        <f>IF(AND(P100&lt;=N100,L100&gt;0),IF(Q100&lt;10,"UBL10",IF(Q100&gt;=200,"UBM200",IF(Q100&gt;=150,"UBM150",IF(Q100&gt;=100,"UBM100",IF(Q100&gt;=50,"UBM50","UBM10-50"))))),0)</f>
        <v>0</v>
      </c>
      <c r="AK100" t="s">
        <f>IF(Q100&lt;106,"down",IF(Q100=106,106,IF(Q100&gt;106,"up")))</f>
        <v>6</v>
      </c>
    </row>
    <row r="101" spans="1:37">
      <c r="A101">
        <f>IF(X101=3661,3661,"Error")</f>
        <v>3661</v>
      </c>
      <c r="B101" t="s">
        <f>IF(K101&lt;648,"down",IF(K101=648,"low",IF(K101=702,"high",IF(AND(K101&gt;648,K101&lt;702),"normal","up"))))</f>
        <v>79</v>
      </c>
      <c r="C101" t="s">
        <f>IF(K101&lt;648,"down",IF(K101=648,"low",IF(K101=702,"high",IF(AND(K101&gt;648,K101&lt;702),"normal","up"))))</f>
        <v>79</v>
      </c>
      <c r="D101" t="s">
        <f>IF(K101&lt;648,"down",IF(K101=648,"low",IF(K101=702,"high",IF(AND(K101&gt;648,K101&lt;702),"normal","up"))))</f>
        <v>79</v>
      </c>
      <c r="E101" t="s">
        <f>IF(K101&lt;610,"down",IF(K101=610,"low",IF(K101=702,"high",IF(AND(K101&gt;610,K101&lt;702),"normal","up"))))</f>
        <v>79</v>
      </c>
      <c r="F101" t="s">
        <f>IF(P101&lt;674,"PVP-down",IF(P101=674,674,IF(P101&gt;674,"PVP-up")))</f>
        <v>80</v>
      </c>
      <c r="G101" t="s">
        <f>IF(R101&lt;587,"PVV-down",IF(R101=587,587,IF(R101&gt;587,"PVV-up")))</f>
        <v>81</v>
      </c>
      <c r="H101" s="40">
        <f>R101/(Y101/10000)</f>
        <v>0.078522307435388169</v>
      </c>
      <c r="I101">
        <v>674</v>
      </c>
      <c r="J101">
        <v>655</v>
      </c>
      <c r="K101">
        <v>672</v>
      </c>
      <c r="L101">
        <v>-19</v>
      </c>
      <c r="M101">
        <v>-0.028199999999999999</v>
      </c>
      <c r="N101">
        <v>654</v>
      </c>
      <c r="O101">
        <v>655</v>
      </c>
      <c r="P101">
        <v>655</v>
      </c>
      <c r="Q101">
        <v>341</v>
      </c>
      <c r="R101">
        <v>4844</v>
      </c>
      <c r="S101">
        <v>6911</v>
      </c>
      <c r="T101" s="40">
        <f>((P101-K101)/K101)</f>
        <v>-0.025297619047619048</v>
      </c>
      <c r="U101" s="40">
        <f>((T101*AB101)*D4)</f>
        <v>-0.36632124293243218</v>
      </c>
      <c r="V101" s="3">
        <f>IF(P101&lt;=N101,(P101*Q101*1000),0)</f>
        <v>0</v>
      </c>
      <c r="W101" s="3">
        <f>IF(P101&gt;=O101,(P101*Q101*1000),0)</f>
        <v>223355000</v>
      </c>
      <c r="X101">
        <v>3661</v>
      </c>
      <c r="Y101" s="3">
        <v>616894760</v>
      </c>
      <c r="Z101" s="40">
        <f>((C4*AB101)/P101)/10</f>
        <v>0.002028843888184478</v>
      </c>
      <c r="AA101" s="40">
        <f>((M101*AB101)*C4)</f>
        <v>-0.3747477545865549</v>
      </c>
      <c r="AB101" s="40">
        <f>AE101/AE323</f>
        <v>0.0011330397474556297</v>
      </c>
      <c r="AC101" s="40">
        <f>AF101/AF323</f>
        <v>0.0011550741461334669</v>
      </c>
      <c r="AD101" s="3">
        <f>IF(ISNA(J101),(I101*Y101)/10,(J101*Y101)/10)</f>
        <v>40406606780</v>
      </c>
      <c r="AE101" s="3">
        <f>IF(ISNA(P101),(I101*Y101)/10,(P101*Y101)/10)</f>
        <v>40406606780</v>
      </c>
      <c r="AF101" s="3">
        <f>(I101*Y101)/10</f>
        <v>41578706824</v>
      </c>
      <c r="AG101">
        <f>IF(AND(P101&lt;=N101,L101&lt;0),IF(Q101&lt;10,"DBL10",IF(Q101&gt;=200,"DBM200",IF(Q101&gt;=150,"DBM150",IF(Q101&gt;=100,"DBM100",IF(Q101&gt;=50,"DBM50","DBM10-50"))))),0)</f>
        <v>0</v>
      </c>
      <c r="AH101" t="s">
        <f>IF(AND(P101&gt;=O101,L101&lt;0),IF(Q101&lt;10,"DAL10",IF(Q101&gt;=200,"DAM200",IF(Q101&gt;=150,"DAM150",IF(Q101&gt;=100,"DAM100",IF(Q101&gt;=50,"DAM50","DAM10-50"))))),0)</f>
        <v>26</v>
      </c>
      <c r="AI101">
        <f>IF(AND(P101&gt;=O101,L101&gt;0),IF(Q101&lt;10,"UAL10",IF(Q101&gt;=200,"UAM200",IF(Q101&gt;=150,"UAM150",IF(Q101&gt;=100,"UAM100",IF(Q101&gt;=50,"UAM50","UAM10-50"))))),0)</f>
        <v>0</v>
      </c>
      <c r="AJ101">
        <f>IF(AND(P101&lt;=N101,L101&gt;0),IF(Q101&lt;10,"UBL10",IF(Q101&gt;=200,"UBM200",IF(Q101&gt;=150,"UBM150",IF(Q101&gt;=100,"UBM100",IF(Q101&gt;=50,"UBM50","UBM10-50"))))),0)</f>
        <v>0</v>
      </c>
      <c r="AK101" t="s">
        <f>IF(Q101&lt;88,"down",IF(Q101=88,88,IF(Q101&gt;88,"up")))</f>
        <v>6</v>
      </c>
    </row>
    <row r="102" spans="1:37">
      <c r="A102">
        <f>IF(X102=3706,3706,"Error")</f>
        <v>3706</v>
      </c>
      <c r="B102" t="s">
        <f>IF(K102&lt;29.199999999999999,"down",IF(K102=29.199999999999999,"low",IF(K102=29.399999999999999,"high",IF(AND(K102&gt;29.199999999999999,K102&lt;29.399999999999999),"normal","up"))))</f>
        <v>84</v>
      </c>
      <c r="C102" t="s">
        <f>IF(K102&lt;29.199999999999999,"down",IF(K102=29.199999999999999,"low",IF(K102=29.399999999999999,"high",IF(AND(K102&gt;29.199999999999999,K102&lt;29.399999999999999),"normal","up"))))</f>
        <v>84</v>
      </c>
      <c r="D102" t="s">
        <f>IF(K102&lt;29.199999999999999,"down",IF(K102=29.199999999999999,"low",IF(K102=29.399999999999999,"high",IF(AND(K102&gt;29.199999999999999,K102&lt;29.399999999999999),"normal","up"))))</f>
        <v>84</v>
      </c>
      <c r="E102" t="s">
        <f>IF(K102&lt;29.100000000000001,"down",IF(K102=29.100000000000001,"low",IF(K102=29.649999999999999,"high",IF(AND(K102&gt;29.100000000000001,K102&lt;29.649999999999999),"normal","up"))))</f>
        <v>79</v>
      </c>
      <c r="F102" t="s">
        <f>IF(P102&lt;29.300000000000001,"PVP-down",IF(P102=29.300000000000001,29.300000000000001,IF(P102&gt;29.300000000000001,"PVP-up")))</f>
        <v>83</v>
      </c>
      <c r="G102" t="s">
        <f>IF(R102&lt;1205,"PVV-down",IF(R102=1205,1205,IF(R102&gt;1205,"PVV-up")))</f>
        <v>81</v>
      </c>
      <c r="H102" s="40">
        <f>R102/(Y102/10000)</f>
        <v>0.0028014926705688093</v>
      </c>
      <c r="I102">
        <v>29.350000000000001</v>
      </c>
      <c r="J102">
        <v>29.350000000000001</v>
      </c>
      <c r="K102">
        <v>29.399999999999999</v>
      </c>
      <c r="L102">
        <v>0.050000000000000003</v>
      </c>
      <c r="M102">
        <v>0.0016999999999999999</v>
      </c>
      <c r="N102">
        <v>29.350000000000001</v>
      </c>
      <c r="O102">
        <v>29.399999999999999</v>
      </c>
      <c r="P102">
        <v>29.399999999999999</v>
      </c>
      <c r="Q102">
        <v>109</v>
      </c>
      <c r="R102">
        <v>3018</v>
      </c>
      <c r="S102">
        <v>2244</v>
      </c>
      <c r="T102" s="40">
        <f>((P102-K102)/K102)</f>
        <v>0</v>
      </c>
      <c r="U102" s="40">
        <f>((T102*AB102)*D4)</f>
        <v>0</v>
      </c>
      <c r="V102" s="3">
        <f>IF(P102&lt;=N102,(P102*Q102*1000),0)</f>
        <v>0</v>
      </c>
      <c r="W102" s="3">
        <f>IF(P102&gt;=O102,(P102*Q102*1000),0)</f>
        <v>3204600</v>
      </c>
      <c r="X102">
        <v>3706</v>
      </c>
      <c r="Y102" s="3">
        <v>10772828470</v>
      </c>
      <c r="Z102" s="40">
        <f>((C4*AB102)/P102)/10</f>
        <v>0.03542968528346592</v>
      </c>
      <c r="AA102" s="40">
        <f>((M102*AB102)*C4)</f>
        <v>0.017707756704676267</v>
      </c>
      <c r="AB102" s="40">
        <f>AE102/AE323</f>
        <v>0.00088811629671203384</v>
      </c>
      <c r="AC102" s="40">
        <f>AF102/AF323</f>
        <v>0.00087836846578364541</v>
      </c>
      <c r="AD102" s="3">
        <f>IF(ISNA(J102),(I102*Y102)/10,(J102*Y102)/10)</f>
        <v>31618251559.450001</v>
      </c>
      <c r="AE102" s="3">
        <f>IF(ISNA(P102),(I102*Y102)/10,(P102*Y102)/10)</f>
        <v>31672115701.799999</v>
      </c>
      <c r="AF102" s="3">
        <f>(I102*Y102)/10</f>
        <v>31618251559.450001</v>
      </c>
      <c r="AG102">
        <f>IF(AND(P102&lt;=N102,L102&lt;0),IF(Q102&lt;10,"DBL10",IF(Q102&gt;=200,"DBM200",IF(Q102&gt;=150,"DBM150",IF(Q102&gt;=100,"DBM100",IF(Q102&gt;=50,"DBM50","DBM10-50"))))),0)</f>
        <v>0</v>
      </c>
      <c r="AH102">
        <f>IF(AND(P102&gt;=O102,L102&lt;0),IF(Q102&lt;10,"DAL10",IF(Q102&gt;=200,"DAM200",IF(Q102&gt;=150,"DAM150",IF(Q102&gt;=100,"DAM100",IF(Q102&gt;=50,"DAM50","DAM10-50"))))),0)</f>
        <v>0</v>
      </c>
      <c r="AI102" t="s">
        <f>IF(AND(P102&gt;=O102,L102&gt;0),IF(Q102&lt;10,"UAL10",IF(Q102&gt;=200,"UAM200",IF(Q102&gt;=150,"UAM150",IF(Q102&gt;=100,"UAM100",IF(Q102&gt;=50,"UAM50","UAM10-50"))))),0)</f>
        <v>29</v>
      </c>
      <c r="AJ102">
        <f>IF(AND(P102&lt;=N102,L102&gt;0),IF(Q102&lt;10,"UBL10",IF(Q102&gt;=200,"UBM200",IF(Q102&gt;=150,"UBM150",IF(Q102&gt;=100,"UBM100",IF(Q102&gt;=50,"UBM50","UBM10-50"))))),0)</f>
        <v>0</v>
      </c>
      <c r="AK102" t="s">
        <f>IF(Q102&lt;69,"down",IF(Q102=69,69,IF(Q102&gt;69,"up")))</f>
        <v>6</v>
      </c>
    </row>
    <row r="103" spans="1:37">
      <c r="A103">
        <f>IF(X103=3189,3189,"Error")</f>
        <v>3189</v>
      </c>
      <c r="B103" t="s">
        <f>IF(K103&lt;81.099999999999994,"down",IF(K103=81.099999999999994,"low",IF(K103=84.599999999999994,"high",IF(AND(K103&gt;81.099999999999994,K103&lt;84.599999999999994),"normal","up"))))</f>
        <v>79</v>
      </c>
      <c r="C103" t="s">
        <f>IF(K103&lt;81.099999999999994,"down",IF(K103=81.099999999999994,"low",IF(K103=84.599999999999994,"high",IF(AND(K103&gt;81.099999999999994,K103&lt;84.599999999999994),"normal","up"))))</f>
        <v>79</v>
      </c>
      <c r="D103" t="s">
        <f>IF(K103&lt;81.099999999999994,"down",IF(K103=81.099999999999994,"low",IF(K103=84.599999999999994,"high",IF(AND(K103&gt;81.099999999999994,K103&lt;84.599999999999994),"normal","up"))))</f>
        <v>79</v>
      </c>
      <c r="E103" t="s">
        <f>IF(K103&lt;76,"down",IF(K103=76,"low",IF(K103=84.599999999999994,"high",IF(AND(K103&gt;76,K103&lt;84.599999999999994),"normal","up"))))</f>
        <v>79</v>
      </c>
      <c r="F103" t="s">
        <f>IF(P103&lt;84,"PVP-down",IF(P103=84,84,IF(P103&gt;84,"PVP-up")))</f>
        <v>80</v>
      </c>
      <c r="G103" t="s">
        <f>IF(R103&lt;1570,"PVV-down",IF(R103=1570,1570,IF(R103&gt;1570,"PVV-up")))</f>
        <v>81</v>
      </c>
      <c r="H103" s="40">
        <f>R103/(Y103/10000)</f>
        <v>0.053300486359730469</v>
      </c>
      <c r="I103">
        <v>82.599999999999994</v>
      </c>
      <c r="J103">
        <v>82.5</v>
      </c>
      <c r="K103">
        <v>83.599999999999994</v>
      </c>
      <c r="L103">
        <v>-0.10000000000000001</v>
      </c>
      <c r="M103">
        <v>-0.0011999999999999999</v>
      </c>
      <c r="N103">
        <v>82.5</v>
      </c>
      <c r="O103">
        <v>82.599999999999994</v>
      </c>
      <c r="P103">
        <v>82.5</v>
      </c>
      <c r="Q103">
        <v>582</v>
      </c>
      <c r="R103">
        <v>24034</v>
      </c>
      <c r="S103">
        <v>14307</v>
      </c>
      <c r="T103" s="40">
        <f>((P103-K103)/K103)</f>
        <v>-0.013157894736842039</v>
      </c>
      <c r="U103" s="40">
        <f>((T103*AB103)*D4)</f>
        <v>-0.17541442962992071</v>
      </c>
      <c r="V103" s="3">
        <f>IF(P103&lt;=N103,(P103*Q103*1000),0)</f>
        <v>48015000</v>
      </c>
      <c r="W103" s="3">
        <f>IF(P103&gt;=O103,(P103*Q103*1000),0)</f>
        <v>0</v>
      </c>
      <c r="X103">
        <v>3189</v>
      </c>
      <c r="Y103" s="3">
        <v>4509152100</v>
      </c>
      <c r="Z103" s="40">
        <f>((C4*AB103)/P103)/10</f>
        <v>0.014829702361192378</v>
      </c>
      <c r="AA103" s="40">
        <f>((M103*AB103)*C4)</f>
        <v>-0.014681405337580453</v>
      </c>
      <c r="AB103" s="40">
        <f>AE103/AE323</f>
        <v>0.0010431375943451577</v>
      </c>
      <c r="AC103" s="40">
        <f>AF103/AF323</f>
        <v>0.0010346984955230728</v>
      </c>
      <c r="AD103" s="3">
        <f>IF(ISNA(J103),(I103*Y103)/10,(J103*Y103)/10)</f>
        <v>37200504825</v>
      </c>
      <c r="AE103" s="3">
        <f>IF(ISNA(P103),(I103*Y103)/10,(P103*Y103)/10)</f>
        <v>37200504825</v>
      </c>
      <c r="AF103" s="3">
        <f>(I103*Y103)/10</f>
        <v>37245596346</v>
      </c>
      <c r="AG103" t="s">
        <f>IF(AND(P103&lt;=N103,L103&lt;0),IF(Q103&lt;10,"DBL10",IF(Q103&gt;=200,"DBM200",IF(Q103&gt;=150,"DBM150",IF(Q103&gt;=100,"DBM100",IF(Q103&gt;=50,"DBM50","DBM10-50"))))),0)</f>
        <v>16</v>
      </c>
      <c r="AH103">
        <f>IF(AND(P103&gt;=O103,L103&lt;0),IF(Q103&lt;10,"DAL10",IF(Q103&gt;=200,"DAM200",IF(Q103&gt;=150,"DAM150",IF(Q103&gt;=100,"DAM100",IF(Q103&gt;=50,"DAM50","DAM10-50"))))),0)</f>
        <v>0</v>
      </c>
      <c r="AI103">
        <f>IF(AND(P103&gt;=O103,L103&gt;0),IF(Q103&lt;10,"UAL10",IF(Q103&gt;=200,"UAM200",IF(Q103&gt;=150,"UAM150",IF(Q103&gt;=100,"UAM100",IF(Q103&gt;=50,"UAM50","UAM10-50"))))),0)</f>
        <v>0</v>
      </c>
      <c r="AJ103">
        <f>IF(AND(P103&lt;=N103,L103&gt;0),IF(Q103&lt;10,"UBL10",IF(Q103&gt;=200,"UBM200",IF(Q103&gt;=150,"UBM150",IF(Q103&gt;=100,"UBM100",IF(Q103&gt;=50,"UBM50","UBM10-50"))))),0)</f>
        <v>0</v>
      </c>
      <c r="AK103" t="s">
        <f>IF(Q103&lt;128,"down",IF(Q103=128,128,IF(Q103&gt;128,"up")))</f>
        <v>6</v>
      </c>
    </row>
    <row r="104" spans="1:37">
      <c r="A104">
        <f>IF(X104=6271,6271,"Error")</f>
        <v>6271</v>
      </c>
      <c r="B104" t="s">
        <f>IF(K104&lt;142,"down",IF(K104=142,"low",IF(K104=146,"high",IF(AND(K104&gt;142,K104&lt;146),"normal","up"))))</f>
        <v>79</v>
      </c>
      <c r="C104" t="s">
        <f>IF(K104&lt;142,"down",IF(K104=142,"low",IF(K104=146,"high",IF(AND(K104&gt;142,K104&lt;146),"normal","up"))))</f>
        <v>79</v>
      </c>
      <c r="D104" t="s">
        <f>IF(K104&lt;142,"down",IF(K104=142,"low",IF(K104=146,"high",IF(AND(K104&gt;142,K104&lt;146),"normal","up"))))</f>
        <v>79</v>
      </c>
      <c r="E104" t="s">
        <f>IF(K104&lt;138,"down",IF(K104=138,"low",IF(K104=146,"high",IF(AND(K104&gt;138,K104&lt;146),"normal","up"))))</f>
        <v>79</v>
      </c>
      <c r="F104" t="s">
        <f>IF(P104&lt;143,"PVP-down",IF(P104=143,143,IF(P104&gt;143,"PVP-up")))</f>
        <v>80</v>
      </c>
      <c r="G104" t="s">
        <f>IF(R104&lt;946,"PVV-down",IF(R104=946,946,IF(R104&gt;946,"PVV-up")))</f>
        <v>81</v>
      </c>
      <c r="H104" s="40">
        <f>R104/(Y104/10000)</f>
        <v>0.010792420183281071</v>
      </c>
      <c r="I104">
        <v>142</v>
      </c>
      <c r="J104">
        <v>142</v>
      </c>
      <c r="K104">
        <v>142.5</v>
      </c>
      <c r="L104">
        <v>0</v>
      </c>
      <c r="M104">
        <v>0</v>
      </c>
      <c r="N104">
        <v>142</v>
      </c>
      <c r="O104">
        <v>142.5</v>
      </c>
      <c r="P104">
        <v>142</v>
      </c>
      <c r="Q104">
        <v>155</v>
      </c>
      <c r="R104">
        <v>2554</v>
      </c>
      <c r="S104">
        <v>5058</v>
      </c>
      <c r="T104" s="40">
        <f>((P104-K104)/K104)</f>
        <v>-0.0035087719298245615</v>
      </c>
      <c r="U104" s="40">
        <f>((T104*AB104)*D4)</f>
        <v>-0.042254756788421888</v>
      </c>
      <c r="V104" s="3">
        <f>IF(P104&lt;=N104,(P104*Q104*1000),0)</f>
        <v>22010000</v>
      </c>
      <c r="W104" s="3">
        <f>IF(P104&gt;=O104,(P104*Q104*1000),0)</f>
        <v>0</v>
      </c>
      <c r="X104">
        <v>6271</v>
      </c>
      <c r="Y104" s="3">
        <v>2366475690</v>
      </c>
      <c r="Z104" s="40">
        <f>((C4*AB104)/P104)/10</f>
        <v>0.0077828667894563495</v>
      </c>
      <c r="AA104" s="40">
        <f>((M104*AB104)*C4)</f>
        <v>0</v>
      </c>
      <c r="AB104" s="40">
        <f>AE104/AE323</f>
        <v>0.00094228690533554175</v>
      </c>
      <c r="AC104" s="40">
        <f>AF104/AF323</f>
        <v>0.00093353214565592725</v>
      </c>
      <c r="AD104" s="3">
        <f>IF(ISNA(J104),(I104*Y104)/10,(J104*Y104)/10)</f>
        <v>33603954798</v>
      </c>
      <c r="AE104" s="3">
        <f>IF(ISNA(P104),(I104*Y104)/10,(P104*Y104)/10)</f>
        <v>33603954798</v>
      </c>
      <c r="AF104" s="3">
        <f>(I104*Y104)/10</f>
        <v>33603954798</v>
      </c>
      <c r="AG104">
        <f>IF(AND(P104&lt;=N104,L104&lt;0),IF(Q104&lt;10,"DBL10",IF(Q104&gt;=200,"DBM200",IF(Q104&gt;=150,"DBM150",IF(Q104&gt;=100,"DBM100",IF(Q104&gt;=50,"DBM50","DBM10-50"))))),0)</f>
        <v>0</v>
      </c>
      <c r="AH104">
        <f>IF(AND(P104&gt;=O104,L104&lt;0),IF(Q104&lt;10,"DAL10",IF(Q104&gt;=200,"DAM200",IF(Q104&gt;=150,"DAM150",IF(Q104&gt;=100,"DAM100",IF(Q104&gt;=50,"DAM50","DAM10-50"))))),0)</f>
        <v>0</v>
      </c>
      <c r="AI104">
        <f>IF(AND(P104&gt;=O104,L104&gt;0),IF(Q104&lt;10,"UAL10",IF(Q104&gt;=200,"UAM200",IF(Q104&gt;=150,"UAM150",IF(Q104&gt;=100,"UAM100",IF(Q104&gt;=50,"UAM50","UAM10-50"))))),0)</f>
        <v>0</v>
      </c>
      <c r="AJ104">
        <f>IF(AND(P104&lt;=N104,L104&gt;0),IF(Q104&lt;10,"UBL10",IF(Q104&gt;=200,"UBM200",IF(Q104&gt;=150,"UBM150",IF(Q104&gt;=100,"UBM100",IF(Q104&gt;=50,"UBM50","UBM10-50"))))),0)</f>
        <v>0</v>
      </c>
      <c r="AK104" t="s">
        <f>IF(Q104&lt;388,"down",IF(Q104=388,388,IF(Q104&gt;388,"up")))</f>
        <v>7</v>
      </c>
    </row>
    <row r="105" spans="1:37">
      <c r="A105">
        <f>IF(X105=2439,2439,"Error")</f>
        <v>2439</v>
      </c>
      <c r="B105" t="s">
        <f>IF(K105&lt;162,"down",IF(K105=162,"low",IF(K105=168.5,"high",IF(AND(K105&gt;162,K105&lt;168.5),"normal","up"))))</f>
        <v>79</v>
      </c>
      <c r="C105" t="s">
        <f>IF(K105&lt;162,"down",IF(K105=162,"low",IF(K105=168.5,"high",IF(AND(K105&gt;162,K105&lt;168.5),"normal","up"))))</f>
        <v>79</v>
      </c>
      <c r="D105" t="s">
        <f>IF(K105&lt;162,"down",IF(K105=162,"low",IF(K105=168.5,"high",IF(AND(K105&gt;162,K105&lt;168.5),"normal","up"))))</f>
        <v>79</v>
      </c>
      <c r="E105" t="s">
        <f>IF(K105&lt;159,"down",IF(K105=159,"low",IF(K105=172,"high",IF(AND(K105&gt;159,K105&lt;172),"normal","up"))))</f>
        <v>79</v>
      </c>
      <c r="F105" t="s">
        <f>IF(P105&lt;162.5,"PVP-down",IF(P105=162.5,162.5,IF(P105&gt;162.5,"PVP-up")))</f>
        <v>83</v>
      </c>
      <c r="G105" t="s">
        <f>IF(R105&lt;910,"PVV-down",IF(R105=910,910,IF(R105&gt;910,"PVV-up")))</f>
        <v>81</v>
      </c>
      <c r="H105" s="40">
        <f>R105/(Y105/10000)</f>
        <v>0.019494565217677864</v>
      </c>
      <c r="I105">
        <v>162.5</v>
      </c>
      <c r="J105">
        <v>165</v>
      </c>
      <c r="K105">
        <v>163.5</v>
      </c>
      <c r="L105">
        <v>2.5</v>
      </c>
      <c r="M105">
        <v>0.0154</v>
      </c>
      <c r="N105">
        <v>164.5</v>
      </c>
      <c r="O105">
        <v>165</v>
      </c>
      <c r="P105">
        <v>165</v>
      </c>
      <c r="Q105">
        <v>146</v>
      </c>
      <c r="R105">
        <v>4067</v>
      </c>
      <c r="S105">
        <v>3776</v>
      </c>
      <c r="T105" s="40">
        <f>((P105-K105)/K105)</f>
        <v>0.0091743119266055051</v>
      </c>
      <c r="U105" s="40">
        <f>((T105*AB105)*D4)</f>
        <v>0.11317438403711085</v>
      </c>
      <c r="V105" s="3">
        <f>IF(P105&lt;=N105,(P105*Q105*1000),0)</f>
        <v>0</v>
      </c>
      <c r="W105" s="3">
        <f>IF(P105&gt;=O105,(P105*Q105*1000),0)</f>
        <v>24090000</v>
      </c>
      <c r="X105">
        <v>2439</v>
      </c>
      <c r="Y105" s="3">
        <v>2086222470</v>
      </c>
      <c r="Z105" s="40">
        <f>((C4*AB105)/P105)/10</f>
        <v>0.006861169817121847</v>
      </c>
      <c r="AA105" s="40">
        <f>((M105*AB105)*C4)</f>
        <v>0.17434232505306613</v>
      </c>
      <c r="AB105" s="40">
        <f>AE105/AE323</f>
        <v>0.00096524448071938528</v>
      </c>
      <c r="AC105" s="40">
        <f>AF105/AF323</f>
        <v>0.00094178738617761108</v>
      </c>
      <c r="AD105" s="3">
        <f>IF(ISNA(J105),(I105*Y105)/10,(J105*Y105)/10)</f>
        <v>34422670755</v>
      </c>
      <c r="AE105" s="3">
        <f>IF(ISNA(P105),(I105*Y105)/10,(P105*Y105)/10)</f>
        <v>34422670755</v>
      </c>
      <c r="AF105" s="3">
        <f>(I105*Y105)/10</f>
        <v>33901115137.5</v>
      </c>
      <c r="AG105">
        <f>IF(AND(P105&lt;=N105,L105&lt;0),IF(Q105&lt;10,"DBL10",IF(Q105&gt;=200,"DBM200",IF(Q105&gt;=150,"DBM150",IF(Q105&gt;=100,"DBM100",IF(Q105&gt;=50,"DBM50","DBM10-50"))))),0)</f>
        <v>0</v>
      </c>
      <c r="AH105">
        <f>IF(AND(P105&gt;=O105,L105&lt;0),IF(Q105&lt;10,"DAL10",IF(Q105&gt;=200,"DAM200",IF(Q105&gt;=150,"DAM150",IF(Q105&gt;=100,"DAM100",IF(Q105&gt;=50,"DAM50","DAM10-50"))))),0)</f>
        <v>0</v>
      </c>
      <c r="AI105" t="s">
        <f>IF(AND(P105&gt;=O105,L105&gt;0),IF(Q105&lt;10,"UAL10",IF(Q105&gt;=200,"UAM200",IF(Q105&gt;=150,"UAM150",IF(Q105&gt;=100,"UAM100",IF(Q105&gt;=50,"UAM50","UAM10-50"))))),0)</f>
        <v>29</v>
      </c>
      <c r="AJ105">
        <f>IF(AND(P105&lt;=N105,L105&gt;0),IF(Q105&lt;10,"UBL10",IF(Q105&gt;=200,"UBM200",IF(Q105&gt;=150,"UBM150",IF(Q105&gt;=100,"UBM100",IF(Q105&gt;=50,"UBM50","UBM10-50"))))),0)</f>
        <v>0</v>
      </c>
      <c r="AK105" t="s">
        <f>IF(Q105&lt;104,"down",IF(Q105=104,104,IF(Q105&gt;104,"up")))</f>
        <v>6</v>
      </c>
    </row>
    <row r="106" spans="1:37">
      <c r="A106">
        <f>IF(X106=2352,2352,"Error")</f>
        <v>2352</v>
      </c>
      <c r="B106" t="s">
        <f>IF(K106&lt;17.800000000000001,"down",IF(K106=17.800000000000001,"low",IF(K106=18.350000000000001,"high",IF(AND(K106&gt;17.800000000000001,K106&lt;18.350000000000001),"normal","up"))))</f>
        <v>6</v>
      </c>
      <c r="C106" t="s">
        <f>IF(K106&lt;17.800000000000001,"down",IF(K106=17.800000000000001,"low",IF(K106=18.350000000000001,"high",IF(AND(K106&gt;17.800000000000001,K106&lt;18.350000000000001),"normal","up"))))</f>
        <v>6</v>
      </c>
      <c r="D106" t="s">
        <f>IF(K106&lt;17.800000000000001,"down",IF(K106=17.800000000000001,"low",IF(K106=18.350000000000001,"high",IF(AND(K106&gt;17.800000000000001,K106&lt;18.350000000000001),"normal","up"))))</f>
        <v>6</v>
      </c>
      <c r="E106" t="s">
        <f>IF(K106&lt;16.649999999999999,"down",IF(K106=16.649999999999999,"low",IF(K106=18.350000000000001,"high",IF(AND(K106&gt;16.649999999999999,K106&lt;18.350000000000001),"normal","up"))))</f>
        <v>6</v>
      </c>
      <c r="F106" t="s">
        <f>IF(P106&lt;18.300000000000001,"PVP-down",IF(P106=18.300000000000001,18.300000000000001,IF(P106&gt;18.300000000000001,"PVP-up")))</f>
        <v>80</v>
      </c>
      <c r="G106" t="s">
        <f>IF(R106&lt;3204,"PVV-down",IF(R106=3204,3204,IF(R106&gt;3204,"PVV-up")))</f>
        <v>81</v>
      </c>
      <c r="H106" s="40">
        <f>R106/(Y106/10000)</f>
        <v>0.0028289866995007281</v>
      </c>
      <c r="I106">
        <v>18.25</v>
      </c>
      <c r="J106">
        <v>18.050000000000001</v>
      </c>
      <c r="K106">
        <v>18.399999999999999</v>
      </c>
      <c r="L106">
        <v>-0.20000000000000001</v>
      </c>
      <c r="M106">
        <v>-0.010999999999999999</v>
      </c>
      <c r="N106">
        <v>18.050000000000001</v>
      </c>
      <c r="O106">
        <v>18.100000000000001</v>
      </c>
      <c r="P106">
        <v>18.050000000000001</v>
      </c>
      <c r="Q106">
        <v>133</v>
      </c>
      <c r="R106">
        <v>5564</v>
      </c>
      <c r="S106">
        <v>12528</v>
      </c>
      <c r="T106" s="40">
        <f>((P106-K106)/K106)</f>
        <v>-0.019021739130434669</v>
      </c>
      <c r="U106" s="40">
        <f>((T106*AB106)*D4)</f>
        <v>-0.24199908156919633</v>
      </c>
      <c r="V106" s="3">
        <f>IF(P106&lt;=N106,(P106*Q106*1000),0)</f>
        <v>2400650</v>
      </c>
      <c r="W106" s="3">
        <f>IF(P106&gt;=O106,(P106*Q106*1000),0)</f>
        <v>0</v>
      </c>
      <c r="X106">
        <v>2352</v>
      </c>
      <c r="Y106" s="3">
        <v>19667819580</v>
      </c>
      <c r="Z106" s="40">
        <f>((C4*AB106)/P106)/10</f>
        <v>0.064683537835202254</v>
      </c>
      <c r="AA106" s="40">
        <f>((M106*AB106)*C4)</f>
        <v>-0.12842916437179405</v>
      </c>
      <c r="AB106" s="40">
        <f>AE106/AE323</f>
        <v>0.00099546543760823552</v>
      </c>
      <c r="AC106" s="40">
        <f>AF106/AF323</f>
        <v>0.00099714420549454103</v>
      </c>
      <c r="AD106" s="3">
        <f>IF(ISNA(J106),(I106*Y106)/10,(J106*Y106)/10)</f>
        <v>35500414341.900002</v>
      </c>
      <c r="AE106" s="3">
        <f>IF(ISNA(P106),(I106*Y106)/10,(P106*Y106)/10)</f>
        <v>35500414341.900002</v>
      </c>
      <c r="AF106" s="3">
        <f>(I106*Y106)/10</f>
        <v>35893770733.5</v>
      </c>
      <c r="AG106" t="s">
        <f>IF(AND(P106&lt;=N106,L106&lt;0),IF(Q106&lt;10,"DBL10",IF(Q106&gt;=200,"DBM200",IF(Q106&gt;=150,"DBM150",IF(Q106&gt;=100,"DBM100",IF(Q106&gt;=50,"DBM50","DBM10-50"))))),0)</f>
        <v>14</v>
      </c>
      <c r="AH106">
        <f>IF(AND(P106&gt;=O106,L106&lt;0),IF(Q106&lt;10,"DAL10",IF(Q106&gt;=200,"DAM200",IF(Q106&gt;=150,"DAM150",IF(Q106&gt;=100,"DAM100",IF(Q106&gt;=50,"DAM50","DAM10-50"))))),0)</f>
        <v>0</v>
      </c>
      <c r="AI106">
        <f>IF(AND(P106&gt;=O106,L106&gt;0),IF(Q106&lt;10,"UAL10",IF(Q106&gt;=200,"UAM200",IF(Q106&gt;=150,"UAM150",IF(Q106&gt;=100,"UAM100",IF(Q106&gt;=50,"UAM50","UAM10-50"))))),0)</f>
        <v>0</v>
      </c>
      <c r="AJ106">
        <f>IF(AND(P106&lt;=N106,L106&gt;0),IF(Q106&lt;10,"UBL10",IF(Q106&gt;=200,"UBM200",IF(Q106&gt;=150,"UBM150",IF(Q106&gt;=100,"UBM100",IF(Q106&gt;=50,"UBM50","UBM10-50"))))),0)</f>
        <v>0</v>
      </c>
      <c r="AK106" t="s">
        <f>IF(Q106&lt;471,"down",IF(Q106=471,471,IF(Q106&gt;471,"up")))</f>
        <v>7</v>
      </c>
    </row>
    <row r="107" spans="1:37">
      <c r="A107">
        <f>IF(X107=6531,6531,"Error")</f>
        <v>6531</v>
      </c>
      <c r="B107" t="s">
        <f>IF(K107&lt;429,"down",IF(K107=429,"low",IF(K107=461.5,"high",IF(AND(K107&gt;429,K107&lt;461.5),"normal","up"))))</f>
        <v>79</v>
      </c>
      <c r="C107" t="s">
        <f>IF(K107&lt;429,"down",IF(K107=429,"low",IF(K107=461.5,"high",IF(AND(K107&gt;429,K107&lt;461.5),"normal","up"))))</f>
        <v>79</v>
      </c>
      <c r="D107" t="s">
        <f>IF(K107&lt;429,"down",IF(K107=429,"low",IF(K107=461.5,"high",IF(AND(K107&gt;429,K107&lt;461.5),"normal","up"))))</f>
        <v>79</v>
      </c>
      <c r="E107" t="s">
        <f>IF(K107&lt;429,"down",IF(K107=429,"low",IF(K107=488,"high",IF(AND(K107&gt;429,K107&lt;488),"normal","up"))))</f>
        <v>79</v>
      </c>
      <c r="F107" t="s">
        <f>IF(P107&lt;436.5,"PVP-down",IF(P107=436.5,436.5,IF(P107&gt;436.5,"PVP-up")))</f>
        <v>80</v>
      </c>
      <c r="G107" t="s">
        <f>IF(R107&lt;177,"PVV-down",IF(R107=177,177,IF(R107&gt;177,"PVV-up")))</f>
        <v>81</v>
      </c>
      <c r="H107" s="40">
        <f>R107/(Y107/10000)</f>
        <v>0.054733846830676967</v>
      </c>
      <c r="I107">
        <v>436.5</v>
      </c>
      <c r="J107">
        <v>392</v>
      </c>
      <c r="K107">
        <v>435.5</v>
      </c>
      <c r="L107">
        <v>-43.5</v>
      </c>
      <c r="M107">
        <v>-0.099900000000000003</v>
      </c>
      <c r="N107">
        <v>392</v>
      </c>
      <c r="O107">
        <v>392</v>
      </c>
      <c r="P107">
        <v>392</v>
      </c>
      <c r="Q107">
        <v>11</v>
      </c>
      <c r="R107">
        <v>4047</v>
      </c>
      <c r="S107">
        <v>2257</v>
      </c>
      <c r="T107" s="40">
        <f>((P107-K107)/K107)</f>
        <v>-0.099885189437428246</v>
      </c>
      <c r="U107" s="40">
        <f>((T107*AB107)*D4)</f>
        <v>-1.0375152071128664</v>
      </c>
      <c r="V107" s="3">
        <f>IF(P107&lt;=N107,(P107*Q107*1000),0)</f>
        <v>4312000</v>
      </c>
      <c r="W107" s="3">
        <f>IF(P107&gt;=O107,(P107*Q107*1000),0)</f>
        <v>4312000</v>
      </c>
      <c r="X107">
        <v>6531</v>
      </c>
      <c r="Y107" s="3">
        <v>739396230</v>
      </c>
      <c r="Z107" s="40">
        <f>((C4*AB107)/P107)/10</f>
        <v>0.0024317268024486782</v>
      </c>
      <c r="AA107" s="40">
        <f>((M107*AB107)*C4)</f>
        <v>-0.9522836696533219</v>
      </c>
      <c r="AB107" s="40">
        <f>AE107/AE323</f>
        <v>0.00081274828725389728</v>
      </c>
      <c r="AC107" s="40">
        <f>AF107/AF323</f>
        <v>0.00089660336673271358</v>
      </c>
      <c r="AD107" s="3">
        <f>IF(ISNA(J107),(I107*Y107)/10,(J107*Y107)/10)</f>
        <v>28984332216</v>
      </c>
      <c r="AE107" s="3">
        <f>IF(ISNA(P107),(I107*Y107)/10,(P107*Y107)/10)</f>
        <v>28984332216</v>
      </c>
      <c r="AF107" s="3">
        <f>(I107*Y107)/10</f>
        <v>32274645439.5</v>
      </c>
      <c r="AG107" t="s">
        <f>IF(AND(P107&lt;=N107,L107&lt;0),IF(Q107&lt;10,"DBL10",IF(Q107&gt;=200,"DBM200",IF(Q107&gt;=150,"DBM150",IF(Q107&gt;=100,"DBM100",IF(Q107&gt;=50,"DBM50","DBM10-50"))))),0)</f>
        <v>12</v>
      </c>
      <c r="AH107" t="s">
        <f>IF(AND(P107&gt;=O107,L107&lt;0),IF(Q107&lt;10,"DAL10",IF(Q107&gt;=200,"DAM200",IF(Q107&gt;=150,"DAM150",IF(Q107&gt;=100,"DAM100",IF(Q107&gt;=50,"DAM50","DAM10-50"))))),0)</f>
        <v>22</v>
      </c>
      <c r="AI107">
        <f>IF(AND(P107&gt;=O107,L107&gt;0),IF(Q107&lt;10,"UAL10",IF(Q107&gt;=200,"UAM200",IF(Q107&gt;=150,"UAM150",IF(Q107&gt;=100,"UAM100",IF(Q107&gt;=50,"UAM50","UAM10-50"))))),0)</f>
        <v>0</v>
      </c>
      <c r="AJ107">
        <f>IF(AND(P107&lt;=N107,L107&gt;0),IF(Q107&lt;10,"UBL10",IF(Q107&gt;=200,"UBM200",IF(Q107&gt;=150,"UBM150",IF(Q107&gt;=100,"UBM100",IF(Q107&gt;=50,"UBM50","UBM10-50"))))),0)</f>
        <v>0</v>
      </c>
      <c r="AK107" t="s">
        <f>IF(Q107&lt;105,"down",IF(Q107=105,105,IF(Q107&gt;105,"up")))</f>
        <v>7</v>
      </c>
    </row>
    <row r="108" spans="1:37">
      <c r="A108">
        <f>IF(X108=2059,2059,"Error")</f>
        <v>2059</v>
      </c>
      <c r="B108" t="s">
        <f>IF(K108&lt;332,"down",IF(K108=332,"low",IF(K108=340,"high",IF(AND(K108&gt;332,K108&lt;340),"normal","up"))))</f>
        <v>79</v>
      </c>
      <c r="C108" t="s">
        <f>IF(K108&lt;332,"down",IF(K108=332,"low",IF(K108=340,"high",IF(AND(K108&gt;332,K108&lt;340),"normal","up"))))</f>
        <v>79</v>
      </c>
      <c r="D108" t="s">
        <f>IF(K108&lt;332,"down",IF(K108=332,"low",IF(K108=340,"high",IF(AND(K108&gt;332,K108&lt;340),"normal","up"))))</f>
        <v>79</v>
      </c>
      <c r="E108" t="s">
        <f>IF(K108&lt;332,"down",IF(K108=332,"low",IF(K108=351.5,"high",IF(AND(K108&gt;332,K108&lt;351.5),"normal","up"))))</f>
        <v>79</v>
      </c>
      <c r="F108" t="s">
        <f>IF(P108&lt;333,"PVP-down",IF(P108=333,333,IF(P108&gt;333,"PVP-up")))</f>
        <v>83</v>
      </c>
      <c r="G108" t="s">
        <f>IF(R108&lt;111,"PVV-down",IF(R108=111,111,IF(R108&gt;111,"PVV-up")))</f>
        <v>81</v>
      </c>
      <c r="H108" s="40">
        <f>R108/(Y108/10000)</f>
        <v>0.0027702844847111358</v>
      </c>
      <c r="I108">
        <v>332.5</v>
      </c>
      <c r="J108">
        <v>334</v>
      </c>
      <c r="K108">
        <v>334</v>
      </c>
      <c r="L108">
        <v>1.5</v>
      </c>
      <c r="M108">
        <v>0.0044999999999999997</v>
      </c>
      <c r="N108">
        <v>334</v>
      </c>
      <c r="O108">
        <v>334.5</v>
      </c>
      <c r="P108">
        <v>334</v>
      </c>
      <c r="Q108">
        <v>8</v>
      </c>
      <c r="R108">
        <v>264</v>
      </c>
      <c r="S108">
        <v>577</v>
      </c>
      <c r="T108" s="40">
        <f>((P108-K108)/K108)</f>
        <v>0</v>
      </c>
      <c r="U108" s="40">
        <f>((T108*AB108)*D4)</f>
        <v>0</v>
      </c>
      <c r="V108" s="3">
        <f>IF(P108&lt;=N108,(P108*Q108*1000),0)</f>
        <v>2672000</v>
      </c>
      <c r="W108" s="3">
        <f>IF(P108&gt;=O108,(P108*Q108*1000),0)</f>
        <v>0</v>
      </c>
      <c r="X108">
        <v>2059</v>
      </c>
      <c r="Y108" s="3">
        <v>952970720</v>
      </c>
      <c r="Z108" s="40">
        <f>((C4*AB108)/P108)/10</f>
        <v>0.0031341307241623539</v>
      </c>
      <c r="AA108" s="40">
        <f>((M108*AB108)*C4)</f>
        <v>0.047105984784160171</v>
      </c>
      <c r="AB108" s="40">
        <f>AE108/AE323</f>
        <v>0.00089252170832680548</v>
      </c>
      <c r="AC108" s="40">
        <f>AF108/AF323</f>
        <v>0.00088025822587526432</v>
      </c>
      <c r="AD108" s="3">
        <f>IF(ISNA(J108),(I108*Y108)/10,(J108*Y108)/10)</f>
        <v>31829222048</v>
      </c>
      <c r="AE108" s="3">
        <f>IF(ISNA(P108),(I108*Y108)/10,(P108*Y108)/10)</f>
        <v>31829222048</v>
      </c>
      <c r="AF108" s="3">
        <f>(I108*Y108)/10</f>
        <v>31686276440</v>
      </c>
      <c r="AG108">
        <f>IF(AND(P108&lt;=N108,L108&lt;0),IF(Q108&lt;10,"DBL10",IF(Q108&gt;=200,"DBM200",IF(Q108&gt;=150,"DBM150",IF(Q108&gt;=100,"DBM100",IF(Q108&gt;=50,"DBM50","DBM10-50"))))),0)</f>
        <v>0</v>
      </c>
      <c r="AH108">
        <f>IF(AND(P108&gt;=O108,L108&lt;0),IF(Q108&lt;10,"DAL10",IF(Q108&gt;=200,"DAM200",IF(Q108&gt;=150,"DAM150",IF(Q108&gt;=100,"DAM100",IF(Q108&gt;=50,"DAM50","DAM10-50"))))),0)</f>
        <v>0</v>
      </c>
      <c r="AI108">
        <f>IF(AND(P108&gt;=O108,L108&gt;0),IF(Q108&lt;10,"UAL10",IF(Q108&gt;=200,"UAM200",IF(Q108&gt;=150,"UAM150",IF(Q108&gt;=100,"UAM100",IF(Q108&gt;=50,"UAM50","UAM10-50"))))),0)</f>
        <v>0</v>
      </c>
      <c r="AJ108" t="s">
        <f>IF(AND(P108&lt;=N108,L108&gt;0),IF(Q108&lt;10,"UBL10",IF(Q108&gt;=200,"UBM200",IF(Q108&gt;=150,"UBM150",IF(Q108&gt;=100,"UBM100",IF(Q108&gt;=50,"UBM50","UBM10-50"))))),0)</f>
        <v>86</v>
      </c>
      <c r="AK108" t="s">
        <f>IF(Q108&lt;15,"down",IF(Q108=15,15,IF(Q108&gt;15,"up")))</f>
        <v>7</v>
      </c>
    </row>
    <row r="109" spans="1:37">
      <c r="A109">
        <f>IF(X109=3036,3036,"Error")</f>
        <v>3036</v>
      </c>
      <c r="B109" t="s">
        <f>IF(K109&lt;42,"down",IF(K109=42,"low",IF(K109=42.5,"high",IF(AND(K109&gt;42,K109&lt;42.5),"normal","up"))))</f>
        <v>79</v>
      </c>
      <c r="C109" t="s">
        <f>IF(K109&lt;42,"down",IF(K109=42,"low",IF(K109=42.5,"high",IF(AND(K109&gt;42,K109&lt;42.5),"normal","up"))))</f>
        <v>79</v>
      </c>
      <c r="D109" t="s">
        <f>IF(K109&lt;42,"down",IF(K109=42,"low",IF(K109=42.5,"high",IF(AND(K109&gt;42,K109&lt;42.5),"normal","up"))))</f>
        <v>79</v>
      </c>
      <c r="E109" t="s">
        <f>IF(K109&lt;42,"down",IF(K109=42,"low",IF(K109=42.799999999999997,"high",IF(AND(K109&gt;42,K109&lt;42.799999999999997),"normal","up"))))</f>
        <v>79</v>
      </c>
      <c r="F109" t="s">
        <f>IF(P109&lt;42.299999999999997,"PVP-down",IF(P109=42.299999999999997,42.299999999999997,IF(P109&gt;42.299999999999997,"PVP-up")))</f>
        <v>80</v>
      </c>
      <c r="G109" t="s">
        <f>IF(R109&lt;513,"PVV-down",IF(R109=513,513,IF(R109&gt;513,"PVV-up")))</f>
        <v>81</v>
      </c>
      <c r="H109" s="40">
        <f>R109/(Y109/10000)</f>
        <v>0.0019748445169749601</v>
      </c>
      <c r="I109">
        <v>42.25</v>
      </c>
      <c r="J109">
        <v>42.200000000000003</v>
      </c>
      <c r="K109">
        <v>42.25</v>
      </c>
      <c r="L109">
        <v>-0.050000000000000003</v>
      </c>
      <c r="M109">
        <v>-0.0011999999999999999</v>
      </c>
      <c r="N109">
        <v>42.200000000000003</v>
      </c>
      <c r="O109">
        <v>42.25</v>
      </c>
      <c r="P109">
        <v>42.200000000000003</v>
      </c>
      <c r="Q109">
        <v>14</v>
      </c>
      <c r="R109">
        <v>1508</v>
      </c>
      <c r="S109">
        <v>1528</v>
      </c>
      <c r="T109" s="40">
        <f>((P109-K109)/K109)</f>
        <v>-0.0011834319526626547</v>
      </c>
      <c r="U109" s="40">
        <f>((T109*AB109)*D4)</f>
        <v>-0.013666403826953976</v>
      </c>
      <c r="V109" s="3">
        <f>IF(P109&lt;=N109,(P109*Q109*1000),0)</f>
        <v>590800.00000000012</v>
      </c>
      <c r="W109" s="3">
        <f>IF(P109&gt;=O109,(P109*Q109*1000),0)</f>
        <v>0</v>
      </c>
      <c r="X109">
        <v>3036</v>
      </c>
      <c r="Y109" s="3">
        <v>7636044190</v>
      </c>
      <c r="Z109" s="40">
        <f>((C4*AB109)/P109)/10</f>
        <v>0.025113427101874058</v>
      </c>
      <c r="AA109" s="40">
        <f>((M109*AB109)*C4)</f>
        <v>-0.012717439484389022</v>
      </c>
      <c r="AB109" s="40">
        <f>AE109/AE323</f>
        <v>0.00090359464403712037</v>
      </c>
      <c r="AC109" s="40">
        <f>AF109/AF323</f>
        <v>0.00089626003577345068</v>
      </c>
      <c r="AD109" s="3">
        <f>IF(ISNA(J109),(I109*Y109)/10,(J109*Y109)/10)</f>
        <v>32224106481.799999</v>
      </c>
      <c r="AE109" s="3">
        <f>IF(ISNA(P109),(I109*Y109)/10,(P109*Y109)/10)</f>
        <v>32224106481.799999</v>
      </c>
      <c r="AF109" s="3">
        <f>(I109*Y109)/10</f>
        <v>32262286702.75</v>
      </c>
      <c r="AG109" t="s">
        <f>IF(AND(P109&lt;=N109,L109&lt;0),IF(Q109&lt;10,"DBL10",IF(Q109&gt;=200,"DBM200",IF(Q109&gt;=150,"DBM150",IF(Q109&gt;=100,"DBM100",IF(Q109&gt;=50,"DBM50","DBM10-50"))))),0)</f>
        <v>12</v>
      </c>
      <c r="AH109">
        <f>IF(AND(P109&gt;=O109,L109&lt;0),IF(Q109&lt;10,"DAL10",IF(Q109&gt;=200,"DAM200",IF(Q109&gt;=150,"DAM150",IF(Q109&gt;=100,"DAM100",IF(Q109&gt;=50,"DAM50","DAM10-50"))))),0)</f>
        <v>0</v>
      </c>
      <c r="AI109">
        <f>IF(AND(P109&gt;=O109,L109&gt;0),IF(Q109&lt;10,"UAL10",IF(Q109&gt;=200,"UAM200",IF(Q109&gt;=150,"UAM150",IF(Q109&gt;=100,"UAM100",IF(Q109&gt;=50,"UAM50","UAM10-50"))))),0)</f>
        <v>0</v>
      </c>
      <c r="AJ109">
        <f>IF(AND(P109&lt;=N109,L109&gt;0),IF(Q109&lt;10,"UBL10",IF(Q109&gt;=200,"UBM200",IF(Q109&gt;=150,"UBM150",IF(Q109&gt;=100,"UBM100",IF(Q109&gt;=50,"UBM50","UBM10-50"))))),0)</f>
        <v>0</v>
      </c>
      <c r="AK109" t="s">
        <f>IF(Q109&lt;54,"down",IF(Q109=54,54,IF(Q109&gt;54,"up")))</f>
        <v>7</v>
      </c>
    </row>
    <row r="110" spans="1:37">
      <c r="A110">
        <f>IF(X110=2441,2441,"Error")</f>
        <v>2441</v>
      </c>
      <c r="B110" t="s">
        <f>IF(K110&lt;52.899999999999999,"down",IF(K110=52.899999999999999,"low",IF(K110=53.700000000000003,"high",IF(AND(K110&gt;52.899999999999999,K110&lt;53.700000000000003),"normal","up"))))</f>
        <v>79</v>
      </c>
      <c r="C110" t="s">
        <f>IF(K110&lt;52.899999999999999,"down",IF(K110=52.899999999999999,"low",IF(K110=53.700000000000003,"high",IF(AND(K110&gt;52.899999999999999,K110&lt;53.700000000000003),"normal","up"))))</f>
        <v>79</v>
      </c>
      <c r="D110" t="s">
        <f>IF(K110&lt;52.899999999999999,"down",IF(K110=52.899999999999999,"low",IF(K110=53.700000000000003,"high",IF(AND(K110&gt;52.899999999999999,K110&lt;53.700000000000003),"normal","up"))))</f>
        <v>79</v>
      </c>
      <c r="E110" t="s">
        <f>IF(K110&lt;51,"down",IF(K110=51,"low",IF(K110=53.700000000000003,"high",IF(AND(K110&gt;51,K110&lt;53.700000000000003),"normal","up"))))</f>
        <v>79</v>
      </c>
      <c r="F110" t="s">
        <f>IF(P110&lt;53,"PVP-down",IF(P110=53,53,IF(P110&gt;53,"PVP-up")))</f>
        <v>80</v>
      </c>
      <c r="G110" t="s">
        <f>IF(R110&lt;582,"PVV-down",IF(R110=582,582,IF(R110&gt;582,"PVV-up")))</f>
        <v>81</v>
      </c>
      <c r="H110" s="40">
        <f>R110/(Y110/10000)</f>
        <v>0.0016278573262372045</v>
      </c>
      <c r="I110">
        <v>53</v>
      </c>
      <c r="J110">
        <v>51.700000000000003</v>
      </c>
      <c r="K110">
        <v>53.399999999999999</v>
      </c>
      <c r="L110">
        <v>-1.3</v>
      </c>
      <c r="M110">
        <v>-0.024500000000000001</v>
      </c>
      <c r="N110">
        <v>51.700000000000003</v>
      </c>
      <c r="O110">
        <v>51.799999999999997</v>
      </c>
      <c r="P110">
        <v>51.700000000000003</v>
      </c>
      <c r="Q110">
        <v>108</v>
      </c>
      <c r="R110">
        <v>926</v>
      </c>
      <c r="S110">
        <v>1284</v>
      </c>
      <c r="T110" s="40">
        <f>((P110-K110)/K110)</f>
        <v>-0.031835205992509281</v>
      </c>
      <c r="U110" s="40">
        <f>((T110*AB110)*D4)</f>
        <v>-0.33552348973003854</v>
      </c>
      <c r="V110" s="3">
        <f>IF(P110&lt;=N110,(P110*Q110*1000),0)</f>
        <v>5583600</v>
      </c>
      <c r="W110" s="3">
        <f>IF(P110&gt;=O110,(P110*Q110*1000),0)</f>
        <v>0</v>
      </c>
      <c r="X110">
        <v>2441</v>
      </c>
      <c r="Y110" s="3">
        <v>5688459210</v>
      </c>
      <c r="Z110" s="40">
        <f>((C4*AB110)/P110)/10</f>
        <v>0.018708208352094295</v>
      </c>
      <c r="AA110" s="40">
        <f>((M110*AB110)*C4)</f>
        <v>-0.23696752109180236</v>
      </c>
      <c r="AB110" s="40">
        <f>AE110/AE323</f>
        <v>0.00082466574539944489</v>
      </c>
      <c r="AC110" s="40">
        <f>AF110/AF323</f>
        <v>0.00083754741629842207</v>
      </c>
      <c r="AD110" s="3">
        <f>IF(ISNA(J110),(I110*Y110)/10,(J110*Y110)/10)</f>
        <v>29409334115.700001</v>
      </c>
      <c r="AE110" s="3">
        <f>IF(ISNA(P110),(I110*Y110)/10,(P110*Y110)/10)</f>
        <v>29409334115.700001</v>
      </c>
      <c r="AF110" s="3">
        <f>(I110*Y110)/10</f>
        <v>30148833813</v>
      </c>
      <c r="AG110" t="s">
        <f>IF(AND(P110&lt;=N110,L110&lt;0),IF(Q110&lt;10,"DBL10",IF(Q110&gt;=200,"DBM200",IF(Q110&gt;=150,"DBM150",IF(Q110&gt;=100,"DBM100",IF(Q110&gt;=50,"DBM50","DBM10-50"))))),0)</f>
        <v>14</v>
      </c>
      <c r="AH110">
        <f>IF(AND(P110&gt;=O110,L110&lt;0),IF(Q110&lt;10,"DAL10",IF(Q110&gt;=200,"DAM200",IF(Q110&gt;=150,"DAM150",IF(Q110&gt;=100,"DAM100",IF(Q110&gt;=50,"DAM50","DAM10-50"))))),0)</f>
        <v>0</v>
      </c>
      <c r="AI110">
        <f>IF(AND(P110&gt;=O110,L110&gt;0),IF(Q110&lt;10,"UAL10",IF(Q110&gt;=200,"UAM200",IF(Q110&gt;=150,"UAM150",IF(Q110&gt;=100,"UAM100",IF(Q110&gt;=50,"UAM50","UAM10-50"))))),0)</f>
        <v>0</v>
      </c>
      <c r="AJ110">
        <f>IF(AND(P110&lt;=N110,L110&gt;0),IF(Q110&lt;10,"UBL10",IF(Q110&gt;=200,"UBM200",IF(Q110&gt;=150,"UBM150",IF(Q110&gt;=100,"UBM100",IF(Q110&gt;=50,"UBM50","UBM10-50"))))),0)</f>
        <v>0</v>
      </c>
      <c r="AK110" t="s">
        <f>IF(Q110&lt;35,"down",IF(Q110=35,35,IF(Q110&gt;35,"up")))</f>
        <v>6</v>
      </c>
    </row>
    <row r="111" spans="1:37">
      <c r="A111">
        <f>IF(X111=3376,3376,"Error")</f>
        <v>3376</v>
      </c>
      <c r="B111" t="s">
        <f>IF(K111&lt;149,"down",IF(K111=149,"low",IF(K111=152,"high",IF(AND(K111&gt;149,K111&lt;152),"normal","up"))))</f>
        <v>79</v>
      </c>
      <c r="C111" t="s">
        <f>IF(K111&lt;149,"down",IF(K111=149,"low",IF(K111=152,"high",IF(AND(K111&gt;149,K111&lt;152),"normal","up"))))</f>
        <v>79</v>
      </c>
      <c r="D111" t="s">
        <f>IF(K111&lt;149,"down",IF(K111=149,"low",IF(K111=152,"high",IF(AND(K111&gt;149,K111&lt;152),"normal","up"))))</f>
        <v>79</v>
      </c>
      <c r="E111" t="s">
        <f>IF(K111&lt;149,"down",IF(K111=149,"low",IF(K111=160.5,"high",IF(AND(K111&gt;149,K111&lt;160.5),"normal","up"))))</f>
        <v>79</v>
      </c>
      <c r="F111" t="s">
        <f>IF(P111&lt;149.5,"PVP-down",IF(P111=149.5,149.5,IF(P111&gt;149.5,"PVP-up")))</f>
        <v>83</v>
      </c>
      <c r="G111" t="s">
        <f>IF(R111&lt;428,"PVV-down",IF(R111=428,428,IF(R111&gt;428,"PVV-up")))</f>
        <v>81</v>
      </c>
      <c r="H111" s="40">
        <f>R111/(Y111/10000)</f>
        <v>0.0074716232645133012</v>
      </c>
      <c r="I111">
        <v>149.5</v>
      </c>
      <c r="J111">
        <v>153.5</v>
      </c>
      <c r="K111">
        <v>150</v>
      </c>
      <c r="L111">
        <v>3</v>
      </c>
      <c r="M111">
        <v>0.0201</v>
      </c>
      <c r="N111">
        <v>152.5</v>
      </c>
      <c r="O111">
        <v>153</v>
      </c>
      <c r="P111">
        <v>152.5</v>
      </c>
      <c r="Q111">
        <v>82</v>
      </c>
      <c r="R111">
        <v>1358</v>
      </c>
      <c r="S111">
        <v>1359</v>
      </c>
      <c r="T111" s="40">
        <f>((P111-K111)/K111)</f>
        <v>0.016666666666666666</v>
      </c>
      <c r="U111" s="40">
        <f>((T111*AB111)*D4)</f>
        <v>0.16555163415594398</v>
      </c>
      <c r="V111" s="3">
        <f>IF(P111&lt;=N111,(P111*Q111*1000),0)</f>
        <v>12505000</v>
      </c>
      <c r="W111" s="3">
        <f>IF(P111&gt;=O111,(P111*Q111*1000),0)</f>
        <v>0</v>
      </c>
      <c r="X111">
        <v>3376</v>
      </c>
      <c r="Y111" s="3">
        <v>1817543460</v>
      </c>
      <c r="Z111" s="40">
        <f>((C4*AB111)/P111)/10</f>
        <v>0.0059775381141682401</v>
      </c>
      <c r="AA111" s="40">
        <f>((M111*AB111)*C4)</f>
        <v>0.18322648704454197</v>
      </c>
      <c r="AB111" s="40">
        <f>AE111/AE323</f>
        <v>0.00077722616403642193</v>
      </c>
      <c r="AC111" s="40">
        <f>AF111/AF323</f>
        <v>0.00075485733987948203</v>
      </c>
      <c r="AD111" s="3">
        <f>IF(ISNA(J111),(I111*Y111)/10,(J111*Y111)/10)</f>
        <v>27899292111</v>
      </c>
      <c r="AE111" s="3">
        <f>IF(ISNA(P111),(I111*Y111)/10,(P111*Y111)/10)</f>
        <v>27717537765</v>
      </c>
      <c r="AF111" s="3">
        <f>(I111*Y111)/10</f>
        <v>27172274727</v>
      </c>
      <c r="AG111">
        <f>IF(AND(P111&lt;=N111,L111&lt;0),IF(Q111&lt;10,"DBL10",IF(Q111&gt;=200,"DBM200",IF(Q111&gt;=150,"DBM150",IF(Q111&gt;=100,"DBM100",IF(Q111&gt;=50,"DBM50","DBM10-50"))))),0)</f>
        <v>0</v>
      </c>
      <c r="AH111">
        <f>IF(AND(P111&gt;=O111,L111&lt;0),IF(Q111&lt;10,"DAL10",IF(Q111&gt;=200,"DAM200",IF(Q111&gt;=150,"DAM150",IF(Q111&gt;=100,"DAM100",IF(Q111&gt;=50,"DAM50","DAM10-50"))))),0)</f>
        <v>0</v>
      </c>
      <c r="AI111">
        <f>IF(AND(P111&gt;=O111,L111&gt;0),IF(Q111&lt;10,"UAL10",IF(Q111&gt;=200,"UAM200",IF(Q111&gt;=150,"UAM150",IF(Q111&gt;=100,"UAM100",IF(Q111&gt;=50,"UAM50","UAM10-50"))))),0)</f>
        <v>0</v>
      </c>
      <c r="AJ111" t="s">
        <f>IF(AND(P111&lt;=N111,L111&gt;0),IF(Q111&lt;10,"UBL10",IF(Q111&gt;=200,"UBM200",IF(Q111&gt;=150,"UBM150",IF(Q111&gt;=100,"UBM100",IF(Q111&gt;=50,"UBM50","UBM10-50"))))),0)</f>
        <v>18</v>
      </c>
      <c r="AK111" t="s">
        <f>IF(Q111&lt;29,"down",IF(Q111=29,29,IF(Q111&gt;29,"up")))</f>
        <v>6</v>
      </c>
    </row>
    <row r="112" spans="1:37">
      <c r="A112">
        <f>IF(X112=5264,5264,"Error")</f>
        <v>5264</v>
      </c>
      <c r="B112" t="s">
        <f>IF(K112&lt;71.700000000000003,"down",IF(K112=71.700000000000003,"low",IF(K112=79.599999999999994,"high",IF(AND(K112&gt;71.700000000000003,K112&lt;79.599999999999994),"normal","up"))))</f>
        <v>79</v>
      </c>
      <c r="C112" t="s">
        <f>IF(K112&lt;71.700000000000003,"down",IF(K112=71.700000000000003,"low",IF(K112=79.599999999999994,"high",IF(AND(K112&gt;71.700000000000003,K112&lt;79.599999999999994),"normal","up"))))</f>
        <v>79</v>
      </c>
      <c r="D112" t="s">
        <f>IF(K112&lt;71.700000000000003,"down",IF(K112=71.700000000000003,"low",IF(K112=79.599999999999994,"high",IF(AND(K112&gt;71.700000000000003,K112&lt;79.599999999999994),"normal","up"))))</f>
        <v>79</v>
      </c>
      <c r="E112" t="s">
        <f>IF(K112&lt;67.099999999999994,"down",IF(K112=67.099999999999994,"low",IF(K112=79.799999999999997,"high",IF(AND(K112&gt;67.099999999999994,K112&lt;79.799999999999997),"normal","up"))))</f>
        <v>79</v>
      </c>
      <c r="F112" t="s">
        <f>IF(P112&lt;71.799999999999997,"PVP-down",IF(P112=71.799999999999997,71.799999999999997,IF(P112&gt;71.799999999999997,"PVP-up")))</f>
        <v>83</v>
      </c>
      <c r="G112" t="s">
        <f>IF(R112&lt;1555,"PVV-down",IF(R112=1555,1555,IF(R112&gt;1555,"PVV-up")))</f>
        <v>81</v>
      </c>
      <c r="H112" s="40">
        <f>R112/(Y112/10000)</f>
        <v>0.02184052161473039</v>
      </c>
      <c r="I112">
        <v>71.700000000000003</v>
      </c>
      <c r="J112">
        <v>73.099999999999994</v>
      </c>
      <c r="K112">
        <v>71.799999999999997</v>
      </c>
      <c r="L112">
        <v>1.3999999999999999</v>
      </c>
      <c r="M112">
        <v>0.0195</v>
      </c>
      <c r="N112">
        <v>73.099999999999994</v>
      </c>
      <c r="O112">
        <v>73.200000000000003</v>
      </c>
      <c r="P112">
        <v>73.099999999999994</v>
      </c>
      <c r="Q112">
        <v>332</v>
      </c>
      <c r="R112">
        <v>9183</v>
      </c>
      <c r="S112">
        <v>22954</v>
      </c>
      <c r="T112" s="40">
        <f>((P112-K112)/K112)</f>
        <v>0.018105849582172664</v>
      </c>
      <c r="U112" s="40">
        <f>((T112*AB112)*D4)</f>
        <v>0.19942882820538652</v>
      </c>
      <c r="V112" s="3">
        <f>IF(P112&lt;=N112,(P112*Q112*1000),0)</f>
        <v>24269199.999999996</v>
      </c>
      <c r="W112" s="3">
        <f>IF(P112&gt;=O112,(P112*Q112*1000),0)</f>
        <v>0</v>
      </c>
      <c r="X112">
        <v>5264</v>
      </c>
      <c r="Y112" s="3">
        <v>4204569910</v>
      </c>
      <c r="Z112" s="40">
        <f>((C4*AB112)/P112)/10</f>
        <v>0.013827992256487736</v>
      </c>
      <c r="AA112" s="40">
        <f>((M112*AB112)*C4)</f>
        <v>0.19711111562010444</v>
      </c>
      <c r="AB112" s="40">
        <f>AE112/AE323</f>
        <v>0.00086185006549780916</v>
      </c>
      <c r="AC112" s="40">
        <f>AF112/AF323</f>
        <v>0.00083748997865015502</v>
      </c>
      <c r="AD112" s="3">
        <f>IF(ISNA(J112),(I112*Y112)/10,(J112*Y112)/10)</f>
        <v>30735406042.099998</v>
      </c>
      <c r="AE112" s="3">
        <f>IF(ISNA(P112),(I112*Y112)/10,(P112*Y112)/10)</f>
        <v>30735406042.099998</v>
      </c>
      <c r="AF112" s="3">
        <f>(I112*Y112)/10</f>
        <v>30146766254.700001</v>
      </c>
      <c r="AG112">
        <f>IF(AND(P112&lt;=N112,L112&lt;0),IF(Q112&lt;10,"DBL10",IF(Q112&gt;=200,"DBM200",IF(Q112&gt;=150,"DBM150",IF(Q112&gt;=100,"DBM100",IF(Q112&gt;=50,"DBM50","DBM10-50"))))),0)</f>
        <v>0</v>
      </c>
      <c r="AH112">
        <f>IF(AND(P112&gt;=O112,L112&lt;0),IF(Q112&lt;10,"DAL10",IF(Q112&gt;=200,"DAM200",IF(Q112&gt;=150,"DAM150",IF(Q112&gt;=100,"DAM100",IF(Q112&gt;=50,"DAM50","DAM10-50"))))),0)</f>
        <v>0</v>
      </c>
      <c r="AI112">
        <f>IF(AND(P112&gt;=O112,L112&gt;0),IF(Q112&lt;10,"UAL10",IF(Q112&gt;=200,"UAM200",IF(Q112&gt;=150,"UAM150",IF(Q112&gt;=100,"UAM100",IF(Q112&gt;=50,"UAM50","UAM10-50"))))),0)</f>
        <v>0</v>
      </c>
      <c r="AJ112" t="s">
        <f>IF(AND(P112&lt;=N112,L112&gt;0),IF(Q112&lt;10,"UBL10",IF(Q112&gt;=200,"UBM200",IF(Q112&gt;=150,"UBM150",IF(Q112&gt;=100,"UBM100",IF(Q112&gt;=50,"UBM50","UBM10-50"))))),0)</f>
        <v>21</v>
      </c>
      <c r="AK112" t="s">
        <f>IF(Q112&lt;920,"down",IF(Q112=920,920,IF(Q112&gt;920,"up")))</f>
        <v>7</v>
      </c>
    </row>
    <row r="113" spans="1:37">
      <c r="A113">
        <f>IF(X113=2451,2451,"Error")</f>
        <v>2451</v>
      </c>
      <c r="B113" t="s">
        <f>IF(K113&lt;65.099999999999994,"down",IF(K113=65.099999999999994,"low",IF(K113=65.599999999999994,"high",IF(AND(K113&gt;65.099999999999994,K113&lt;65.599999999999994),"normal","up"))))</f>
        <v>79</v>
      </c>
      <c r="C113" t="s">
        <f>IF(K113&lt;65.099999999999994,"down",IF(K113=65.099999999999994,"low",IF(K113=65.599999999999994,"high",IF(AND(K113&gt;65.099999999999994,K113&lt;65.599999999999994),"normal","up"))))</f>
        <v>79</v>
      </c>
      <c r="D113" t="s">
        <f>IF(K113&lt;65.099999999999994,"down",IF(K113=65.099999999999994,"low",IF(K113=65.599999999999994,"high",IF(AND(K113&gt;65.099999999999994,K113&lt;65.599999999999994),"normal","up"))))</f>
        <v>79</v>
      </c>
      <c r="E113" t="s">
        <f>IF(K113&lt;65.099999999999994,"down",IF(K113=65.099999999999994,"low",IF(K113=67.099999999999994,"high",IF(AND(K113&gt;65.099999999999994,K113&lt;67.099999999999994),"normal","up"))))</f>
        <v>79</v>
      </c>
      <c r="F113" t="s">
        <f>IF(P113&lt;65.299999999999997,"PVP-down",IF(P113=65.299999999999997,65.299999999999997,IF(P113&gt;65.299999999999997,"PVP-up")))</f>
        <v>80</v>
      </c>
      <c r="G113" t="s">
        <f>IF(R113&lt;192,"PVV-down",IF(R113=192,192,IF(R113&gt;192,"PVV-up")))</f>
        <v>81</v>
      </c>
      <c r="H113" s="40">
        <f>R113/(Y113/10000)</f>
        <v>0.0016454510881215387</v>
      </c>
      <c r="I113">
        <v>65.599999999999994</v>
      </c>
      <c r="J113">
        <v>65.200000000000003</v>
      </c>
      <c r="K113">
        <v>65.299999999999997</v>
      </c>
      <c r="L113">
        <v>-0.40000000000000002</v>
      </c>
      <c r="M113">
        <v>-0.0061000000000000004</v>
      </c>
      <c r="N113">
        <v>65.200000000000003</v>
      </c>
      <c r="O113">
        <v>65.299999999999997</v>
      </c>
      <c r="P113">
        <v>65.200000000000003</v>
      </c>
      <c r="Q113">
        <v>30</v>
      </c>
      <c r="R113">
        <v>706</v>
      </c>
      <c r="S113">
        <v>661</v>
      </c>
      <c r="T113" s="40">
        <f>((P113-K113)/K113)</f>
        <v>-0.0015313935681469269</v>
      </c>
      <c r="U113" s="40">
        <f>((T113*AB113)*D4)</f>
        <v>-0.015352680526420758</v>
      </c>
      <c r="V113" s="3">
        <f>IF(P113&lt;=N113,(P113*Q113*1000),0)</f>
        <v>1956000</v>
      </c>
      <c r="W113" s="3">
        <f>IF(P113&gt;=O113,(P113*Q113*1000),0)</f>
        <v>0</v>
      </c>
      <c r="X113">
        <v>2451</v>
      </c>
      <c r="Y113" s="3">
        <v>4290616750</v>
      </c>
      <c r="Z113" s="40">
        <f>((C4*AB113)/P113)/10</f>
        <v>0.014110983159881999</v>
      </c>
      <c r="AA113" s="40">
        <f>((M113*AB113)*C4)</f>
        <v>-0.056122202223482701</v>
      </c>
      <c r="AB113" s="40">
        <f>AE113/AE323</f>
        <v>0.0007844406369352352</v>
      </c>
      <c r="AC113" s="40">
        <f>AF113/AF323</f>
        <v>0.00078192022852347951</v>
      </c>
      <c r="AD113" s="3">
        <f>IF(ISNA(J113),(I113*Y113)/10,(J113*Y113)/10)</f>
        <v>27974821210</v>
      </c>
      <c r="AE113" s="3">
        <f>IF(ISNA(P113),(I113*Y113)/10,(P113*Y113)/10)</f>
        <v>27974821210</v>
      </c>
      <c r="AF113" s="3">
        <f>(I113*Y113)/10</f>
        <v>28146445880</v>
      </c>
      <c r="AG113" t="s">
        <f>IF(AND(P113&lt;=N113,L113&lt;0),IF(Q113&lt;10,"DBL10",IF(Q113&gt;=200,"DBM200",IF(Q113&gt;=150,"DBM150",IF(Q113&gt;=100,"DBM100",IF(Q113&gt;=50,"DBM50","DBM10-50"))))),0)</f>
        <v>12</v>
      </c>
      <c r="AH113">
        <f>IF(AND(P113&gt;=O113,L113&lt;0),IF(Q113&lt;10,"DAL10",IF(Q113&gt;=200,"DAM200",IF(Q113&gt;=150,"DAM150",IF(Q113&gt;=100,"DAM100",IF(Q113&gt;=50,"DAM50","DAM10-50"))))),0)</f>
        <v>0</v>
      </c>
      <c r="AI113">
        <f>IF(AND(P113&gt;=O113,L113&gt;0),IF(Q113&lt;10,"UAL10",IF(Q113&gt;=200,"UAM200",IF(Q113&gt;=150,"UAM150",IF(Q113&gt;=100,"UAM100",IF(Q113&gt;=50,"UAM50","UAM10-50"))))),0)</f>
        <v>0</v>
      </c>
      <c r="AJ113">
        <f>IF(AND(P113&lt;=N113,L113&gt;0),IF(Q113&lt;10,"UBL10",IF(Q113&gt;=200,"UBM200",IF(Q113&gt;=150,"UBM150",IF(Q113&gt;=100,"UBM100",IF(Q113&gt;=50,"UBM50","UBM10-50"))))),0)</f>
        <v>0</v>
      </c>
      <c r="AK113" t="s">
        <f>IF(Q113&lt;11,"down",IF(Q113=11,11,IF(Q113&gt;11,"up")))</f>
        <v>6</v>
      </c>
    </row>
    <row r="114" spans="1:37">
      <c r="A114">
        <f>IF(X114=6412,6412,"Error")</f>
        <v>6412</v>
      </c>
      <c r="B114" t="s">
        <f>IF(K114&lt;70,"down",IF(K114=70,"low",IF(K114=73.099999999999994,"high",IF(AND(K114&gt;70,K114&lt;73.099999999999994),"normal","up"))))</f>
        <v>6</v>
      </c>
      <c r="C114" t="s">
        <f>IF(K114&lt;70,"down",IF(K114=70,"low",IF(K114=73.099999999999994,"high",IF(AND(K114&gt;70,K114&lt;73.099999999999994),"normal","up"))))</f>
        <v>6</v>
      </c>
      <c r="D114" t="s">
        <f>IF(K114&lt;70,"down",IF(K114=70,"low",IF(K114=73.099999999999994,"high",IF(AND(K114&gt;70,K114&lt;73.099999999999994),"normal","up"))))</f>
        <v>6</v>
      </c>
      <c r="E114" t="s">
        <f>IF(K114&lt;66.400000000000006,"down",IF(K114=66.400000000000006,"low",IF(K114=73.099999999999994,"high",IF(AND(K114&gt;66.400000000000006,K114&lt;73.099999999999994),"normal","up"))))</f>
        <v>6</v>
      </c>
      <c r="F114" t="s">
        <f>IF(P114&lt;72,"PVP-down",IF(P114=72,72,IF(P114&gt;72,"PVP-up")))</f>
        <v>80</v>
      </c>
      <c r="G114" t="s">
        <f>IF(R114&lt;281,"PVV-down",IF(R114=281,281,IF(R114&gt;281,"PVV-up")))</f>
        <v>81</v>
      </c>
      <c r="H114" s="40">
        <f>R114/(Y114/10000)</f>
        <v>0.0059626850590240353</v>
      </c>
      <c r="I114">
        <v>73.099999999999994</v>
      </c>
      <c r="J114">
        <v>71.299999999999997</v>
      </c>
      <c r="K114">
        <v>73.599999999999994</v>
      </c>
      <c r="L114">
        <v>-1.8</v>
      </c>
      <c r="M114">
        <v>-0.0246</v>
      </c>
      <c r="N114">
        <v>71.299999999999997</v>
      </c>
      <c r="O114">
        <v>71.5</v>
      </c>
      <c r="P114">
        <v>71.299999999999997</v>
      </c>
      <c r="Q114">
        <v>72</v>
      </c>
      <c r="R114">
        <v>2318</v>
      </c>
      <c r="S114">
        <v>2827</v>
      </c>
      <c r="T114" s="40">
        <f>((P114-K114)/K114)</f>
        <v>-0.031249999999999965</v>
      </c>
      <c r="U114" s="40">
        <f>((T114*AB114)*D4)</f>
        <v>-0.31041391877896995</v>
      </c>
      <c r="V114" s="3">
        <f>IF(P114&lt;=N114,(P114*Q114*1000),0)</f>
        <v>5133599.9999999991</v>
      </c>
      <c r="W114" s="3">
        <f>IF(P114&gt;=O114,(P114*Q114*1000),0)</f>
        <v>0</v>
      </c>
      <c r="X114">
        <v>6412</v>
      </c>
      <c r="Y114" s="3">
        <v>3887510370</v>
      </c>
      <c r="Z114" s="40">
        <f>((C4*AB114)/P114)/10</f>
        <v>0.012785246634982405</v>
      </c>
      <c r="AA114" s="40">
        <f>((M114*AB114)*C4)</f>
        <v>-0.22425066892826442</v>
      </c>
      <c r="AB114" s="40">
        <f>AE114/AE323</f>
        <v>0.00077723769372184989</v>
      </c>
      <c r="AC114" s="40">
        <f>AF114/AF323</f>
        <v>0.00078945580561245944</v>
      </c>
      <c r="AD114" s="3">
        <f>IF(ISNA(J114),(I114*Y114)/10,(J114*Y114)/10)</f>
        <v>27717948938.099998</v>
      </c>
      <c r="AE114" s="3">
        <f>IF(ISNA(P114),(I114*Y114)/10,(P114*Y114)/10)</f>
        <v>27717948938.099998</v>
      </c>
      <c r="AF114" s="3">
        <f>(I114*Y114)/10</f>
        <v>28417700804.700001</v>
      </c>
      <c r="AG114" t="s">
        <f>IF(AND(P114&lt;=N114,L114&lt;0),IF(Q114&lt;10,"DBL10",IF(Q114&gt;=200,"DBM200",IF(Q114&gt;=150,"DBM150",IF(Q114&gt;=100,"DBM100",IF(Q114&gt;=50,"DBM50","DBM10-50"))))),0)</f>
        <v>13</v>
      </c>
      <c r="AH114">
        <f>IF(AND(P114&gt;=O114,L114&lt;0),IF(Q114&lt;10,"DAL10",IF(Q114&gt;=200,"DAM200",IF(Q114&gt;=150,"DAM150",IF(Q114&gt;=100,"DAM100",IF(Q114&gt;=50,"DAM50","DAM10-50"))))),0)</f>
        <v>0</v>
      </c>
      <c r="AI114">
        <f>IF(AND(P114&gt;=O114,L114&gt;0),IF(Q114&lt;10,"UAL10",IF(Q114&gt;=200,"UAM200",IF(Q114&gt;=150,"UAM150",IF(Q114&gt;=100,"UAM100",IF(Q114&gt;=50,"UAM50","UAM10-50"))))),0)</f>
        <v>0</v>
      </c>
      <c r="AJ114">
        <f>IF(AND(P114&lt;=N114,L114&gt;0),IF(Q114&lt;10,"UBL10",IF(Q114&gt;=200,"UBM200",IF(Q114&gt;=150,"UBM150",IF(Q114&gt;=100,"UBM100",IF(Q114&gt;=50,"UBM50","UBM10-50"))))),0)</f>
        <v>0</v>
      </c>
      <c r="AK114" t="s">
        <f>IF(Q114&lt;24,"down",IF(Q114=24,24,IF(Q114&gt;24,"up")))</f>
        <v>6</v>
      </c>
    </row>
    <row r="115" spans="1:37">
      <c r="A115">
        <f>IF(X115=3665,3665,"Error")</f>
        <v>3665</v>
      </c>
      <c r="B115" t="s">
        <f>IF(K115&lt;205,"down",IF(K115=205,"low",IF(K115=210,"high",IF(AND(K115&gt;205,K115&lt;210),"normal","up"))))</f>
        <v>79</v>
      </c>
      <c r="C115" t="s">
        <f>IF(K115&lt;205,"down",IF(K115=205,"low",IF(K115=210,"high",IF(AND(K115&gt;205,K115&lt;210),"normal","up"))))</f>
        <v>79</v>
      </c>
      <c r="D115" t="s">
        <f>IF(K115&lt;205,"down",IF(K115=205,"low",IF(K115=210,"high",IF(AND(K115&gt;205,K115&lt;210),"normal","up"))))</f>
        <v>79</v>
      </c>
      <c r="E115" t="s">
        <f>IF(K115&lt;194.5,"down",IF(K115=194.5,"low",IF(K115=210.5,"high",IF(AND(K115&gt;194.5,K115&lt;210.5),"normal","up"))))</f>
        <v>79</v>
      </c>
      <c r="F115" t="s">
        <f>IF(P115&lt;205.5,"PVP-down",IF(P115=205.5,205.5,IF(P115&gt;205.5,"PVP-up")))</f>
        <v>83</v>
      </c>
      <c r="G115" t="s">
        <f>IF(R115&lt;176,"PVV-down",IF(R115=176,176,IF(R115&gt;176,"PVV-up")))</f>
        <v>81</v>
      </c>
      <c r="H115" s="40">
        <f>R115/(Y115/10000)</f>
        <v>0.013944500138590709</v>
      </c>
      <c r="I115">
        <v>205.5</v>
      </c>
      <c r="J115">
        <v>208.5</v>
      </c>
      <c r="K115">
        <v>208</v>
      </c>
      <c r="L115">
        <v>3</v>
      </c>
      <c r="M115">
        <v>0.0146</v>
      </c>
      <c r="N115">
        <v>208.5</v>
      </c>
      <c r="O115">
        <v>209</v>
      </c>
      <c r="P115">
        <v>208.5</v>
      </c>
      <c r="Q115">
        <v>63</v>
      </c>
      <c r="R115">
        <v>1820</v>
      </c>
      <c r="S115">
        <v>862</v>
      </c>
      <c r="T115" s="40">
        <f>((P115-K115)/K115)</f>
        <v>0.002403846153846154</v>
      </c>
      <c r="U115" s="40">
        <f>((T115*AB115)*D4)</f>
        <v>0.023442894882929603</v>
      </c>
      <c r="V115" s="3">
        <f>IF(P115&lt;=N115,(P115*Q115*1000),0)</f>
        <v>13135500</v>
      </c>
      <c r="W115" s="3">
        <f>IF(P115&gt;=O115,(P115*Q115*1000),0)</f>
        <v>0</v>
      </c>
      <c r="X115">
        <v>3665</v>
      </c>
      <c r="Y115" s="3">
        <v>1305174070</v>
      </c>
      <c r="Z115" s="40">
        <f>((C4*AB115)/P115)/10</f>
        <v>0.0042924573308684936</v>
      </c>
      <c r="AA115" s="40">
        <f>((M115*AB115)*C4)</f>
        <v>0.13066669360896782</v>
      </c>
      <c r="AB115" s="40">
        <f>AE115/AE323</f>
        <v>0.00076307506158349091</v>
      </c>
      <c r="AC115" s="40">
        <f>AF115/AF323</f>
        <v>0.00074510786672149889</v>
      </c>
      <c r="AD115" s="3">
        <f>IF(ISNA(J115),(I115*Y115)/10,(J115*Y115)/10)</f>
        <v>27212879359.5</v>
      </c>
      <c r="AE115" s="3">
        <f>IF(ISNA(P115),(I115*Y115)/10,(P115*Y115)/10)</f>
        <v>27212879359.5</v>
      </c>
      <c r="AF115" s="3">
        <f>(I115*Y115)/10</f>
        <v>26821327138.5</v>
      </c>
      <c r="AG115">
        <f>IF(AND(P115&lt;=N115,L115&lt;0),IF(Q115&lt;10,"DBL10",IF(Q115&gt;=200,"DBM200",IF(Q115&gt;=150,"DBM150",IF(Q115&gt;=100,"DBM100",IF(Q115&gt;=50,"DBM50","DBM10-50"))))),0)</f>
        <v>0</v>
      </c>
      <c r="AH115">
        <f>IF(AND(P115&gt;=O115,L115&lt;0),IF(Q115&lt;10,"DAL10",IF(Q115&gt;=200,"DAM200",IF(Q115&gt;=150,"DAM150",IF(Q115&gt;=100,"DAM100",IF(Q115&gt;=50,"DAM50","DAM10-50"))))),0)</f>
        <v>0</v>
      </c>
      <c r="AI115">
        <f>IF(AND(P115&gt;=O115,L115&gt;0),IF(Q115&lt;10,"UAL10",IF(Q115&gt;=200,"UAM200",IF(Q115&gt;=150,"UAM150",IF(Q115&gt;=100,"UAM100",IF(Q115&gt;=50,"UAM50","UAM10-50"))))),0)</f>
        <v>0</v>
      </c>
      <c r="AJ115" t="s">
        <f>IF(AND(P115&lt;=N115,L115&gt;0),IF(Q115&lt;10,"UBL10",IF(Q115&gt;=200,"UBM200",IF(Q115&gt;=150,"UBM150",IF(Q115&gt;=100,"UBM100",IF(Q115&gt;=50,"UBM50","UBM10-50"))))),0)</f>
        <v>18</v>
      </c>
      <c r="AK115" t="s">
        <f>IF(Q115&lt;6,"down",IF(Q115=6,6,IF(Q115&gt;6,"up")))</f>
        <v>6</v>
      </c>
    </row>
    <row r="116" spans="1:37">
      <c r="A116">
        <f>IF(X116=6285,6285,"Error")</f>
        <v>6285</v>
      </c>
      <c r="B116" t="s">
        <f>IF(K116&lt;64.799999999999997,"down",IF(K116=64.799999999999997,"low",IF(K116=65.799999999999997,"high",IF(AND(K116&gt;64.799999999999997,K116&lt;65.799999999999997),"normal","up"))))</f>
        <v>79</v>
      </c>
      <c r="C116" t="s">
        <f>IF(K116&lt;64.799999999999997,"down",IF(K116=64.799999999999997,"low",IF(K116=65.799999999999997,"high",IF(AND(K116&gt;64.799999999999997,K116&lt;65.799999999999997),"normal","up"))))</f>
        <v>79</v>
      </c>
      <c r="D116" t="s">
        <f>IF(K116&lt;64.799999999999997,"down",IF(K116=64.799999999999997,"low",IF(K116=65.799999999999997,"high",IF(AND(K116&gt;64.799999999999997,K116&lt;65.799999999999997),"normal","up"))))</f>
        <v>79</v>
      </c>
      <c r="E116" t="s">
        <f>IF(K116&lt;63.5,"down",IF(K116=63.5,"low",IF(K116=66,"high",IF(AND(K116&gt;63.5,K116&lt;66),"normal","up"))))</f>
        <v>79</v>
      </c>
      <c r="F116" t="s">
        <f>IF(P116&lt;65,"PVP-down",IF(P116=65,65,IF(P116&gt;65,"PVP-up")))</f>
        <v>83</v>
      </c>
      <c r="G116" t="s">
        <f>IF(R116&lt;185,"PVV-down",IF(R116=185,185,IF(R116&gt;185,"PVV-up")))</f>
        <v>81</v>
      </c>
      <c r="H116" s="40">
        <f>R116/(Y116/10000)</f>
        <v>0.008359123484349586</v>
      </c>
      <c r="I116">
        <v>64.799999999999997</v>
      </c>
      <c r="J116">
        <v>66.099999999999994</v>
      </c>
      <c r="K116">
        <v>65.099999999999994</v>
      </c>
      <c r="L116">
        <v>1.3</v>
      </c>
      <c r="M116">
        <v>0.0201</v>
      </c>
      <c r="N116">
        <v>66.099999999999994</v>
      </c>
      <c r="O116">
        <v>66.200000000000003</v>
      </c>
      <c r="P116">
        <v>66.099999999999994</v>
      </c>
      <c r="Q116">
        <v>150</v>
      </c>
      <c r="R116">
        <v>3262</v>
      </c>
      <c r="S116">
        <v>1077</v>
      </c>
      <c r="T116" s="40">
        <f>((P116-K116)/K116)</f>
        <v>0.015360983102918589</v>
      </c>
      <c r="U116" s="40">
        <f>((T116*AB116)*D4)</f>
        <v>0.14199523187468177</v>
      </c>
      <c r="V116" s="3">
        <f>IF(P116&lt;=N116,(P116*Q116*1000),0)</f>
        <v>9915000</v>
      </c>
      <c r="W116" s="3">
        <f>IF(P116&gt;=O116,(P116*Q116*1000),0)</f>
        <v>0</v>
      </c>
      <c r="X116">
        <v>6285</v>
      </c>
      <c r="Y116" s="3">
        <v>3902323020</v>
      </c>
      <c r="Z116" s="40">
        <f>((C4*AB116)/P116)/10</f>
        <v>0.012833962487942992</v>
      </c>
      <c r="AA116" s="40">
        <f>((M116*AB116)*C4)</f>
        <v>0.17051330901105935</v>
      </c>
      <c r="AB116" s="40">
        <f>AE116/AE323</f>
        <v>0.0007232982917344564</v>
      </c>
      <c r="AC116" s="40">
        <f>AF116/AF323</f>
        <v>0.00070248508381332464</v>
      </c>
      <c r="AD116" s="3">
        <f>IF(ISNA(J116),(I116*Y116)/10,(J116*Y116)/10)</f>
        <v>25794355162.199997</v>
      </c>
      <c r="AE116" s="3">
        <f>IF(ISNA(P116),(I116*Y116)/10,(P116*Y116)/10)</f>
        <v>25794355162.199997</v>
      </c>
      <c r="AF116" s="3">
        <f>(I116*Y116)/10</f>
        <v>25287053169.599998</v>
      </c>
      <c r="AG116">
        <f>IF(AND(P116&lt;=N116,L116&lt;0),IF(Q116&lt;10,"DBL10",IF(Q116&gt;=200,"DBM200",IF(Q116&gt;=150,"DBM150",IF(Q116&gt;=100,"DBM100",IF(Q116&gt;=50,"DBM50","DBM10-50"))))),0)</f>
        <v>0</v>
      </c>
      <c r="AH116">
        <f>IF(AND(P116&gt;=O116,L116&lt;0),IF(Q116&lt;10,"DAL10",IF(Q116&gt;=200,"DAM200",IF(Q116&gt;=150,"DAM150",IF(Q116&gt;=100,"DAM100",IF(Q116&gt;=50,"DAM50","DAM10-50"))))),0)</f>
        <v>0</v>
      </c>
      <c r="AI116">
        <f>IF(AND(P116&gt;=O116,L116&gt;0),IF(Q116&lt;10,"UAL10",IF(Q116&gt;=200,"UAM200",IF(Q116&gt;=150,"UAM150",IF(Q116&gt;=100,"UAM100",IF(Q116&gt;=50,"UAM50","UAM10-50"))))),0)</f>
        <v>0</v>
      </c>
      <c r="AJ116" t="s">
        <f>IF(AND(P116&lt;=N116,L116&gt;0),IF(Q116&lt;10,"UBL10",IF(Q116&gt;=200,"UBM200",IF(Q116&gt;=150,"UBM150",IF(Q116&gt;=100,"UBM100",IF(Q116&gt;=50,"UBM50","UBM10-50"))))),0)</f>
        <v>20</v>
      </c>
      <c r="AK116" t="s">
        <f>IF(Q116&lt;37,"down",IF(Q116=37,37,IF(Q116&gt;37,"up")))</f>
        <v>6</v>
      </c>
    </row>
    <row r="117" spans="1:37">
      <c r="A117">
        <f>IF(X117=3005,3005,"Error")</f>
        <v>3005</v>
      </c>
      <c r="B117" t="s">
        <f>IF(K117&lt;42.350000000000001,"down",IF(K117=42.350000000000001,"low",IF(K117=43.25,"high",IF(AND(K117&gt;42.350000000000001,K117&lt;43.25),"normal","up"))))</f>
        <v>6</v>
      </c>
      <c r="C117" t="s">
        <f>IF(K117&lt;42.350000000000001,"down",IF(K117=42.350000000000001,"low",IF(K117=43.25,"high",IF(AND(K117&gt;42.350000000000001,K117&lt;43.25),"normal","up"))))</f>
        <v>6</v>
      </c>
      <c r="D117" t="s">
        <f>IF(K117&lt;42.350000000000001,"down",IF(K117=42.350000000000001,"low",IF(K117=43.25,"high",IF(AND(K117&gt;42.350000000000001,K117&lt;43.25),"normal","up"))))</f>
        <v>6</v>
      </c>
      <c r="E117" t="s">
        <f>IF(K117&lt;42,"down",IF(K117=42,"low",IF(K117=43.25,"high",IF(AND(K117&gt;42,K117&lt;43.25),"normal","up"))))</f>
        <v>6</v>
      </c>
      <c r="F117" t="s">
        <f>IF(P117&lt;43.100000000000001,"PVP-down",IF(P117=43.100000000000001,43.100000000000001,IF(P117&gt;43.100000000000001,"PVP-up")))</f>
        <v>80</v>
      </c>
      <c r="G117" t="s">
        <f>IF(R117&lt;277,"PVV-down",IF(R117=277,277,IF(R117&gt;277,"PVV-up")))</f>
        <v>81</v>
      </c>
      <c r="H117" s="40">
        <f>R117/(Y117/10000)</f>
        <v>0.0015188066186750029</v>
      </c>
      <c r="I117">
        <v>43.049999999999997</v>
      </c>
      <c r="J117">
        <v>42.649999999999999</v>
      </c>
      <c r="K117">
        <v>43.299999999999997</v>
      </c>
      <c r="L117">
        <v>-0.40000000000000002</v>
      </c>
      <c r="M117">
        <v>-0.0092999999999999992</v>
      </c>
      <c r="N117">
        <v>42.649999999999999</v>
      </c>
      <c r="O117">
        <v>42.700000000000003</v>
      </c>
      <c r="P117">
        <v>42.649999999999999</v>
      </c>
      <c r="Q117">
        <v>33</v>
      </c>
      <c r="R117">
        <v>887</v>
      </c>
      <c r="S117">
        <v>1844</v>
      </c>
      <c r="T117" s="40">
        <f>((P117-K117)/K117)</f>
        <v>-0.015011547344110823</v>
      </c>
      <c r="U117" s="40">
        <f>((T117*AB117)*D4)</f>
        <v>-0.1339971955559276</v>
      </c>
      <c r="V117" s="3">
        <f>IF(P117&lt;=N117,(P117*Q117*1000),0)</f>
        <v>1407450</v>
      </c>
      <c r="W117" s="3">
        <f>IF(P117&gt;=O117,(P117*Q117*1000),0)</f>
        <v>0</v>
      </c>
      <c r="X117">
        <v>3005</v>
      </c>
      <c r="Y117" s="3">
        <v>5840111500</v>
      </c>
      <c r="Z117" s="40">
        <f>((C4*AB117)/P117)/10</f>
        <v>0.019206962502146856</v>
      </c>
      <c r="AA117" s="40">
        <f>((M117*AB117)*C4)</f>
        <v>-0.076183456416640385</v>
      </c>
      <c r="AB117" s="40">
        <f>AE117/AE323</f>
        <v>0.00069844616702420233</v>
      </c>
      <c r="AC117" s="40">
        <f>AF117/AF323</f>
        <v>0.00069844655558794807</v>
      </c>
      <c r="AD117" s="3">
        <f>IF(ISNA(J117),(I117*Y117)/10,(J117*Y117)/10)</f>
        <v>24908075547.5</v>
      </c>
      <c r="AE117" s="3">
        <f>IF(ISNA(P117),(I117*Y117)/10,(P117*Y117)/10)</f>
        <v>24908075547.5</v>
      </c>
      <c r="AF117" s="3">
        <f>(I117*Y117)/10</f>
        <v>25141680007.499996</v>
      </c>
      <c r="AG117" t="s">
        <f>IF(AND(P117&lt;=N117,L117&lt;0),IF(Q117&lt;10,"DBL10",IF(Q117&gt;=200,"DBM200",IF(Q117&gt;=150,"DBM150",IF(Q117&gt;=100,"DBM100",IF(Q117&gt;=50,"DBM50","DBM10-50"))))),0)</f>
        <v>12</v>
      </c>
      <c r="AH117">
        <f>IF(AND(P117&gt;=O117,L117&lt;0),IF(Q117&lt;10,"DAL10",IF(Q117&gt;=200,"DAM200",IF(Q117&gt;=150,"DAM150",IF(Q117&gt;=100,"DAM100",IF(Q117&gt;=50,"DAM50","DAM10-50"))))),0)</f>
        <v>0</v>
      </c>
      <c r="AI117">
        <f>IF(AND(P117&gt;=O117,L117&gt;0),IF(Q117&lt;10,"UAL10",IF(Q117&gt;=200,"UAM200",IF(Q117&gt;=150,"UAM150",IF(Q117&gt;=100,"UAM100",IF(Q117&gt;=50,"UAM50","UAM10-50"))))),0)</f>
        <v>0</v>
      </c>
      <c r="AJ117">
        <f>IF(AND(P117&lt;=N117,L117&gt;0),IF(Q117&lt;10,"UBL10",IF(Q117&gt;=200,"UBM200",IF(Q117&gt;=150,"UBM150",IF(Q117&gt;=100,"UBM100",IF(Q117&gt;=50,"UBM50","UBM10-50"))))),0)</f>
        <v>0</v>
      </c>
      <c r="AK117" t="s">
        <f>IF(Q117&lt;4,"down",IF(Q117=4,4,IF(Q117&gt;4,"up")))</f>
        <v>6</v>
      </c>
    </row>
    <row r="118" spans="1:37">
      <c r="A118">
        <f>IF(X118=2498,2498,"Error")</f>
        <v>2498</v>
      </c>
      <c r="B118" t="s">
        <f>IF(K118&lt;30.100000000000001,"down",IF(K118=30.100000000000001,"low",IF(K118=30.899999999999999,"high",IF(AND(K118&gt;30.100000000000001,K118&lt;30.899999999999999),"normal","up"))))</f>
        <v>79</v>
      </c>
      <c r="C118" t="s">
        <f>IF(K118&lt;30.100000000000001,"down",IF(K118=30.100000000000001,"low",IF(K118=30.899999999999999,"high",IF(AND(K118&gt;30.100000000000001,K118&lt;30.899999999999999),"normal","up"))))</f>
        <v>79</v>
      </c>
      <c r="D118" t="s">
        <f>IF(K118&lt;30.100000000000001,"down",IF(K118=30.100000000000001,"low",IF(K118=30.899999999999999,"high",IF(AND(K118&gt;30.100000000000001,K118&lt;30.899999999999999),"normal","up"))))</f>
        <v>79</v>
      </c>
      <c r="E118" t="s">
        <f>IF(K118&lt;29.800000000000001,"down",IF(K118=29.800000000000001,"low",IF(K118=31.600000000000001,"high",IF(AND(K118&gt;29.800000000000001,K118&lt;31.600000000000001),"normal","up"))))</f>
        <v>79</v>
      </c>
      <c r="F118" t="s">
        <f>IF(P118&lt;30.449999999999999,"PVP-down",IF(P118=30.449999999999999,30.449999999999999,IF(P118&gt;30.449999999999999,"PVP-up")))</f>
        <v>80</v>
      </c>
      <c r="G118" t="s">
        <f>IF(R118&lt;907,"PVV-down",IF(R118=907,907,IF(R118&gt;907,"PVV-up")))</f>
        <v>81</v>
      </c>
      <c r="H118" s="40">
        <f>R118/(Y118/10000)</f>
        <v>0.004970662496553588</v>
      </c>
      <c r="I118">
        <v>30.449999999999999</v>
      </c>
      <c r="J118">
        <v>30.149999999999999</v>
      </c>
      <c r="K118">
        <v>30.449999999999999</v>
      </c>
      <c r="L118">
        <v>-0.29999999999999999</v>
      </c>
      <c r="M118">
        <v>-0.0099000000000000008</v>
      </c>
      <c r="N118">
        <v>30.149999999999999</v>
      </c>
      <c r="O118">
        <v>30.199999999999999</v>
      </c>
      <c r="P118">
        <v>30.149999999999999</v>
      </c>
      <c r="Q118">
        <v>264</v>
      </c>
      <c r="R118">
        <v>4070</v>
      </c>
      <c r="S118">
        <v>5093</v>
      </c>
      <c r="T118" s="40">
        <f>((P118-K118)/K118)</f>
        <v>-0.0098522167487684973</v>
      </c>
      <c r="U118" s="40">
        <f>((T118*AB118)*D4)</f>
        <v>-0.087162862016842438</v>
      </c>
      <c r="V118" s="3">
        <f>IF(P118&lt;=N118,(P118*Q118*1000),0)</f>
        <v>7959599.9999999991</v>
      </c>
      <c r="W118" s="3">
        <f>IF(P118&gt;=O118,(P118*Q118*1000),0)</f>
        <v>0</v>
      </c>
      <c r="X118">
        <v>2498</v>
      </c>
      <c r="Y118" s="3">
        <v>8188043350</v>
      </c>
      <c r="Z118" s="40">
        <f>((C4*AB118)/P118)/10</f>
        <v>0.026928842298542234</v>
      </c>
      <c r="AA118" s="40">
        <f>((M118*AB118)*C4)</f>
        <v>-0.080378554934803795</v>
      </c>
      <c r="AB118" s="40">
        <f>AE118/AE323</f>
        <v>0.00069224561565277873</v>
      </c>
      <c r="AC118" s="40">
        <f>AF118/AF323</f>
        <v>0.00069263800189997972</v>
      </c>
      <c r="AD118" s="3">
        <f>IF(ISNA(J118),(I118*Y118)/10,(J118*Y118)/10)</f>
        <v>24686950700.25</v>
      </c>
      <c r="AE118" s="3">
        <f>IF(ISNA(P118),(I118*Y118)/10,(P118*Y118)/10)</f>
        <v>24686950700.25</v>
      </c>
      <c r="AF118" s="3">
        <f>(I118*Y118)/10</f>
        <v>24932592000.75</v>
      </c>
      <c r="AG118" t="s">
        <f>IF(AND(P118&lt;=N118,L118&lt;0),IF(Q118&lt;10,"DBL10",IF(Q118&gt;=200,"DBM200",IF(Q118&gt;=150,"DBM150",IF(Q118&gt;=100,"DBM100",IF(Q118&gt;=50,"DBM50","DBM10-50"))))),0)</f>
        <v>16</v>
      </c>
      <c r="AH118">
        <f>IF(AND(P118&gt;=O118,L118&lt;0),IF(Q118&lt;10,"DAL10",IF(Q118&gt;=200,"DAM200",IF(Q118&gt;=150,"DAM150",IF(Q118&gt;=100,"DAM100",IF(Q118&gt;=50,"DAM50","DAM10-50"))))),0)</f>
        <v>0</v>
      </c>
      <c r="AI118">
        <f>IF(AND(P118&gt;=O118,L118&gt;0),IF(Q118&lt;10,"UAL10",IF(Q118&gt;=200,"UAM200",IF(Q118&gt;=150,"UAM150",IF(Q118&gt;=100,"UAM100",IF(Q118&gt;=50,"UAM50","UAM10-50"))))),0)</f>
        <v>0</v>
      </c>
      <c r="AJ118">
        <f>IF(AND(P118&lt;=N118,L118&gt;0),IF(Q118&lt;10,"UBL10",IF(Q118&gt;=200,"UBM200",IF(Q118&gt;=150,"UBM150",IF(Q118&gt;=100,"UBM100",IF(Q118&gt;=50,"UBM50","UBM10-50"))))),0)</f>
        <v>0</v>
      </c>
      <c r="AK118" t="s">
        <f>IF(Q118&lt;139,"down",IF(Q118=139,139,IF(Q118&gt;139,"up")))</f>
        <v>6</v>
      </c>
    </row>
    <row r="119" spans="1:37">
      <c r="A119">
        <f>IF(X119=3576,3576,"Error")</f>
        <v>3576</v>
      </c>
      <c r="B119" t="s">
        <f>IF(K119&lt;9.3800000000000008,"down",IF(K119=9.3800000000000008,"low",IF(K119=10.1,"high",IF(AND(K119&gt;9.3800000000000008,K119&lt;10.1),"normal","up"))))</f>
        <v>6</v>
      </c>
      <c r="C119" t="s">
        <f>IF(K119&lt;9.3800000000000008,"down",IF(K119=9.3800000000000008,"low",IF(K119=10.1,"high",IF(AND(K119&gt;9.3800000000000008,K119&lt;10.1),"normal","up"))))</f>
        <v>6</v>
      </c>
      <c r="D119" t="s">
        <f>IF(K119&lt;9.3800000000000008,"down",IF(K119=9.3800000000000008,"low",IF(K119=10.1,"high",IF(AND(K119&gt;9.3800000000000008,K119&lt;10.1),"normal","up"))))</f>
        <v>6</v>
      </c>
      <c r="E119" t="s">
        <f>IF(K119&lt;8.9499999999999993,"down",IF(K119=8.9499999999999993,"low",IF(K119=10.1,"high",IF(AND(K119&gt;8.9499999999999993,K119&lt;10.1),"normal","up"))))</f>
        <v>6</v>
      </c>
      <c r="F119" t="s">
        <f>IF(P119&lt;10.1,"PVP-down",IF(P119=10.1,10.1,IF(P119&gt;10.1,"PVP-up")))</f>
        <v>80</v>
      </c>
      <c r="G119" t="s">
        <f>IF(R119&lt;31737,"PVV-down",IF(R119=31737,31737,IF(R119&gt;31737,"PVV-up")))</f>
        <v>81</v>
      </c>
      <c r="H119" s="40">
        <f>R119/(Y119/10000)</f>
        <v>0.039094782993021361</v>
      </c>
      <c r="I119">
        <v>10.1</v>
      </c>
      <c r="J119">
        <v>9.5099999999999998</v>
      </c>
      <c r="K119">
        <v>10.35</v>
      </c>
      <c r="L119">
        <v>-0.58999999999999997</v>
      </c>
      <c r="M119">
        <v>-0.058400000000000001</v>
      </c>
      <c r="N119">
        <v>9.5099999999999998</v>
      </c>
      <c r="O119">
        <v>9.5199999999999996</v>
      </c>
      <c r="P119">
        <v>9.5099999999999998</v>
      </c>
      <c r="Q119">
        <v>1654</v>
      </c>
      <c r="R119">
        <v>104192</v>
      </c>
      <c r="S119">
        <v>83693</v>
      </c>
      <c r="T119" s="40">
        <f>((P119-K119)/K119)</f>
        <v>-0.081159420289855067</v>
      </c>
      <c r="U119" s="40">
        <f>((T119*AB119)*D4)</f>
        <v>-0.73716565916594345</v>
      </c>
      <c r="V119" s="3">
        <f>IF(P119&lt;=N119,(P119*Q119*1000),0)</f>
        <v>15729539.999999998</v>
      </c>
      <c r="W119" s="3">
        <f>IF(P119&gt;=O119,(P119*Q119*1000),0)</f>
        <v>0</v>
      </c>
      <c r="X119">
        <v>3576</v>
      </c>
      <c r="Y119" s="3">
        <v>26651126320</v>
      </c>
      <c r="Z119" s="40">
        <f>((C4*AB119)/P119)/10</f>
        <v>0.087650241586692143</v>
      </c>
      <c r="AA119" s="40">
        <f>((M119*AB119)*C4)</f>
        <v>-0.48679541773383433</v>
      </c>
      <c r="AB119" s="40">
        <f>AE119/AE323</f>
        <v>0.00071070414561311157</v>
      </c>
      <c r="AC119" s="40">
        <f>AF119/AF323</f>
        <v>0.00074778341180630598</v>
      </c>
      <c r="AD119" s="3">
        <f>IF(ISNA(J119),(I119*Y119)/10,(J119*Y119)/10)</f>
        <v>25345221130.32</v>
      </c>
      <c r="AE119" s="3">
        <f>IF(ISNA(P119),(I119*Y119)/10,(P119*Y119)/10)</f>
        <v>25345221130.32</v>
      </c>
      <c r="AF119" s="3">
        <f>(I119*Y119)/10</f>
        <v>26917637583.200001</v>
      </c>
      <c r="AG119" t="s">
        <f>IF(AND(P119&lt;=N119,L119&lt;0),IF(Q119&lt;10,"DBL10",IF(Q119&gt;=200,"DBM200",IF(Q119&gt;=150,"DBM150",IF(Q119&gt;=100,"DBM100",IF(Q119&gt;=50,"DBM50","DBM10-50"))))),0)</f>
        <v>16</v>
      </c>
      <c r="AH119">
        <f>IF(AND(P119&gt;=O119,L119&lt;0),IF(Q119&lt;10,"DAL10",IF(Q119&gt;=200,"DAM200",IF(Q119&gt;=150,"DAM150",IF(Q119&gt;=100,"DAM100",IF(Q119&gt;=50,"DAM50","DAM10-50"))))),0)</f>
        <v>0</v>
      </c>
      <c r="AI119">
        <f>IF(AND(P119&gt;=O119,L119&gt;0),IF(Q119&lt;10,"UAL10",IF(Q119&gt;=200,"UAM200",IF(Q119&gt;=150,"UAM150",IF(Q119&gt;=100,"UAM100",IF(Q119&gt;=50,"UAM50","UAM10-50"))))),0)</f>
        <v>0</v>
      </c>
      <c r="AJ119">
        <f>IF(AND(P119&lt;=N119,L119&gt;0),IF(Q119&lt;10,"UBL10",IF(Q119&gt;=200,"UBM200",IF(Q119&gt;=150,"UBM150",IF(Q119&gt;=100,"UBM100",IF(Q119&gt;=50,"UBM50","UBM10-50"))))),0)</f>
        <v>0</v>
      </c>
      <c r="AK119" t="s">
        <f>IF(Q119&lt;1568,"down",IF(Q119=1568,1568,IF(Q119&gt;1568,"up")))</f>
        <v>6</v>
      </c>
    </row>
    <row r="120" spans="1:37">
      <c r="A120">
        <f>IF(X120=2456,2456,"Error")</f>
        <v>2456</v>
      </c>
      <c r="B120" t="s">
        <f>IF(K120&lt;102.5,"down",IF(K120=102.5,"low",IF(K120=105.5,"high",IF(AND(K120&gt;102.5,K120&lt;105.5),"normal","up"))))</f>
        <v>79</v>
      </c>
      <c r="C120" t="s">
        <f>IF(K120&lt;102.5,"down",IF(K120=102.5,"low",IF(K120=105.5,"high",IF(AND(K120&gt;102.5,K120&lt;105.5),"normal","up"))))</f>
        <v>79</v>
      </c>
      <c r="D120" t="s">
        <f>IF(K120&lt;102.5,"down",IF(K120=102.5,"low",IF(K120=105.5,"high",IF(AND(K120&gt;102.5,K120&lt;105.5),"normal","up"))))</f>
        <v>79</v>
      </c>
      <c r="E120" t="s">
        <f>IF(K120&lt;95,"down",IF(K120=95,"low",IF(K120=108.5,"high",IF(AND(K120&gt;95,K120&lt;108.5),"normal","up"))))</f>
        <v>79</v>
      </c>
      <c r="F120" t="s">
        <f>IF(P120&lt;103,"PVP-down",IF(P120=103,103,IF(P120&gt;103,"PVP-up")))</f>
        <v>83</v>
      </c>
      <c r="G120" t="s">
        <f>IF(R120&lt;1733,"PVV-down",IF(R120=1733,1733,IF(R120&gt;1733,"PVV-up")))</f>
        <v>81</v>
      </c>
      <c r="H120" s="40">
        <f>R120/(Y120/10000)</f>
        <v>0.032282434669866987</v>
      </c>
      <c r="I120">
        <v>102.5</v>
      </c>
      <c r="J120">
        <v>103.5</v>
      </c>
      <c r="K120">
        <v>103.5</v>
      </c>
      <c r="L120">
        <v>1</v>
      </c>
      <c r="M120">
        <v>0.0097999999999999997</v>
      </c>
      <c r="N120">
        <v>103.5</v>
      </c>
      <c r="O120">
        <v>104</v>
      </c>
      <c r="P120">
        <v>103.5</v>
      </c>
      <c r="Q120">
        <v>453</v>
      </c>
      <c r="R120">
        <v>8243</v>
      </c>
      <c r="S120">
        <v>7432</v>
      </c>
      <c r="T120" s="40">
        <f>((P120-K120)/K120)</f>
        <v>0</v>
      </c>
      <c r="U120" s="40">
        <f>((T120*AB120)*D4)</f>
        <v>0</v>
      </c>
      <c r="V120" s="3">
        <f>IF(P120&lt;=N120,(P120*Q120*1000),0)</f>
        <v>46885500</v>
      </c>
      <c r="W120" s="3">
        <f>IF(P120&gt;=O120,(P120*Q120*1000),0)</f>
        <v>0</v>
      </c>
      <c r="X120">
        <v>2456</v>
      </c>
      <c r="Y120" s="3">
        <v>2553400970</v>
      </c>
      <c r="Z120" s="40">
        <f>((C4*AB120)/P120)/10</f>
        <v>0.0083976267719777977</v>
      </c>
      <c r="AA120" s="40">
        <f>((M120*AB120)*C4)</f>
        <v>0.085177128348170789</v>
      </c>
      <c r="AB120" s="40">
        <f>AE120/AE323</f>
        <v>0.00074105788544979664</v>
      </c>
      <c r="AC120" s="40">
        <f>AF120/AF323</f>
        <v>0.00072707928221161112</v>
      </c>
      <c r="AD120" s="3">
        <f>IF(ISNA(J120),(I120*Y120)/10,(J120*Y120)/10)</f>
        <v>26427700039.5</v>
      </c>
      <c r="AE120" s="3">
        <f>IF(ISNA(P120),(I120*Y120)/10,(P120*Y120)/10)</f>
        <v>26427700039.5</v>
      </c>
      <c r="AF120" s="3">
        <f>(I120*Y120)/10</f>
        <v>26172359942.5</v>
      </c>
      <c r="AG120">
        <f>IF(AND(P120&lt;=N120,L120&lt;0),IF(Q120&lt;10,"DBL10",IF(Q120&gt;=200,"DBM200",IF(Q120&gt;=150,"DBM150",IF(Q120&gt;=100,"DBM100",IF(Q120&gt;=50,"DBM50","DBM10-50"))))),0)</f>
        <v>0</v>
      </c>
      <c r="AH120">
        <f>IF(AND(P120&gt;=O120,L120&lt;0),IF(Q120&lt;10,"DAL10",IF(Q120&gt;=200,"DAM200",IF(Q120&gt;=150,"DAM150",IF(Q120&gt;=100,"DAM100",IF(Q120&gt;=50,"DAM50","DAM10-50"))))),0)</f>
        <v>0</v>
      </c>
      <c r="AI120">
        <f>IF(AND(P120&gt;=O120,L120&gt;0),IF(Q120&lt;10,"UAL10",IF(Q120&gt;=200,"UAM200",IF(Q120&gt;=150,"UAM150",IF(Q120&gt;=100,"UAM100",IF(Q120&gt;=50,"UAM50","UAM10-50"))))),0)</f>
        <v>0</v>
      </c>
      <c r="AJ120" t="s">
        <f>IF(AND(P120&lt;=N120,L120&gt;0),IF(Q120&lt;10,"UBL10",IF(Q120&gt;=200,"UBM200",IF(Q120&gt;=150,"UBM150",IF(Q120&gt;=100,"UBM100",IF(Q120&gt;=50,"UBM50","UBM10-50"))))),0)</f>
        <v>21</v>
      </c>
      <c r="AK120" t="s">
        <f>IF(Q120&lt;176,"down",IF(Q120=176,176,IF(Q120&gt;176,"up")))</f>
        <v>6</v>
      </c>
    </row>
    <row r="121" spans="1:37">
      <c r="A121">
        <f>IF(X121=3042,3042,"Error")</f>
        <v>3042</v>
      </c>
      <c r="B121" t="s">
        <f>IF(K121&lt;80.400000000000006,"down",IF(K121=80.400000000000006,"low",IF(K121=85.5,"high",IF(AND(K121&gt;80.400000000000006,K121&lt;85.5),"normal","up"))))</f>
        <v>79</v>
      </c>
      <c r="C121" t="s">
        <f>IF(K121&lt;80.400000000000006,"down",IF(K121=80.400000000000006,"low",IF(K121=85.5,"high",IF(AND(K121&gt;80.400000000000006,K121&lt;85.5),"normal","up"))))</f>
        <v>79</v>
      </c>
      <c r="D121" t="s">
        <f>IF(K121&lt;80.400000000000006,"down",IF(K121=80.400000000000006,"low",IF(K121=85.5,"high",IF(AND(K121&gt;80.400000000000006,K121&lt;85.5),"normal","up"))))</f>
        <v>79</v>
      </c>
      <c r="E121" t="s">
        <f>IF(K121&lt;75,"down",IF(K121=75,"low",IF(K121=88,"high",IF(AND(K121&gt;75,K121&lt;88),"normal","up"))))</f>
        <v>79</v>
      </c>
      <c r="F121" t="s">
        <f>IF(P121&lt;81,"PVP-down",IF(P121=81,81,IF(P121&gt;81,"PVP-up")))</f>
        <v>83</v>
      </c>
      <c r="G121" t="s">
        <f>IF(R121&lt;549,"PVV-down",IF(R121=549,549,IF(R121&gt;549,"PVV-up")))</f>
        <v>81</v>
      </c>
      <c r="H121" s="40">
        <f>R121/(Y121/10000)</f>
        <v>0.04234286329698915</v>
      </c>
      <c r="I121">
        <v>81.700000000000003</v>
      </c>
      <c r="J121">
        <v>83.799999999999997</v>
      </c>
      <c r="K121">
        <v>82.799999999999997</v>
      </c>
      <c r="L121">
        <v>2</v>
      </c>
      <c r="M121">
        <v>0.024500000000000001</v>
      </c>
      <c r="N121">
        <v>83.599999999999994</v>
      </c>
      <c r="O121">
        <v>83.700000000000003</v>
      </c>
      <c r="P121">
        <v>83.700000000000003</v>
      </c>
      <c r="Q121">
        <v>421</v>
      </c>
      <c r="R121">
        <v>13116</v>
      </c>
      <c r="S121">
        <v>8318</v>
      </c>
      <c r="T121" s="40">
        <f>((P121-K121)/K121)</f>
        <v>0.010869565217391373</v>
      </c>
      <c r="U121" s="40">
        <f>((T121*AB121)*D4)</f>
        <v>0.10099244598334928</v>
      </c>
      <c r="V121" s="3">
        <f>IF(P121&lt;=N121,(P121*Q121*1000),0)</f>
        <v>0</v>
      </c>
      <c r="W121" s="3">
        <f>IF(P121&gt;=O121,(P121*Q121*1000),0)</f>
        <v>35237700.000000007</v>
      </c>
      <c r="X121">
        <v>3042</v>
      </c>
      <c r="Y121" s="3">
        <v>3097570400</v>
      </c>
      <c r="Z121" s="40">
        <f>((C4*AB121)/P121)/10</f>
        <v>0.010187291547526111</v>
      </c>
      <c r="AA121" s="40">
        <f>((M121*AB121)*C4)</f>
        <v>0.20890569411934418</v>
      </c>
      <c r="AB121" s="40">
        <f>AE121/AE323</f>
        <v>0.00072700836454450788</v>
      </c>
      <c r="AC121" s="40">
        <f>AF121/AF323</f>
        <v>0.00070304338696991367</v>
      </c>
      <c r="AD121" s="3">
        <f>IF(ISNA(J121),(I121*Y121)/10,(J121*Y121)/10)</f>
        <v>25957639952</v>
      </c>
      <c r="AE121" s="3">
        <f>IF(ISNA(P121),(I121*Y121)/10,(P121*Y121)/10)</f>
        <v>25926664248</v>
      </c>
      <c r="AF121" s="3">
        <f>(I121*Y121)/10</f>
        <v>25307150168</v>
      </c>
      <c r="AG121">
        <f>IF(AND(P121&lt;=N121,L121&lt;0),IF(Q121&lt;10,"DBL10",IF(Q121&gt;=200,"DBM200",IF(Q121&gt;=150,"DBM150",IF(Q121&gt;=100,"DBM100",IF(Q121&gt;=50,"DBM50","DBM10-50"))))),0)</f>
        <v>0</v>
      </c>
      <c r="AH121">
        <f>IF(AND(P121&gt;=O121,L121&lt;0),IF(Q121&lt;10,"DAL10",IF(Q121&gt;=200,"DAM200",IF(Q121&gt;=150,"DAM150",IF(Q121&gt;=100,"DAM100",IF(Q121&gt;=50,"DAM50","DAM10-50"))))),0)</f>
        <v>0</v>
      </c>
      <c r="AI121" t="s">
        <f>IF(AND(P121&gt;=O121,L121&gt;0),IF(Q121&lt;10,"UAL10",IF(Q121&gt;=200,"UAM200",IF(Q121&gt;=150,"UAM150",IF(Q121&gt;=100,"UAM100",IF(Q121&gt;=50,"UAM50","UAM10-50"))))),0)</f>
        <v>31</v>
      </c>
      <c r="AJ121">
        <f>IF(AND(P121&lt;=N121,L121&gt;0),IF(Q121&lt;10,"UBL10",IF(Q121&gt;=200,"UBM200",IF(Q121&gt;=150,"UBM150",IF(Q121&gt;=100,"UBM100",IF(Q121&gt;=50,"UBM50","UBM10-50"))))),0)</f>
        <v>0</v>
      </c>
      <c r="AK121" t="s">
        <f>IF(Q121&lt;95,"down",IF(Q121=95,95,IF(Q121&gt;95,"up")))</f>
        <v>6</v>
      </c>
    </row>
    <row r="122" spans="1:37">
      <c r="A122">
        <f>IF(X122=8150,8150,"Error")</f>
        <v>8150</v>
      </c>
      <c r="B122" t="s">
        <f>IF(K122&lt;31.850000000000001,"down",IF(K122=31.850000000000001,"low",IF(K122=32.700000000000003,"high",IF(AND(K122&gt;31.850000000000001,K122&lt;32.700000000000003),"normal","up"))))</f>
        <v>79</v>
      </c>
      <c r="C122" t="s">
        <f>IF(K122&lt;31.850000000000001,"down",IF(K122=31.850000000000001,"low",IF(K122=32.700000000000003,"high",IF(AND(K122&gt;31.850000000000001,K122&lt;32.700000000000003),"normal","up"))))</f>
        <v>79</v>
      </c>
      <c r="D122" t="s">
        <f>IF(K122&lt;31.850000000000001,"down",IF(K122=31.850000000000001,"low",IF(K122=32.700000000000003,"high",IF(AND(K122&gt;31.850000000000001,K122&lt;32.700000000000003),"normal","up"))))</f>
        <v>79</v>
      </c>
      <c r="E122" t="s">
        <f>IF(K122&lt;31.800000000000001,"down",IF(K122=31.800000000000001,"low",IF(K122=32.799999999999997,"high",IF(AND(K122&gt;31.800000000000001,K122&lt;32.799999999999997),"normal","up"))))</f>
        <v>79</v>
      </c>
      <c r="F122" t="s">
        <f>IF(P122&lt;32.149999999999999,"PVP-down",IF(P122=32.149999999999999,32.149999999999999,IF(P122&gt;32.149999999999999,"PVP-up")))</f>
        <v>80</v>
      </c>
      <c r="G122" t="s">
        <f>IF(R122&lt;500,"PVV-down",IF(R122=500,500,IF(R122&gt;500,"PVV-up")))</f>
        <v>81</v>
      </c>
      <c r="H122" s="40">
        <f>R122/(Y122/10000)</f>
        <v>0.0043850715685069333</v>
      </c>
      <c r="I122">
        <v>32.149999999999999</v>
      </c>
      <c r="J122">
        <v>31.75</v>
      </c>
      <c r="K122">
        <v>32.299999999999997</v>
      </c>
      <c r="L122">
        <v>-0.40000000000000002</v>
      </c>
      <c r="M122">
        <v>-0.0124</v>
      </c>
      <c r="N122">
        <v>31.75</v>
      </c>
      <c r="O122">
        <v>31.800000000000001</v>
      </c>
      <c r="P122">
        <v>31.75</v>
      </c>
      <c r="Q122">
        <v>118</v>
      </c>
      <c r="R122">
        <v>3189</v>
      </c>
      <c r="S122">
        <v>2564</v>
      </c>
      <c r="T122" s="40">
        <f>((P122-K122)/K122)</f>
        <v>-0.017027863777089695</v>
      </c>
      <c r="U122" s="40">
        <f>((T122*AB122)*D4)</f>
        <v>-0.14090026329373123</v>
      </c>
      <c r="V122" s="3">
        <f>IF(P122&lt;=N122,(P122*Q122*1000),0)</f>
        <v>3746500</v>
      </c>
      <c r="W122" s="3">
        <f>IF(P122&gt;=O122,(P122*Q122*1000),0)</f>
        <v>0</v>
      </c>
      <c r="X122">
        <v>8150</v>
      </c>
      <c r="Y122" s="3">
        <v>7272401260</v>
      </c>
      <c r="Z122" s="40">
        <f>((C4*AB122)/P122)/10</f>
        <v>0.023917477997018648</v>
      </c>
      <c r="AA122" s="40">
        <f>((M122*AB122)*C4)</f>
        <v>-0.094163110874262407</v>
      </c>
      <c r="AB122" s="40">
        <f>AE122/AE323</f>
        <v>0.00064746206353704695</v>
      </c>
      <c r="AC122" s="40">
        <f>AF122/AF323</f>
        <v>0.00064952772862328628</v>
      </c>
      <c r="AD122" s="3">
        <f>IF(ISNA(J122),(I122*Y122)/10,(J122*Y122)/10)</f>
        <v>23089874000.5</v>
      </c>
      <c r="AE122" s="3">
        <f>IF(ISNA(P122),(I122*Y122)/10,(P122*Y122)/10)</f>
        <v>23089874000.5</v>
      </c>
      <c r="AF122" s="3">
        <f>(I122*Y122)/10</f>
        <v>23380770050.900002</v>
      </c>
      <c r="AG122" t="s">
        <f>IF(AND(P122&lt;=N122,L122&lt;0),IF(Q122&lt;10,"DBL10",IF(Q122&gt;=200,"DBM200",IF(Q122&gt;=150,"DBM150",IF(Q122&gt;=100,"DBM100",IF(Q122&gt;=50,"DBM50","DBM10-50"))))),0)</f>
        <v>14</v>
      </c>
      <c r="AH122">
        <f>IF(AND(P122&gt;=O122,L122&lt;0),IF(Q122&lt;10,"DAL10",IF(Q122&gt;=200,"DAM200",IF(Q122&gt;=150,"DAM150",IF(Q122&gt;=100,"DAM100",IF(Q122&gt;=50,"DAM50","DAM10-50"))))),0)</f>
        <v>0</v>
      </c>
      <c r="AI122">
        <f>IF(AND(P122&gt;=O122,L122&gt;0),IF(Q122&lt;10,"UAL10",IF(Q122&gt;=200,"UAM200",IF(Q122&gt;=150,"UAM150",IF(Q122&gt;=100,"UAM100",IF(Q122&gt;=50,"UAM50","UAM10-50"))))),0)</f>
        <v>0</v>
      </c>
      <c r="AJ122">
        <f>IF(AND(P122&lt;=N122,L122&gt;0),IF(Q122&lt;10,"UBL10",IF(Q122&gt;=200,"UBM200",IF(Q122&gt;=150,"UBM150",IF(Q122&gt;=100,"UBM100",IF(Q122&gt;=50,"UBM50","UBM10-50"))))),0)</f>
        <v>0</v>
      </c>
      <c r="AK122" t="s">
        <f>IF(Q122&lt;40,"down",IF(Q122=40,40,IF(Q122&gt;40,"up")))</f>
        <v>6</v>
      </c>
    </row>
    <row r="123" spans="1:37">
      <c r="A123">
        <f>IF(X123=2362,2362,"Error")</f>
        <v>2362</v>
      </c>
      <c r="B123" t="s">
        <f>IF(K123&lt;30.75,"down",IF(K123=30.75,"low",IF(K123=31.199999999999999,"high",IF(AND(K123&gt;30.75,K123&lt;31.199999999999999),"normal","up"))))</f>
        <v>79</v>
      </c>
      <c r="C123" t="s">
        <f>IF(K123&lt;30.75,"down",IF(K123=30.75,"low",IF(K123=31.199999999999999,"high",IF(AND(K123&gt;30.75,K123&lt;31.199999999999999),"normal","up"))))</f>
        <v>79</v>
      </c>
      <c r="D123" t="s">
        <f>IF(K123&lt;30.75,"down",IF(K123=30.75,"low",IF(K123=31.199999999999999,"high",IF(AND(K123&gt;30.75,K123&lt;31.199999999999999),"normal","up"))))</f>
        <v>79</v>
      </c>
      <c r="E123" t="s">
        <f>IF(K123&lt;29.949999999999999,"down",IF(K123=29.949999999999999,"low",IF(K123=33.049999999999997,"high",IF(AND(K123&gt;29.949999999999999,K123&lt;33.049999999999997),"normal","up"))))</f>
        <v>79</v>
      </c>
      <c r="F123" t="s">
        <f>IF(P123&lt;31.050000000000001,"PVP-down",IF(P123=31.050000000000001,31.050000000000001,IF(P123&gt;31.050000000000001,"PVP-up")))</f>
        <v>80</v>
      </c>
      <c r="G123" t="s">
        <f>IF(R123&lt;993,"PVV-down",IF(R123=993,993,IF(R123&gt;993,"PVV-up")))</f>
        <v>81</v>
      </c>
      <c r="H123" s="40">
        <f>R123/(Y123/10000)</f>
        <v>0.0019783117311646058</v>
      </c>
      <c r="I123">
        <v>31.050000000000001</v>
      </c>
      <c r="J123">
        <v>30.899999999999999</v>
      </c>
      <c r="K123">
        <v>30.800000000000001</v>
      </c>
      <c r="L123">
        <v>-0.14999999999999999</v>
      </c>
      <c r="M123">
        <v>-0.0047999999999999996</v>
      </c>
      <c r="N123">
        <v>30.699999999999999</v>
      </c>
      <c r="O123">
        <v>30.899999999999999</v>
      </c>
      <c r="P123">
        <v>30.899999999999999</v>
      </c>
      <c r="Q123">
        <v>488</v>
      </c>
      <c r="R123">
        <v>1325</v>
      </c>
      <c r="S123">
        <v>2925</v>
      </c>
      <c r="T123" s="40">
        <f>((P123-K123)/K123)</f>
        <v>0.0032467532467531776</v>
      </c>
      <c r="U123" s="40">
        <f>((T123*AB123)*D4)</f>
        <v>0.024080138991360536</v>
      </c>
      <c r="V123" s="3">
        <f>IF(P123&lt;=N123,(P123*Q123*1000),0)</f>
        <v>0</v>
      </c>
      <c r="W123" s="3">
        <f>IF(P123&gt;=O123,(P123*Q123*1000),0)</f>
        <v>15079199.999999998</v>
      </c>
      <c r="X123">
        <v>2362</v>
      </c>
      <c r="Y123" s="3">
        <v>6697630000</v>
      </c>
      <c r="Z123" s="40">
        <f>((C4*AB123)/P123)/10</f>
        <v>0.0220271699030496</v>
      </c>
      <c r="AA123" s="40">
        <f>((M123*AB123)*C4)</f>
        <v>-0.032670698400203167</v>
      </c>
      <c r="AB123" s="40">
        <f>AE123/AE323</f>
        <v>0.00058032649039953265</v>
      </c>
      <c r="AC123" s="40">
        <f>AF123/AF323</f>
        <v>0.00057772563931309873</v>
      </c>
      <c r="AD123" s="3">
        <f>IF(ISNA(J123),(I123*Y123)/10,(J123*Y123)/10)</f>
        <v>20695676700</v>
      </c>
      <c r="AE123" s="3">
        <f>IF(ISNA(P123),(I123*Y123)/10,(P123*Y123)/10)</f>
        <v>20695676700</v>
      </c>
      <c r="AF123" s="3">
        <f>(I123*Y123)/10</f>
        <v>20796141150</v>
      </c>
      <c r="AG123">
        <f>IF(AND(P123&lt;=N123,L123&lt;0),IF(Q123&lt;10,"DBL10",IF(Q123&gt;=200,"DBM200",IF(Q123&gt;=150,"DBM150",IF(Q123&gt;=100,"DBM100",IF(Q123&gt;=50,"DBM50","DBM10-50"))))),0)</f>
        <v>0</v>
      </c>
      <c r="AH123" t="s">
        <f>IF(AND(P123&gt;=O123,L123&lt;0),IF(Q123&lt;10,"DAL10",IF(Q123&gt;=200,"DAM200",IF(Q123&gt;=150,"DAM150",IF(Q123&gt;=100,"DAM100",IF(Q123&gt;=50,"DAM50","DAM10-50"))))),0)</f>
        <v>26</v>
      </c>
      <c r="AI123">
        <f>IF(AND(P123&gt;=O123,L123&gt;0),IF(Q123&lt;10,"UAL10",IF(Q123&gt;=200,"UAM200",IF(Q123&gt;=150,"UAM150",IF(Q123&gt;=100,"UAM100",IF(Q123&gt;=50,"UAM50","UAM10-50"))))),0)</f>
        <v>0</v>
      </c>
      <c r="AJ123">
        <f>IF(AND(P123&lt;=N123,L123&gt;0),IF(Q123&lt;10,"UBL10",IF(Q123&gt;=200,"UBM200",IF(Q123&gt;=150,"UBM150",IF(Q123&gt;=100,"UBM100",IF(Q123&gt;=50,"UBM50","UBM10-50"))))),0)</f>
        <v>0</v>
      </c>
      <c r="AK123" t="s">
        <f>IF(Q123&lt;20,"down",IF(Q123=20,20,IF(Q123&gt;20,"up")))</f>
        <v>6</v>
      </c>
    </row>
    <row r="124" spans="1:37">
      <c r="A124">
        <f>IF(X124=5469,5469,"Error")</f>
        <v>5469</v>
      </c>
      <c r="B124" t="s">
        <f>IF(K124&lt;43.350000000000001,"down",IF(K124=43.350000000000001,"low",IF(K124=44.149999999999999,"high",IF(AND(K124&gt;43.350000000000001,K124&lt;44.149999999999999),"normal","up"))))</f>
        <v>79</v>
      </c>
      <c r="C124" t="s">
        <f>IF(K124&lt;43.350000000000001,"down",IF(K124=43.350000000000001,"low",IF(K124=44.149999999999999,"high",IF(AND(K124&gt;43.350000000000001,K124&lt;44.149999999999999),"normal","up"))))</f>
        <v>79</v>
      </c>
      <c r="D124" t="s">
        <f>IF(K124&lt;43.350000000000001,"down",IF(K124=43.350000000000001,"low",IF(K124=44.149999999999999,"high",IF(AND(K124&gt;43.350000000000001,K124&lt;44.149999999999999),"normal","up"))))</f>
        <v>79</v>
      </c>
      <c r="E124" t="s">
        <f>IF(K124&lt;41.600000000000001,"down",IF(K124=41.600000000000001,"low",IF(K124=44.299999999999997,"high",IF(AND(K124&gt;41.600000000000001,K124&lt;44.299999999999997),"normal","up"))))</f>
        <v>79</v>
      </c>
      <c r="F124" t="s">
        <f>IF(P124&lt;43.950000000000003,"PVP-down",IF(P124=43.950000000000003,43.950000000000003,IF(P124&gt;43.950000000000003,"PVP-up")))</f>
        <v>80</v>
      </c>
      <c r="G124" t="s">
        <f>IF(R124&lt;811,"PVV-down",IF(R124=811,811,IF(R124&gt;811,"PVV-up")))</f>
        <v>81</v>
      </c>
      <c r="H124" s="40">
        <f>R124/(Y124/10000)</f>
        <v>0.012493344767613872</v>
      </c>
      <c r="I124">
        <v>43.950000000000003</v>
      </c>
      <c r="J124">
        <v>42.549999999999997</v>
      </c>
      <c r="K124">
        <v>44</v>
      </c>
      <c r="L124">
        <v>-1.3999999999999999</v>
      </c>
      <c r="M124">
        <v>-0.031899999999999998</v>
      </c>
      <c r="N124">
        <v>42.549999999999997</v>
      </c>
      <c r="O124">
        <v>42.700000000000003</v>
      </c>
      <c r="P124">
        <v>42.549999999999997</v>
      </c>
      <c r="Q124">
        <v>449</v>
      </c>
      <c r="R124">
        <v>6602</v>
      </c>
      <c r="S124">
        <v>5244</v>
      </c>
      <c r="T124" s="40">
        <f>((P124-K124)/K124)</f>
        <v>-0.032954545454545521</v>
      </c>
      <c r="U124" s="40">
        <f>((T124*AB124)*D4)</f>
        <v>-0.26554722030150857</v>
      </c>
      <c r="V124" s="3">
        <f>IF(P124&lt;=N124,(P124*Q124*1000),0)</f>
        <v>19104949.999999996</v>
      </c>
      <c r="W124" s="3">
        <f>IF(P124&gt;=O124,(P124*Q124*1000),0)</f>
        <v>0</v>
      </c>
      <c r="X124">
        <v>5469</v>
      </c>
      <c r="Y124" s="3">
        <v>5284413520</v>
      </c>
      <c r="Z124" s="40">
        <f>((C4*AB124)/P124)/10</f>
        <v>0.017379382623855362</v>
      </c>
      <c r="AA124" s="40">
        <f>((M124*AB124)*C4)</f>
        <v>-0.23589818107576957</v>
      </c>
      <c r="AB124" s="40">
        <f>AE124/AE323</f>
        <v>0.00063050585445488375</v>
      </c>
      <c r="AC124" s="40">
        <f>AF124/AF323</f>
        <v>0.00064520029874608068</v>
      </c>
      <c r="AD124" s="3">
        <f>IF(ISNA(J124),(I124*Y124)/10,(J124*Y124)/10)</f>
        <v>22485179527.599998</v>
      </c>
      <c r="AE124" s="3">
        <f>IF(ISNA(P124),(I124*Y124)/10,(P124*Y124)/10)</f>
        <v>22485179527.599998</v>
      </c>
      <c r="AF124" s="3">
        <f>(I124*Y124)/10</f>
        <v>23224997420.400002</v>
      </c>
      <c r="AG124" t="s">
        <f>IF(AND(P124&lt;=N124,L124&lt;0),IF(Q124&lt;10,"DBL10",IF(Q124&gt;=200,"DBM200",IF(Q124&gt;=150,"DBM150",IF(Q124&gt;=100,"DBM100",IF(Q124&gt;=50,"DBM50","DBM10-50"))))),0)</f>
        <v>16</v>
      </c>
      <c r="AH124">
        <f>IF(AND(P124&gt;=O124,L124&lt;0),IF(Q124&lt;10,"DAL10",IF(Q124&gt;=200,"DAM200",IF(Q124&gt;=150,"DAM150",IF(Q124&gt;=100,"DAM100",IF(Q124&gt;=50,"DAM50","DAM10-50"))))),0)</f>
        <v>0</v>
      </c>
      <c r="AI124">
        <f>IF(AND(P124&gt;=O124,L124&gt;0),IF(Q124&lt;10,"UAL10",IF(Q124&gt;=200,"UAM200",IF(Q124&gt;=150,"UAM150",IF(Q124&gt;=100,"UAM100",IF(Q124&gt;=50,"UAM50","UAM10-50"))))),0)</f>
        <v>0</v>
      </c>
      <c r="AJ124">
        <f>IF(AND(P124&lt;=N124,L124&gt;0),IF(Q124&lt;10,"UBL10",IF(Q124&gt;=200,"UBM200",IF(Q124&gt;=150,"UBM150",IF(Q124&gt;=100,"UBM100",IF(Q124&gt;=50,"UBM50","UBM10-50"))))),0)</f>
        <v>0</v>
      </c>
      <c r="AK124" t="s">
        <f>IF(Q124&lt;267,"down",IF(Q124=267,267,IF(Q124&gt;267,"up")))</f>
        <v>6</v>
      </c>
    </row>
    <row r="125" spans="1:37">
      <c r="A125">
        <f>IF(X125=6196,6196,"Error")</f>
        <v>6196</v>
      </c>
      <c r="B125" t="s">
        <f>IF(K125&lt;116,"down",IF(K125=116,"low",IF(K125=122,"high",IF(AND(K125&gt;116,K125&lt;122),"normal","up"))))</f>
        <v>7</v>
      </c>
      <c r="C125" t="s">
        <f>IF(K125&lt;116,"down",IF(K125=116,"low",IF(K125=122,"high",IF(AND(K125&gt;116,K125&lt;122),"normal","up"))))</f>
        <v>7</v>
      </c>
      <c r="D125" t="s">
        <f>IF(K125&lt;116,"down",IF(K125=116,"low",IF(K125=122,"high",IF(AND(K125&gt;116,K125&lt;122),"normal","up"))))</f>
        <v>7</v>
      </c>
      <c r="E125" t="s">
        <f>IF(K125&lt;113,"down",IF(K125=113,"low",IF(K125=124.5,"high",IF(AND(K125&gt;113,K125&lt;124.5),"normal","up"))))</f>
        <v>7</v>
      </c>
      <c r="F125" t="s">
        <f>IF(P125&lt;119,"PVP-down",IF(P125=119,119,IF(P125&gt;119,"PVP-up")))</f>
        <v>80</v>
      </c>
      <c r="G125" t="s">
        <f>IF(R125&lt;695,"PVV-down",IF(R125=695,695,IF(R125&gt;695,"PVV-up")))</f>
        <v>81</v>
      </c>
      <c r="H125" s="40">
        <f>R125/(Y125/10000)</f>
        <v>0.029896061217983917</v>
      </c>
      <c r="I125">
        <v>116</v>
      </c>
      <c r="J125">
        <v>109</v>
      </c>
      <c r="K125">
        <v>111.5</v>
      </c>
      <c r="L125">
        <v>-7</v>
      </c>
      <c r="M125">
        <v>-0.060299999999999999</v>
      </c>
      <c r="N125">
        <v>108.5</v>
      </c>
      <c r="O125">
        <v>109</v>
      </c>
      <c r="P125">
        <v>109</v>
      </c>
      <c r="Q125">
        <v>188</v>
      </c>
      <c r="R125">
        <v>5594</v>
      </c>
      <c r="S125">
        <v>4303</v>
      </c>
      <c r="T125" s="40">
        <f>((P125-K125)/K125)</f>
        <v>-0.022421524663677129</v>
      </c>
      <c r="U125" s="40">
        <f>((T125*AB125)*D4)</f>
        <v>-0.16388160234509219</v>
      </c>
      <c r="V125" s="3">
        <f>IF(P125&lt;=N125,(P125*Q125*1000),0)</f>
        <v>0</v>
      </c>
      <c r="W125" s="3">
        <f>IF(P125&gt;=O125,(P125*Q125*1000),0)</f>
        <v>20492000</v>
      </c>
      <c r="X125">
        <v>6196</v>
      </c>
      <c r="Y125" s="3">
        <v>1871149500</v>
      </c>
      <c r="Z125" s="40">
        <f>((C4*AB125)/P125)/10</f>
        <v>0.0061538376934089081</v>
      </c>
      <c r="AA125" s="40">
        <f>((M125*AB125)*C4)</f>
        <v>-0.4044732900746873</v>
      </c>
      <c r="AB125" s="40">
        <f>AE125/AE323</f>
        <v>0.00057191007837842096</v>
      </c>
      <c r="AC125" s="40">
        <f>AF125/AF323</f>
        <v>0.00060298340864066826</v>
      </c>
      <c r="AD125" s="3">
        <f>IF(ISNA(J125),(I125*Y125)/10,(J125*Y125)/10)</f>
        <v>20395529550</v>
      </c>
      <c r="AE125" s="3">
        <f>IF(ISNA(P125),(I125*Y125)/10,(P125*Y125)/10)</f>
        <v>20395529550</v>
      </c>
      <c r="AF125" s="3">
        <f>(I125*Y125)/10</f>
        <v>21705334200</v>
      </c>
      <c r="AG125">
        <f>IF(AND(P125&lt;=N125,L125&lt;0),IF(Q125&lt;10,"DBL10",IF(Q125&gt;=200,"DBM200",IF(Q125&gt;=150,"DBM150",IF(Q125&gt;=100,"DBM100",IF(Q125&gt;=50,"DBM50","DBM10-50"))))),0)</f>
        <v>0</v>
      </c>
      <c r="AH125" t="s">
        <f>IF(AND(P125&gt;=O125,L125&lt;0),IF(Q125&lt;10,"DAL10",IF(Q125&gt;=200,"DAM200",IF(Q125&gt;=150,"DAM150",IF(Q125&gt;=100,"DAM100",IF(Q125&gt;=50,"DAM50","DAM10-50"))))),0)</f>
        <v>25</v>
      </c>
      <c r="AI125">
        <f>IF(AND(P125&gt;=O125,L125&gt;0),IF(Q125&lt;10,"UAL10",IF(Q125&gt;=200,"UAM200",IF(Q125&gt;=150,"UAM150",IF(Q125&gt;=100,"UAM100",IF(Q125&gt;=50,"UAM50","UAM10-50"))))),0)</f>
        <v>0</v>
      </c>
      <c r="AJ125">
        <f>IF(AND(P125&lt;=N125,L125&gt;0),IF(Q125&lt;10,"UBL10",IF(Q125&gt;=200,"UBM200",IF(Q125&gt;=150,"UBM150",IF(Q125&gt;=100,"UBM100",IF(Q125&gt;=50,"UBM50","UBM10-50"))))),0)</f>
        <v>0</v>
      </c>
      <c r="AK125" t="s">
        <f>IF(Q125&lt;82,"down",IF(Q125=82,82,IF(Q125&gt;82,"up")))</f>
        <v>6</v>
      </c>
    </row>
    <row r="126" spans="1:37">
      <c r="A126">
        <f>IF(X126=2368,2368,"Error")</f>
        <v>2368</v>
      </c>
      <c r="B126" t="s">
        <f>IF(K126&lt;42.75,"down",IF(K126=42.75,"low",IF(K126=45.950000000000003,"high",IF(AND(K126&gt;42.75,K126&lt;45.950000000000003),"normal","up"))))</f>
        <v>79</v>
      </c>
      <c r="C126" t="s">
        <f>IF(K126&lt;42.75,"down",IF(K126=42.75,"low",IF(K126=45.950000000000003,"high",IF(AND(K126&gt;42.75,K126&lt;45.950000000000003),"normal","up"))))</f>
        <v>79</v>
      </c>
      <c r="D126" t="s">
        <f>IF(K126&lt;42.75,"down",IF(K126=42.75,"low",IF(K126=45.950000000000003,"high",IF(AND(K126&gt;42.75,K126&lt;45.950000000000003),"normal","up"))))</f>
        <v>79</v>
      </c>
      <c r="E126" t="s">
        <f>IF(K126&lt;39.75,"down",IF(K126=39.75,"low",IF(K126=45.950000000000003,"high",IF(AND(K126&gt;39.75,K126&lt;45.950000000000003),"normal","up"))))</f>
        <v>79</v>
      </c>
      <c r="F126" t="s">
        <f>IF(P126&lt;43.600000000000001,"PVP-down",IF(P126=43.600000000000001,43.600000000000001,IF(P126&gt;43.600000000000001,"PVP-up")))</f>
        <v>83</v>
      </c>
      <c r="G126" t="s">
        <f>IF(R126&lt;5660,"PVV-down",IF(R126=5660,5660,IF(R126&gt;5660,"PVV-up")))</f>
        <v>81</v>
      </c>
      <c r="H126" s="40">
        <f>R126/(Y126/10000)</f>
        <v>0.084823479174168853</v>
      </c>
      <c r="I126">
        <v>43.600000000000001</v>
      </c>
      <c r="J126">
        <v>43.850000000000001</v>
      </c>
      <c r="K126">
        <v>43.600000000000001</v>
      </c>
      <c r="L126">
        <v>0.25</v>
      </c>
      <c r="M126">
        <v>0.0057000000000000002</v>
      </c>
      <c r="N126">
        <v>43.850000000000001</v>
      </c>
      <c r="O126">
        <v>43.899999999999999</v>
      </c>
      <c r="P126">
        <v>43.850000000000001</v>
      </c>
      <c r="Q126">
        <v>2543</v>
      </c>
      <c r="R126">
        <v>46355</v>
      </c>
      <c r="S126">
        <v>90070</v>
      </c>
      <c r="T126" s="40">
        <f>((P126-K126)/K126)</f>
        <v>0.0057339449541284398</v>
      </c>
      <c r="U126" s="40">
        <f>((T126*AB126)*D4)</f>
        <v>0.049241774525174815</v>
      </c>
      <c r="V126" s="3">
        <f>IF(P126&lt;=N126,(P126*Q126*1000),0)</f>
        <v>111510550</v>
      </c>
      <c r="W126" s="3">
        <f>IF(P126&gt;=O126,(P126*Q126*1000),0)</f>
        <v>0</v>
      </c>
      <c r="X126">
        <v>2368</v>
      </c>
      <c r="Y126" s="3">
        <v>5464878410</v>
      </c>
      <c r="Z126" s="40">
        <f>((C4*AB126)/P126)/10</f>
        <v>0.017972895671540163</v>
      </c>
      <c r="AA126" s="40">
        <f>((M126*AB126)*C4)</f>
        <v>0.044922354086231062</v>
      </c>
      <c r="AB126" s="40">
        <f>AE126/AE323</f>
        <v>0.00067195913966775834</v>
      </c>
      <c r="AC126" s="40">
        <f>AF126/AF323</f>
        <v>0.00066192057111947515</v>
      </c>
      <c r="AD126" s="3">
        <f>IF(ISNA(J126),(I126*Y126)/10,(J126*Y126)/10)</f>
        <v>23963491827.849998</v>
      </c>
      <c r="AE126" s="3">
        <f>IF(ISNA(P126),(I126*Y126)/10,(P126*Y126)/10)</f>
        <v>23963491827.849998</v>
      </c>
      <c r="AF126" s="3">
        <f>(I126*Y126)/10</f>
        <v>23826869867.599998</v>
      </c>
      <c r="AG126">
        <f>IF(AND(P126&lt;=N126,L126&lt;0),IF(Q126&lt;10,"DBL10",IF(Q126&gt;=200,"DBM200",IF(Q126&gt;=150,"DBM150",IF(Q126&gt;=100,"DBM100",IF(Q126&gt;=50,"DBM50","DBM10-50"))))),0)</f>
        <v>0</v>
      </c>
      <c r="AH126">
        <f>IF(AND(P126&gt;=O126,L126&lt;0),IF(Q126&lt;10,"DAL10",IF(Q126&gt;=200,"DAM200",IF(Q126&gt;=150,"DAM150",IF(Q126&gt;=100,"DAM100",IF(Q126&gt;=50,"DAM50","DAM10-50"))))),0)</f>
        <v>0</v>
      </c>
      <c r="AI126">
        <f>IF(AND(P126&gt;=O126,L126&gt;0),IF(Q126&lt;10,"UAL10",IF(Q126&gt;=200,"UAM200",IF(Q126&gt;=150,"UAM150",IF(Q126&gt;=100,"UAM100",IF(Q126&gt;=50,"UAM50","UAM10-50"))))),0)</f>
        <v>0</v>
      </c>
      <c r="AJ126" t="s">
        <f>IF(AND(P126&lt;=N126,L126&gt;0),IF(Q126&lt;10,"UBL10",IF(Q126&gt;=200,"UBM200",IF(Q126&gt;=150,"UBM150",IF(Q126&gt;=100,"UBM100",IF(Q126&gt;=50,"UBM50","UBM10-50"))))),0)</f>
        <v>21</v>
      </c>
      <c r="AK126" t="s">
        <f>IF(Q126&lt;1983,"down",IF(Q126=1983,1983,IF(Q126&gt;1983,"up")))</f>
        <v>6</v>
      </c>
    </row>
    <row r="127" spans="1:37">
      <c r="A127">
        <f>IF(X127=6414,6414,"Error")</f>
        <v>6414</v>
      </c>
      <c r="B127" t="s">
        <f>IF(K127&lt;274.5,"down",IF(K127=274.5,"low",IF(K127=286,"high",IF(AND(K127&gt;274.5,K127&lt;286),"normal","up"))))</f>
        <v>79</v>
      </c>
      <c r="C127" t="s">
        <f>IF(K127&lt;274.5,"down",IF(K127=274.5,"low",IF(K127=286,"high",IF(AND(K127&gt;274.5,K127&lt;286),"normal","up"))))</f>
        <v>79</v>
      </c>
      <c r="D127" t="s">
        <f>IF(K127&lt;274.5,"down",IF(K127=274.5,"low",IF(K127=286,"high",IF(AND(K127&gt;274.5,K127&lt;286),"normal","up"))))</f>
        <v>79</v>
      </c>
      <c r="E127" t="s">
        <f>IF(K127&lt;255.5,"down",IF(K127=255.5,"low",IF(K127=288,"high",IF(AND(K127&gt;255.5,K127&lt;288),"normal","up"))))</f>
        <v>79</v>
      </c>
      <c r="F127" t="s">
        <f>IF(P127&lt;280,"PVP-down",IF(P127=280,280,IF(P127&gt;280,"PVP-up")))</f>
        <v>83</v>
      </c>
      <c r="G127" t="s">
        <f>IF(R127&lt;219,"PVV-down",IF(R127=219,219,IF(R127&gt;219,"PVV-up")))</f>
        <v>81</v>
      </c>
      <c r="H127" s="40">
        <f>R127/(Y127/10000)</f>
        <v>0.017553206917059555</v>
      </c>
      <c r="I127">
        <v>284.5</v>
      </c>
      <c r="J127">
        <v>283</v>
      </c>
      <c r="K127">
        <v>280</v>
      </c>
      <c r="L127">
        <v>-2</v>
      </c>
      <c r="M127">
        <v>-0.0070000000000000001</v>
      </c>
      <c r="N127">
        <v>282</v>
      </c>
      <c r="O127">
        <v>282.5</v>
      </c>
      <c r="P127">
        <v>282.5</v>
      </c>
      <c r="Q127">
        <v>48</v>
      </c>
      <c r="R127">
        <v>1467</v>
      </c>
      <c r="S127">
        <v>1967</v>
      </c>
      <c r="T127" s="40">
        <f>((P127-K127)/K127)</f>
        <v>0.0089285714285714281</v>
      </c>
      <c r="U127" s="40">
        <f>((T127*AB127)*D4)</f>
        <v>0.075544725152934589</v>
      </c>
      <c r="V127" s="3">
        <f>IF(P127&lt;=N127,(P127*Q127*1000),0)</f>
        <v>0</v>
      </c>
      <c r="W127" s="3">
        <f>IF(P127&gt;=O127,(P127*Q127*1000),0)</f>
        <v>13560000</v>
      </c>
      <c r="X127">
        <v>6414</v>
      </c>
      <c r="Y127" s="3">
        <v>835744720</v>
      </c>
      <c r="Z127" s="40">
        <f>((C4*AB127)/P127)/10</f>
        <v>0.0027485977790676127</v>
      </c>
      <c r="AA127" s="40">
        <f>((M127*AB127)*C4)</f>
        <v>-0.054353521081062041</v>
      </c>
      <c r="AB127" s="40">
        <f>AE127/AE323</f>
        <v>0.00066204095691289996</v>
      </c>
      <c r="AC127" s="40">
        <f>AF127/AF323</f>
        <v>0.00066053342272618472</v>
      </c>
      <c r="AD127" s="3">
        <f>IF(ISNA(J127),(I127*Y127)/10,(J127*Y127)/10)</f>
        <v>23651575576</v>
      </c>
      <c r="AE127" s="3">
        <f>IF(ISNA(P127),(I127*Y127)/10,(P127*Y127)/10)</f>
        <v>23609788340</v>
      </c>
      <c r="AF127" s="3">
        <f>(I127*Y127)/10</f>
        <v>23776937284</v>
      </c>
      <c r="AG127">
        <f>IF(AND(P127&lt;=N127,L127&lt;0),IF(Q127&lt;10,"DBL10",IF(Q127&gt;=200,"DBM200",IF(Q127&gt;=150,"DBM150",IF(Q127&gt;=100,"DBM100",IF(Q127&gt;=50,"DBM50","DBM10-50"))))),0)</f>
        <v>0</v>
      </c>
      <c r="AH127" t="s">
        <f>IF(AND(P127&gt;=O127,L127&lt;0),IF(Q127&lt;10,"DAL10",IF(Q127&gt;=200,"DAM200",IF(Q127&gt;=150,"DAM150",IF(Q127&gt;=100,"DAM100",IF(Q127&gt;=50,"DAM50","DAM10-50"))))),0)</f>
        <v>22</v>
      </c>
      <c r="AI127">
        <f>IF(AND(P127&gt;=O127,L127&gt;0),IF(Q127&lt;10,"UAL10",IF(Q127&gt;=200,"UAM200",IF(Q127&gt;=150,"UAM150",IF(Q127&gt;=100,"UAM100",IF(Q127&gt;=50,"UAM50","UAM10-50"))))),0)</f>
        <v>0</v>
      </c>
      <c r="AJ127">
        <f>IF(AND(P127&lt;=N127,L127&gt;0),IF(Q127&lt;10,"UBL10",IF(Q127&gt;=200,"UBM200",IF(Q127&gt;=150,"UBM150",IF(Q127&gt;=100,"UBM100",IF(Q127&gt;=50,"UBM50","UBM10-50"))))),0)</f>
        <v>0</v>
      </c>
      <c r="AK127" t="s">
        <f>IF(Q127&lt;11,"down",IF(Q127=11,11,IF(Q127&gt;11,"up")))</f>
        <v>6</v>
      </c>
    </row>
    <row r="128" spans="1:37">
      <c r="A128">
        <f>IF(X128=6230,6230,"Error")</f>
        <v>6230</v>
      </c>
      <c r="B128" t="s">
        <f>IF(K128&lt;247,"down",IF(K128=247,"low",IF(K128=252,"high",IF(AND(K128&gt;247,K128&lt;252),"normal","up"))))</f>
        <v>79</v>
      </c>
      <c r="C128" t="s">
        <f>IF(K128&lt;247,"down",IF(K128=247,"low",IF(K128=252,"high",IF(AND(K128&gt;247,K128&lt;252),"normal","up"))))</f>
        <v>79</v>
      </c>
      <c r="D128" t="s">
        <f>IF(K128&lt;247,"down",IF(K128=247,"low",IF(K128=252,"high",IF(AND(K128&gt;247,K128&lt;252),"normal","up"))))</f>
        <v>79</v>
      </c>
      <c r="E128" t="s">
        <f>IF(K128&lt;246,"down",IF(K128=246,"low",IF(K128=262,"high",IF(AND(K128&gt;246,K128&lt;262),"normal","up"))))</f>
        <v>79</v>
      </c>
      <c r="F128" t="s">
        <f>IF(P128&lt;248,"PVP-down",IF(P128=248,248,IF(P128&gt;248,"PVP-up")))</f>
        <v>80</v>
      </c>
      <c r="G128" t="s">
        <f>IF(R128&lt;177,"PVV-down",IF(R128=177,177,IF(R128&gt;177,"PVV-up")))</f>
        <v>81</v>
      </c>
      <c r="H128" s="40">
        <f>R128/(Y128/10000)</f>
        <v>0.0051885844286226595</v>
      </c>
      <c r="I128">
        <v>249</v>
      </c>
      <c r="J128">
        <v>247</v>
      </c>
      <c r="K128">
        <v>249</v>
      </c>
      <c r="L128">
        <v>-2</v>
      </c>
      <c r="M128">
        <v>-0.0080000000000000002</v>
      </c>
      <c r="N128">
        <v>247</v>
      </c>
      <c r="O128">
        <v>247.5</v>
      </c>
      <c r="P128">
        <v>247</v>
      </c>
      <c r="Q128">
        <v>39</v>
      </c>
      <c r="R128">
        <v>448</v>
      </c>
      <c r="S128">
        <v>661</v>
      </c>
      <c r="T128" s="40">
        <f>((P128-K128)/K128)</f>
        <v>-0.0080321285140562242</v>
      </c>
      <c r="U128" s="40">
        <f>((T128*AB128)*D4)</f>
        <v>-0.06138846898956838</v>
      </c>
      <c r="V128" s="3">
        <f>IF(P128&lt;=N128,(P128*Q128*1000),0)</f>
        <v>9633000</v>
      </c>
      <c r="W128" s="3">
        <f>IF(P128&gt;=O128,(P128*Q128*1000),0)</f>
        <v>0</v>
      </c>
      <c r="X128">
        <v>6230</v>
      </c>
      <c r="Y128" s="3">
        <v>863433960</v>
      </c>
      <c r="Z128" s="40">
        <f>((C4*AB128)/P128)/10</f>
        <v>0.0028396621696007295</v>
      </c>
      <c r="AA128" s="40">
        <f>((M128*AB128)*C4)</f>
        <v>-0.056111724471310416</v>
      </c>
      <c r="AB128" s="40">
        <f>AE128/AE323</f>
        <v>0.00059802431647739697</v>
      </c>
      <c r="AC128" s="40">
        <f>AF128/AF323</f>
        <v>0.000597265402768554</v>
      </c>
      <c r="AD128" s="3">
        <f>IF(ISNA(J128),(I128*Y128)/10,(J128*Y128)/10)</f>
        <v>21326818812</v>
      </c>
      <c r="AE128" s="3">
        <f>IF(ISNA(P128),(I128*Y128)/10,(P128*Y128)/10)</f>
        <v>21326818812</v>
      </c>
      <c r="AF128" s="3">
        <f>(I128*Y128)/10</f>
        <v>21499505604</v>
      </c>
      <c r="AG128" t="s">
        <f>IF(AND(P128&lt;=N128,L128&lt;0),IF(Q128&lt;10,"DBL10",IF(Q128&gt;=200,"DBM200",IF(Q128&gt;=150,"DBM150",IF(Q128&gt;=100,"DBM100",IF(Q128&gt;=50,"DBM50","DBM10-50"))))),0)</f>
        <v>12</v>
      </c>
      <c r="AH128">
        <f>IF(AND(P128&gt;=O128,L128&lt;0),IF(Q128&lt;10,"DAL10",IF(Q128&gt;=200,"DAM200",IF(Q128&gt;=150,"DAM150",IF(Q128&gt;=100,"DAM100",IF(Q128&gt;=50,"DAM50","DAM10-50"))))),0)</f>
        <v>0</v>
      </c>
      <c r="AI128">
        <f>IF(AND(P128&gt;=O128,L128&gt;0),IF(Q128&lt;10,"UAL10",IF(Q128&gt;=200,"UAM200",IF(Q128&gt;=150,"UAM150",IF(Q128&gt;=100,"UAM100",IF(Q128&gt;=50,"UAM50","UAM10-50"))))),0)</f>
        <v>0</v>
      </c>
      <c r="AJ128">
        <f>IF(AND(P128&lt;=N128,L128&gt;0),IF(Q128&lt;10,"UBL10",IF(Q128&gt;=200,"UBM200",IF(Q128&gt;=150,"UBM150",IF(Q128&gt;=100,"UBM100",IF(Q128&gt;=50,"UBM50","UBM10-50"))))),0)</f>
        <v>0</v>
      </c>
      <c r="AK128" t="s">
        <f>IF(Q128&lt;28,"down",IF(Q128=28,28,IF(Q128&gt;28,"up")))</f>
        <v>6</v>
      </c>
    </row>
    <row r="129" spans="1:37">
      <c r="A129">
        <f>IF(X129=6214,6214,"Error")</f>
        <v>6214</v>
      </c>
      <c r="B129" t="s">
        <f>IF(K129&lt;83.200000000000003,"down",IF(K129=83.200000000000003,"low",IF(K129=84.700000000000003,"high",IF(AND(K129&gt;83.200000000000003,K129&lt;84.700000000000003),"normal","up"))))</f>
        <v>79</v>
      </c>
      <c r="C129" t="s">
        <f>IF(K129&lt;83.200000000000003,"down",IF(K129=83.200000000000003,"low",IF(K129=84.700000000000003,"high",IF(AND(K129&gt;83.200000000000003,K129&lt;84.700000000000003),"normal","up"))))</f>
        <v>79</v>
      </c>
      <c r="D129" t="s">
        <f>IF(K129&lt;83.200000000000003,"down",IF(K129=83.200000000000003,"low",IF(K129=84.700000000000003,"high",IF(AND(K129&gt;83.200000000000003,K129&lt;84.700000000000003),"normal","up"))))</f>
        <v>79</v>
      </c>
      <c r="E129" t="s">
        <f>IF(K129&lt;80,"down",IF(K129=80,"low",IF(K129=84.700000000000003,"high",IF(AND(K129&gt;80,K129&lt;84.700000000000003),"normal","up"))))</f>
        <v>79</v>
      </c>
      <c r="F129" t="s">
        <f>IF(P129&lt;84,"PVP-down",IF(P129=84,84,IF(P129&gt;84,"PVP-up")))</f>
        <v>80</v>
      </c>
      <c r="G129" t="s">
        <f>IF(R129&lt;241,"PVV-down",IF(R129=241,241,IF(R129&gt;241,"PVV-up")))</f>
        <v>81</v>
      </c>
      <c r="H129" s="40">
        <f>R129/(Y129/10000)</f>
        <v>0.0032740234701601938</v>
      </c>
      <c r="I129">
        <v>84.099999999999994</v>
      </c>
      <c r="J129">
        <v>83.5</v>
      </c>
      <c r="K129">
        <v>84.099999999999994</v>
      </c>
      <c r="L129">
        <v>-0.59999999999999998</v>
      </c>
      <c r="M129">
        <v>-0.0071000000000000004</v>
      </c>
      <c r="N129">
        <v>83.400000000000006</v>
      </c>
      <c r="O129">
        <v>83.599999999999994</v>
      </c>
      <c r="P129">
        <v>83.5</v>
      </c>
      <c r="Q129">
        <v>9</v>
      </c>
      <c r="R129">
        <v>882</v>
      </c>
      <c r="S129">
        <v>1462</v>
      </c>
      <c r="T129" s="40">
        <f>((P129-K129)/K129)</f>
        <v>-0.007134363852556413</v>
      </c>
      <c r="U129" s="40">
        <f>((T129*AB129)*D4)</f>
        <v>-0.057512017308822029</v>
      </c>
      <c r="V129" s="3">
        <f>IF(P129&lt;=N129,(P129*Q129*1000),0)</f>
        <v>0</v>
      </c>
      <c r="W129" s="3">
        <f>IF(P129&gt;=O129,(P129*Q129*1000),0)</f>
        <v>0</v>
      </c>
      <c r="X129">
        <v>6214</v>
      </c>
      <c r="Y129" s="3">
        <v>2693933040</v>
      </c>
      <c r="Z129" s="40">
        <f>((C4*AB129)/P129)/10</f>
        <v>0.0088598087352569337</v>
      </c>
      <c r="AA129" s="40">
        <f>((M129*AB129)*C4)</f>
        <v>-0.052525376086970742</v>
      </c>
      <c r="AB129" s="40">
        <f>AE129/AE323</f>
        <v>0.00063076274761590374</v>
      </c>
      <c r="AC129" s="40">
        <f>AF129/AF323</f>
        <v>0.00062939266592753024</v>
      </c>
      <c r="AD129" s="3">
        <f>IF(ISNA(J129),(I129*Y129)/10,(J129*Y129)/10)</f>
        <v>22494340884</v>
      </c>
      <c r="AE129" s="3">
        <f>IF(ISNA(P129),(I129*Y129)/10,(P129*Y129)/10)</f>
        <v>22494340884</v>
      </c>
      <c r="AF129" s="3">
        <f>(I129*Y129)/10</f>
        <v>22655976866.399998</v>
      </c>
      <c r="AG129">
        <f>IF(AND(P129&lt;=N129,L129&lt;0),IF(Q129&lt;10,"DBL10",IF(Q129&gt;=200,"DBM200",IF(Q129&gt;=150,"DBM150",IF(Q129&gt;=100,"DBM100",IF(Q129&gt;=50,"DBM50","DBM10-50"))))),0)</f>
        <v>0</v>
      </c>
      <c r="AH129">
        <f>IF(AND(P129&gt;=O129,L129&lt;0),IF(Q129&lt;10,"DAL10",IF(Q129&gt;=200,"DAM200",IF(Q129&gt;=150,"DAM150",IF(Q129&gt;=100,"DAM100",IF(Q129&gt;=50,"DAM50","DAM10-50"))))),0)</f>
        <v>0</v>
      </c>
      <c r="AI129">
        <f>IF(AND(P129&gt;=O129,L129&gt;0),IF(Q129&lt;10,"UAL10",IF(Q129&gt;=200,"UAM200",IF(Q129&gt;=150,"UAM150",IF(Q129&gt;=100,"UAM100",IF(Q129&gt;=50,"UAM50","UAM10-50"))))),0)</f>
        <v>0</v>
      </c>
      <c r="AJ129">
        <f>IF(AND(P129&lt;=N129,L129&gt;0),IF(Q129&lt;10,"UBL10",IF(Q129&gt;=200,"UBM200",IF(Q129&gt;=150,"UBM150",IF(Q129&gt;=100,"UBM100",IF(Q129&gt;=50,"UBM50","UBM10-50"))))),0)</f>
        <v>0</v>
      </c>
      <c r="AK129" t="s">
        <f>IF(Q129&lt;46,"down",IF(Q129=46,46,IF(Q129&gt;46,"up")))</f>
        <v>7</v>
      </c>
    </row>
    <row r="130" spans="1:37">
      <c r="A130">
        <f>IF(X130=6116,6116,"Error")</f>
        <v>6116</v>
      </c>
      <c r="B130" t="s">
        <f>IF(K130&lt;7.6799999999999997,"down",IF(K130=7.6799999999999997,"low",IF(K130=7.8700000000000001,"high",IF(AND(K130&gt;7.6799999999999997,K130&lt;7.8700000000000001),"normal","up"))))</f>
        <v>79</v>
      </c>
      <c r="C130" t="s">
        <f>IF(K130&lt;7.6799999999999997,"down",IF(K130=7.6799999999999997,"low",IF(K130=7.8700000000000001,"high",IF(AND(K130&gt;7.6799999999999997,K130&lt;7.8700000000000001),"normal","up"))))</f>
        <v>79</v>
      </c>
      <c r="D130" t="s">
        <f>IF(K130&lt;7.6799999999999997,"down",IF(K130=7.6799999999999997,"low",IF(K130=7.8700000000000001,"high",IF(AND(K130&gt;7.6799999999999997,K130&lt;7.8700000000000001),"normal","up"))))</f>
        <v>79</v>
      </c>
      <c r="E130" t="s">
        <f>IF(K130&lt;6.9199999999999999,"down",IF(K130=6.9199999999999999,"low",IF(K130=8.2799999999999994,"high",IF(AND(K130&gt;6.9199999999999999,K130&lt;8.2799999999999994),"normal","up"))))</f>
        <v>79</v>
      </c>
      <c r="F130" t="s">
        <f>IF(P130&lt;7.71,"PVP-down",IF(P130=7.71,7.71,IF(P130&gt;7.71,"PVP-up")))</f>
        <v>80</v>
      </c>
      <c r="G130" t="s">
        <f>IF(R130&lt;8055,"PVV-down",IF(R130=8055,8055,IF(R130&gt;8055,"PVV-up")))</f>
        <v>81</v>
      </c>
      <c r="H130" s="40">
        <f>R130/(Y130/10000)</f>
        <v>0.0092809872137917058</v>
      </c>
      <c r="I130">
        <v>7.71</v>
      </c>
      <c r="J130">
        <v>7.6600000000000001</v>
      </c>
      <c r="K130">
        <v>7.7800000000000002</v>
      </c>
      <c r="L130">
        <v>-0.050000000000000003</v>
      </c>
      <c r="M130">
        <v>-0.0064999999999999997</v>
      </c>
      <c r="N130">
        <v>7.6600000000000001</v>
      </c>
      <c r="O130">
        <v>7.6699999999999999</v>
      </c>
      <c r="P130">
        <v>7.6600000000000001</v>
      </c>
      <c r="Q130">
        <v>1017</v>
      </c>
      <c r="R130">
        <v>29086</v>
      </c>
      <c r="S130">
        <v>35256</v>
      </c>
      <c r="T130" s="40">
        <f>((P130-K130)/K130)</f>
        <v>-0.015424164524421607</v>
      </c>
      <c r="U130" s="40">
        <f>((T130*AB130)*D4)</f>
        <v>-0.13269370445279724</v>
      </c>
      <c r="V130" s="3">
        <f>IF(P130&lt;=N130,(P130*Q130*1000),0)</f>
        <v>7790220</v>
      </c>
      <c r="W130" s="3">
        <f>IF(P130&gt;=O130,(P130*Q130*1000),0)</f>
        <v>0</v>
      </c>
      <c r="X130">
        <v>6116</v>
      </c>
      <c r="Y130" s="3">
        <v>31339338510</v>
      </c>
      <c r="Z130" s="40">
        <f>((C4*AB130)/P130)/10</f>
        <v>0.10306883688841503</v>
      </c>
      <c r="AA130" s="40">
        <f>((M130*AB130)*C4)</f>
        <v>-0.051317973886741849</v>
      </c>
      <c r="AB130" s="40">
        <f>AE130/AE323</f>
        <v>0.0006731492389411279</v>
      </c>
      <c r="AC130" s="40">
        <f>AF130/AF323</f>
        <v>0.00067124813004828306</v>
      </c>
      <c r="AD130" s="3">
        <f>IF(ISNA(J130),(I130*Y130)/10,(J130*Y130)/10)</f>
        <v>24005933298.66</v>
      </c>
      <c r="AE130" s="3">
        <f>IF(ISNA(P130),(I130*Y130)/10,(P130*Y130)/10)</f>
        <v>24005933298.66</v>
      </c>
      <c r="AF130" s="3">
        <f>(I130*Y130)/10</f>
        <v>24162629991.209999</v>
      </c>
      <c r="AG130" t="s">
        <f>IF(AND(P130&lt;=N130,L130&lt;0),IF(Q130&lt;10,"DBL10",IF(Q130&gt;=200,"DBM200",IF(Q130&gt;=150,"DBM150",IF(Q130&gt;=100,"DBM100",IF(Q130&gt;=50,"DBM50","DBM10-50"))))),0)</f>
        <v>16</v>
      </c>
      <c r="AH130">
        <f>IF(AND(P130&gt;=O130,L130&lt;0),IF(Q130&lt;10,"DAL10",IF(Q130&gt;=200,"DAM200",IF(Q130&gt;=150,"DAM150",IF(Q130&gt;=100,"DAM100",IF(Q130&gt;=50,"DAM50","DAM10-50"))))),0)</f>
        <v>0</v>
      </c>
      <c r="AI130">
        <f>IF(AND(P130&gt;=O130,L130&gt;0),IF(Q130&lt;10,"UAL10",IF(Q130&gt;=200,"UAM200",IF(Q130&gt;=150,"UAM150",IF(Q130&gt;=100,"UAM100",IF(Q130&gt;=50,"UAM50","UAM10-50"))))),0)</f>
        <v>0</v>
      </c>
      <c r="AJ130">
        <f>IF(AND(P130&lt;=N130,L130&gt;0),IF(Q130&lt;10,"UBL10",IF(Q130&gt;=200,"UBM200",IF(Q130&gt;=150,"UBM150",IF(Q130&gt;=100,"UBM100",IF(Q130&gt;=50,"UBM50","UBM10-50"))))),0)</f>
        <v>0</v>
      </c>
      <c r="AK130" t="s">
        <f>IF(Q130&lt;1555,"down",IF(Q130=1555,1555,IF(Q130&gt;1555,"up")))</f>
        <v>7</v>
      </c>
    </row>
    <row r="131" spans="1:37">
      <c r="A131">
        <f>IF(X131=3673,3673,"Error")</f>
        <v>3673</v>
      </c>
      <c r="B131" t="s">
        <f>IF(K131&lt;54.299999999999997,"down",IF(K131=54.299999999999997,"low",IF(K131=56.899999999999999,"high",IF(AND(K131&gt;54.299999999999997,K131&lt;56.899999999999999),"normal","up"))))</f>
        <v>79</v>
      </c>
      <c r="C131" t="s">
        <f>IF(K131&lt;54.299999999999997,"down",IF(K131=54.299999999999997,"low",IF(K131=56.899999999999999,"high",IF(AND(K131&gt;54.299999999999997,K131&lt;56.899999999999999),"normal","up"))))</f>
        <v>79</v>
      </c>
      <c r="D131" t="s">
        <f>IF(K131&lt;54.299999999999997,"down",IF(K131=54.299999999999997,"low",IF(K131=56.899999999999999,"high",IF(AND(K131&gt;54.299999999999997,K131&lt;56.899999999999999),"normal","up"))))</f>
        <v>79</v>
      </c>
      <c r="E131" t="s">
        <f>IF(K131&lt;52.600000000000001,"down",IF(K131=52.600000000000001,"low",IF(K131=58.700000000000003,"high",IF(AND(K131&gt;52.600000000000001,K131&lt;58.700000000000003),"normal","up"))))</f>
        <v>79</v>
      </c>
      <c r="F131" t="s">
        <f>IF(P131&lt;55.100000000000001,"PVP-down",IF(P131=55.100000000000001,55.100000000000001,IF(P131&gt;55.100000000000001,"PVP-up")))</f>
        <v>83</v>
      </c>
      <c r="G131" t="s">
        <f>IF(R131&lt;720,"PVV-down",IF(R131=720,720,IF(R131&gt;720,"PVV-up")))</f>
        <v>81</v>
      </c>
      <c r="H131" s="40">
        <f>R131/(Y131/10000)</f>
        <v>0.013109110123580006</v>
      </c>
      <c r="I131">
        <v>54.700000000000003</v>
      </c>
      <c r="J131">
        <v>55.399999999999999</v>
      </c>
      <c r="K131">
        <v>55</v>
      </c>
      <c r="L131">
        <v>0.59999999999999998</v>
      </c>
      <c r="M131">
        <v>0.010999999999999999</v>
      </c>
      <c r="N131">
        <v>55.200000000000003</v>
      </c>
      <c r="O131">
        <v>55.299999999999997</v>
      </c>
      <c r="P131">
        <v>55.299999999999997</v>
      </c>
      <c r="Q131">
        <v>528</v>
      </c>
      <c r="R131">
        <v>5331</v>
      </c>
      <c r="S131">
        <v>6851</v>
      </c>
      <c r="T131" s="40">
        <f>((P131-K131)/K131)</f>
        <v>0.0054545454545454029</v>
      </c>
      <c r="U131" s="40">
        <f>((T131*AB131)*D4)</f>
        <v>0.043959145494674848</v>
      </c>
      <c r="V131" s="3">
        <f>IF(P131&lt;=N131,(P131*Q131*1000),0)</f>
        <v>0</v>
      </c>
      <c r="W131" s="3">
        <f>IF(P131&gt;=O131,(P131*Q131*1000),0)</f>
        <v>29198399.999999996</v>
      </c>
      <c r="X131">
        <v>3673</v>
      </c>
      <c r="Y131" s="3">
        <v>4066637590</v>
      </c>
      <c r="Z131" s="40">
        <f>((C4*AB131)/P131)/10</f>
        <v>0.013374360352700607</v>
      </c>
      <c r="AA131" s="40">
        <f>((M131*AB131)*C4)</f>
        <v>0.081356234025477786</v>
      </c>
      <c r="AB131" s="40">
        <f>AE131/AE323</f>
        <v>0.00063059912834032971</v>
      </c>
      <c r="AC131" s="40">
        <f>AF131/AF323</f>
        <v>0.00061796187531693773</v>
      </c>
      <c r="AD131" s="3">
        <f>IF(ISNA(J131),(I131*Y131)/10,(J131*Y131)/10)</f>
        <v>22529172248.599998</v>
      </c>
      <c r="AE131" s="3">
        <f>IF(ISNA(P131),(I131*Y131)/10,(P131*Y131)/10)</f>
        <v>22488505872.700001</v>
      </c>
      <c r="AF131" s="3">
        <f>(I131*Y131)/10</f>
        <v>22244507617.299999</v>
      </c>
      <c r="AG131">
        <f>IF(AND(P131&lt;=N131,L131&lt;0),IF(Q131&lt;10,"DBL10",IF(Q131&gt;=200,"DBM200",IF(Q131&gt;=150,"DBM150",IF(Q131&gt;=100,"DBM100",IF(Q131&gt;=50,"DBM50","DBM10-50"))))),0)</f>
        <v>0</v>
      </c>
      <c r="AH131">
        <f>IF(AND(P131&gt;=O131,L131&lt;0),IF(Q131&lt;10,"DAL10",IF(Q131&gt;=200,"DAM200",IF(Q131&gt;=150,"DAM150",IF(Q131&gt;=100,"DAM100",IF(Q131&gt;=50,"DAM50","DAM10-50"))))),0)</f>
        <v>0</v>
      </c>
      <c r="AI131" t="s">
        <f>IF(AND(P131&gt;=O131,L131&gt;0),IF(Q131&lt;10,"UAL10",IF(Q131&gt;=200,"UAM200",IF(Q131&gt;=150,"UAM150",IF(Q131&gt;=100,"UAM100",IF(Q131&gt;=50,"UAM50","UAM10-50"))))),0)</f>
        <v>31</v>
      </c>
      <c r="AJ131">
        <f>IF(AND(P131&lt;=N131,L131&gt;0),IF(Q131&lt;10,"UBL10",IF(Q131&gt;=200,"UBM200",IF(Q131&gt;=150,"UBM150",IF(Q131&gt;=100,"UBM100",IF(Q131&gt;=50,"UBM50","UBM10-50"))))),0)</f>
        <v>0</v>
      </c>
      <c r="AK131" t="s">
        <f>IF(Q131&lt;164,"down",IF(Q131=164,164,IF(Q131&gt;164,"up")))</f>
        <v>6</v>
      </c>
    </row>
    <row r="132" spans="1:37">
      <c r="A132">
        <f>IF(X132=5434,5434,"Error")</f>
        <v>5434</v>
      </c>
      <c r="B132" t="s">
        <f>IF(K132&lt;123.5,"down",IF(K132=123.5,"low",IF(K132=125,"high",IF(AND(K132&gt;123.5,K132&lt;125),"normal","up"))))</f>
        <v>82</v>
      </c>
      <c r="C132" t="s">
        <f>IF(K132&lt;123.5,"down",IF(K132=123.5,"low",IF(K132=125,"high",IF(AND(K132&gt;123.5,K132&lt;125),"normal","up"))))</f>
        <v>82</v>
      </c>
      <c r="D132" t="s">
        <f>IF(K132&lt;123.5,"down",IF(K132=123.5,"low",IF(K132=125,"high",IF(AND(K132&gt;123.5,K132&lt;125),"normal","up"))))</f>
        <v>82</v>
      </c>
      <c r="E132" t="s">
        <f>IF(K132&lt;118,"down",IF(K132=118,"low",IF(K132=130,"high",IF(AND(K132&gt;118,K132&lt;130),"normal","up"))))</f>
        <v>79</v>
      </c>
      <c r="F132" t="s">
        <f>IF(P132&lt;124,"PVP-down",IF(P132=124,124,IF(P132&gt;124,"PVP-up")))</f>
        <v>80</v>
      </c>
      <c r="G132" t="s">
        <f>IF(R132&lt;424,"PVV-down",IF(R132=424,424,IF(R132&gt;424,"PVV-up")))</f>
        <v>81</v>
      </c>
      <c r="H132" s="40">
        <f>R132/(Y132/10000)</f>
        <v>0.0067418982897190938</v>
      </c>
      <c r="I132">
        <v>124</v>
      </c>
      <c r="J132">
        <v>122</v>
      </c>
      <c r="K132">
        <v>123.5</v>
      </c>
      <c r="L132">
        <v>-2</v>
      </c>
      <c r="M132">
        <v>-0.0161</v>
      </c>
      <c r="N132">
        <v>121.5</v>
      </c>
      <c r="O132">
        <v>122</v>
      </c>
      <c r="P132">
        <v>122</v>
      </c>
      <c r="Q132">
        <v>85</v>
      </c>
      <c r="R132">
        <v>1225</v>
      </c>
      <c r="S132">
        <v>896</v>
      </c>
      <c r="T132" s="40">
        <f>((P132-K132)/K132)</f>
        <v>-0.012145748987854251</v>
      </c>
      <c r="U132" s="40">
        <f>((T132*AB132)*D4)</f>
        <v>-0.096486843495880867</v>
      </c>
      <c r="V132" s="3">
        <f>IF(P132&lt;=N132,(P132*Q132*1000),0)</f>
        <v>0</v>
      </c>
      <c r="W132" s="3">
        <f>IF(P132&gt;=O132,(P132*Q132*1000),0)</f>
        <v>10370000</v>
      </c>
      <c r="X132">
        <v>5434</v>
      </c>
      <c r="Y132" s="3">
        <v>1816995670</v>
      </c>
      <c r="Z132" s="40">
        <f>((C4*AB132)/P132)/10</f>
        <v>0.0059757365420597197</v>
      </c>
      <c r="AA132" s="40">
        <f>((M132*AB132)*C4)</f>
        <v>-0.11737541715913702</v>
      </c>
      <c r="AB132" s="40">
        <f>AE132/AE323</f>
        <v>0.00062159353247702301</v>
      </c>
      <c r="AC132" s="40">
        <f>AF132/AF323</f>
        <v>0.00062591370779335861</v>
      </c>
      <c r="AD132" s="3">
        <f>IF(ISNA(J132),(I132*Y132)/10,(J132*Y132)/10)</f>
        <v>22167347174</v>
      </c>
      <c r="AE132" s="3">
        <f>IF(ISNA(P132),(I132*Y132)/10,(P132*Y132)/10)</f>
        <v>22167347174</v>
      </c>
      <c r="AF132" s="3">
        <f>(I132*Y132)/10</f>
        <v>22530746308</v>
      </c>
      <c r="AG132">
        <f>IF(AND(P132&lt;=N132,L132&lt;0),IF(Q132&lt;10,"DBL10",IF(Q132&gt;=200,"DBM200",IF(Q132&gt;=150,"DBM150",IF(Q132&gt;=100,"DBM100",IF(Q132&gt;=50,"DBM50","DBM10-50"))))),0)</f>
        <v>0</v>
      </c>
      <c r="AH132" t="s">
        <f>IF(AND(P132&gt;=O132,L132&lt;0),IF(Q132&lt;10,"DAL10",IF(Q132&gt;=200,"DAM200",IF(Q132&gt;=150,"DAM150",IF(Q132&gt;=100,"DAM100",IF(Q132&gt;=50,"DAM50","DAM10-50"))))),0)</f>
        <v>23</v>
      </c>
      <c r="AI132">
        <f>IF(AND(P132&gt;=O132,L132&gt;0),IF(Q132&lt;10,"UAL10",IF(Q132&gt;=200,"UAM200",IF(Q132&gt;=150,"UAM150",IF(Q132&gt;=100,"UAM100",IF(Q132&gt;=50,"UAM50","UAM10-50"))))),0)</f>
        <v>0</v>
      </c>
      <c r="AJ132">
        <f>IF(AND(P132&lt;=N132,L132&gt;0),IF(Q132&lt;10,"UBL10",IF(Q132&gt;=200,"UBM200",IF(Q132&gt;=150,"UBM150",IF(Q132&gt;=100,"UBM100",IF(Q132&gt;=50,"UBM50","UBM10-50"))))),0)</f>
        <v>0</v>
      </c>
      <c r="AK132" t="s">
        <f>IF(Q132&lt;31,"down",IF(Q132=31,31,IF(Q132&gt;31,"up")))</f>
        <v>6</v>
      </c>
    </row>
    <row r="133" spans="1:37">
      <c r="A133">
        <f>IF(X133=3682,3682,"Error")</f>
        <v>3682</v>
      </c>
      <c r="B133" t="s">
        <f>IF(K133&lt;7.0999999999999996,"down",IF(K133=7.0999999999999996,"low",IF(K133=7.2699999999999996,"high",IF(AND(K133&gt;7.0999999999999996,K133&lt;7.2699999999999996),"normal","up"))))</f>
        <v>79</v>
      </c>
      <c r="C133" t="s">
        <f>IF(K133&lt;7.0999999999999996,"down",IF(K133=7.0999999999999996,"low",IF(K133=7.2699999999999996,"high",IF(AND(K133&gt;7.0999999999999996,K133&lt;7.2699999999999996),"normal","up"))))</f>
        <v>79</v>
      </c>
      <c r="D133" t="s">
        <f>IF(K133&lt;7.0999999999999996,"down",IF(K133=7.0999999999999996,"low",IF(K133=7.2699999999999996,"high",IF(AND(K133&gt;7.0999999999999996,K133&lt;7.2699999999999996),"normal","up"))))</f>
        <v>79</v>
      </c>
      <c r="E133" t="s">
        <f>IF(K133&lt;7.0899999999999999,"down",IF(K133=7.0899999999999999,"low",IF(K133=7.3700000000000001,"high",IF(AND(K133&gt;7.0899999999999999,K133&lt;7.3700000000000001),"normal","up"))))</f>
        <v>79</v>
      </c>
      <c r="F133" t="s">
        <f>IF(P133&lt;7.1500000000000004,"PVP-down",IF(P133=7.1500000000000004,7.1500000000000004,IF(P133&gt;7.1500000000000004,"PVP-up")))</f>
        <v>80</v>
      </c>
      <c r="G133" t="s">
        <f>IF(R133&lt;640,"PVV-down",IF(R133=640,640,IF(R133&gt;640,"PVV-up")))</f>
        <v>81</v>
      </c>
      <c r="H133" s="40">
        <f>R133/(Y133/10000)</f>
        <v>0.00098815979208933548</v>
      </c>
      <c r="I133">
        <v>7.2199999999999998</v>
      </c>
      <c r="J133">
        <v>7.1100000000000003</v>
      </c>
      <c r="K133">
        <v>7.2199999999999998</v>
      </c>
      <c r="L133">
        <v>-0.11</v>
      </c>
      <c r="M133">
        <v>-0.0152</v>
      </c>
      <c r="N133">
        <v>7.1100000000000003</v>
      </c>
      <c r="O133">
        <v>7.1200000000000001</v>
      </c>
      <c r="P133">
        <v>7.1100000000000003</v>
      </c>
      <c r="Q133">
        <v>135</v>
      </c>
      <c r="R133">
        <v>3772</v>
      </c>
      <c r="S133">
        <v>4721</v>
      </c>
      <c r="T133" s="40">
        <f>((P133-K133)/K133)</f>
        <v>-0.015235457063711834</v>
      </c>
      <c r="U133" s="40">
        <f>((T133*AB133)*D4)</f>
        <v>-0.14818343855820224</v>
      </c>
      <c r="V133" s="3">
        <f>IF(P133&lt;=N133,(P133*Q133*1000),0)</f>
        <v>959850</v>
      </c>
      <c r="W133" s="3">
        <f>IF(P133&gt;=O133,(P133*Q133*1000),0)</f>
        <v>0</v>
      </c>
      <c r="X133">
        <v>3682</v>
      </c>
      <c r="Y133" s="3">
        <v>38171963990</v>
      </c>
      <c r="Z133" s="40">
        <f>((C4*AB133)/P133)/10</f>
        <v>0.12553998001394837</v>
      </c>
      <c r="AA133" s="40">
        <f>((M133*AB133)*C4)</f>
        <v>-0.13567356720067431</v>
      </c>
      <c r="AB133" s="40">
        <f>AE133/AE323</f>
        <v>0.0007610389249371848</v>
      </c>
      <c r="AC133" s="40">
        <f>AF133/AF323</f>
        <v>0.00076563290207186537</v>
      </c>
      <c r="AD133" s="3">
        <f>IF(ISNA(J133),(I133*Y133)/10,(J133*Y133)/10)</f>
        <v>27140266396.890003</v>
      </c>
      <c r="AE133" s="3">
        <f>IF(ISNA(P133),(I133*Y133)/10,(P133*Y133)/10)</f>
        <v>27140266396.890003</v>
      </c>
      <c r="AF133" s="3">
        <f>(I133*Y133)/10</f>
        <v>27560158000.779999</v>
      </c>
      <c r="AG133" t="s">
        <f>IF(AND(P133&lt;=N133,L133&lt;0),IF(Q133&lt;10,"DBL10",IF(Q133&gt;=200,"DBM200",IF(Q133&gt;=150,"DBM150",IF(Q133&gt;=100,"DBM100",IF(Q133&gt;=50,"DBM50","DBM10-50"))))),0)</f>
        <v>14</v>
      </c>
      <c r="AH133">
        <f>IF(AND(P133&gt;=O133,L133&lt;0),IF(Q133&lt;10,"DAL10",IF(Q133&gt;=200,"DAM200",IF(Q133&gt;=150,"DAM150",IF(Q133&gt;=100,"DAM100",IF(Q133&gt;=50,"DAM50","DAM10-50"))))),0)</f>
        <v>0</v>
      </c>
      <c r="AI133">
        <f>IF(AND(P133&gt;=O133,L133&gt;0),IF(Q133&lt;10,"UAL10",IF(Q133&gt;=200,"UAM200",IF(Q133&gt;=150,"UAM150",IF(Q133&gt;=100,"UAM100",IF(Q133&gt;=50,"UAM50","UAM10-50"))))),0)</f>
        <v>0</v>
      </c>
      <c r="AJ133">
        <f>IF(AND(P133&lt;=N133,L133&gt;0),IF(Q133&lt;10,"UBL10",IF(Q133&gt;=200,"UBM200",IF(Q133&gt;=150,"UBM150",IF(Q133&gt;=100,"UBM100",IF(Q133&gt;=50,"UBM50","UBM10-50"))))),0)</f>
        <v>0</v>
      </c>
      <c r="AK133" t="s">
        <f>IF(Q133&lt;101,"down",IF(Q133=101,101,IF(Q133&gt;101,"up")))</f>
        <v>6</v>
      </c>
    </row>
    <row r="134" spans="1:37">
      <c r="A134">
        <f>IF(X134=2392,2392,"Error")</f>
        <v>2392</v>
      </c>
      <c r="B134" t="s">
        <f>IF(K134&lt;40.75,"down",IF(K134=40.75,"low",IF(K134=41.399999999999999,"high",IF(AND(K134&gt;40.75,K134&lt;41.399999999999999),"normal","up"))))</f>
        <v>79</v>
      </c>
      <c r="C134" t="s">
        <f>IF(K134&lt;40.75,"down",IF(K134=40.75,"low",IF(K134=41.399999999999999,"high",IF(AND(K134&gt;40.75,K134&lt;41.399999999999999),"normal","up"))))</f>
        <v>79</v>
      </c>
      <c r="D134" t="s">
        <f>IF(K134&lt;40.75,"down",IF(K134=40.75,"low",IF(K134=41.399999999999999,"high",IF(AND(K134&gt;40.75,K134&lt;41.399999999999999),"normal","up"))))</f>
        <v>79</v>
      </c>
      <c r="E134" t="s">
        <f>IF(K134&lt;40,"down",IF(K134=40,"low",IF(K134=41.899999999999999,"high",IF(AND(K134&gt;40,K134&lt;41.899999999999999),"normal","up"))))</f>
        <v>79</v>
      </c>
      <c r="F134" t="s">
        <f>IF(P134&lt;41,"PVP-down",IF(P134=41,41,IF(P134&gt;41,"PVP-up")))</f>
        <v>80</v>
      </c>
      <c r="G134" t="s">
        <f>IF(R134&lt;421,"PVV-down",IF(R134=421,421,IF(R134&gt;421,"PVV-up")))</f>
        <v>81</v>
      </c>
      <c r="H134" s="40">
        <f>R134/(Y134/10000)</f>
        <v>0.0076572198213898336</v>
      </c>
      <c r="I134">
        <v>41</v>
      </c>
      <c r="J134">
        <v>40</v>
      </c>
      <c r="K134">
        <v>41.049999999999997</v>
      </c>
      <c r="L134">
        <v>-1</v>
      </c>
      <c r="M134">
        <v>-0.024400000000000002</v>
      </c>
      <c r="N134">
        <v>40</v>
      </c>
      <c r="O134">
        <v>40.049999999999997</v>
      </c>
      <c r="P134">
        <v>40</v>
      </c>
      <c r="Q134">
        <v>202</v>
      </c>
      <c r="R134">
        <v>3923</v>
      </c>
      <c r="S134">
        <v>2550</v>
      </c>
      <c r="T134" s="40">
        <f>((P134-K134)/K134)</f>
        <v>-0.025578562728379956</v>
      </c>
      <c r="U134" s="40">
        <f>((T134*AB134)*D4)</f>
        <v>-0.1878509504104969</v>
      </c>
      <c r="V134" s="3">
        <f>IF(P134&lt;=N134,(P134*Q134*1000),0)</f>
        <v>8080000</v>
      </c>
      <c r="W134" s="3">
        <f>IF(P134&gt;=O134,(P134*Q134*1000),0)</f>
        <v>0</v>
      </c>
      <c r="X134">
        <v>2392</v>
      </c>
      <c r="Y134" s="3">
        <v>5123269400</v>
      </c>
      <c r="Z134" s="40">
        <f>((C4*AB134)/P134)/10</f>
        <v>0.016849411737121185</v>
      </c>
      <c r="AA134" s="40">
        <f>((M134*AB134)*C4)</f>
        <v>-0.16445025855430279</v>
      </c>
      <c r="AB134" s="40">
        <f>AE134/AE323</f>
        <v>0.00057464541862954773</v>
      </c>
      <c r="AC134" s="40">
        <f>AF134/AF323</f>
        <v>0.00058353906522228851</v>
      </c>
      <c r="AD134" s="3">
        <f>IF(ISNA(J134),(I134*Y134)/10,(J134*Y134)/10)</f>
        <v>20493077600</v>
      </c>
      <c r="AE134" s="3">
        <f>IF(ISNA(P134),(I134*Y134)/10,(P134*Y134)/10)</f>
        <v>20493077600</v>
      </c>
      <c r="AF134" s="3">
        <f>(I134*Y134)/10</f>
        <v>21005404540</v>
      </c>
      <c r="AG134" t="s">
        <f>IF(AND(P134&lt;=N134,L134&lt;0),IF(Q134&lt;10,"DBL10",IF(Q134&gt;=200,"DBM200",IF(Q134&gt;=150,"DBM150",IF(Q134&gt;=100,"DBM100",IF(Q134&gt;=50,"DBM50","DBM10-50"))))),0)</f>
        <v>16</v>
      </c>
      <c r="AH134">
        <f>IF(AND(P134&gt;=O134,L134&lt;0),IF(Q134&lt;10,"DAL10",IF(Q134&gt;=200,"DAM200",IF(Q134&gt;=150,"DAM150",IF(Q134&gt;=100,"DAM100",IF(Q134&gt;=50,"DAM50","DAM10-50"))))),0)</f>
        <v>0</v>
      </c>
      <c r="AI134">
        <f>IF(AND(P134&gt;=O134,L134&gt;0),IF(Q134&lt;10,"UAL10",IF(Q134&gt;=200,"UAM200",IF(Q134&gt;=150,"UAM150",IF(Q134&gt;=100,"UAM100",IF(Q134&gt;=50,"UAM50","UAM10-50"))))),0)</f>
        <v>0</v>
      </c>
      <c r="AJ134">
        <f>IF(AND(P134&lt;=N134,L134&gt;0),IF(Q134&lt;10,"UBL10",IF(Q134&gt;=200,"UBM200",IF(Q134&gt;=150,"UBM150",IF(Q134&gt;=100,"UBM100",IF(Q134&gt;=50,"UBM50","UBM10-50"))))),0)</f>
        <v>0</v>
      </c>
      <c r="AK134" t="s">
        <f>IF(Q134&lt;39,"down",IF(Q134=39,39,IF(Q134&gt;39,"up")))</f>
        <v>6</v>
      </c>
    </row>
    <row r="135" spans="1:37">
      <c r="A135">
        <f>IF(X135=3515,3515,"Error")</f>
        <v>3515</v>
      </c>
      <c r="B135" t="s">
        <f>IF(K135&lt;173.5,"down",IF(K135=173.5,"low",IF(K135=183,"high",IF(AND(K135&gt;173.5,K135&lt;183),"normal","up"))))</f>
        <v>79</v>
      </c>
      <c r="C135" t="s">
        <f>IF(K135&lt;173.5,"down",IF(K135=173.5,"low",IF(K135=183,"high",IF(AND(K135&gt;173.5,K135&lt;183),"normal","up"))))</f>
        <v>79</v>
      </c>
      <c r="D135" t="s">
        <f>IF(K135&lt;173.5,"down",IF(K135=173.5,"low",IF(K135=183,"high",IF(AND(K135&gt;173.5,K135&lt;183),"normal","up"))))</f>
        <v>79</v>
      </c>
      <c r="E135" t="s">
        <f>IF(K135&lt;159.5,"down",IF(K135=159.5,"low",IF(K135=189,"high",IF(AND(K135&gt;159.5,K135&lt;189),"normal","up"))))</f>
        <v>79</v>
      </c>
      <c r="F135" t="s">
        <f>IF(P135&lt;174.5,"PVP-down",IF(P135=174.5,174.5,IF(P135&gt;174.5,"PVP-up")))</f>
        <v>80</v>
      </c>
      <c r="G135" t="s">
        <f>IF(R135&lt;272,"PVV-down",IF(R135=272,272,IF(R135&gt;272,"PVV-up")))</f>
        <v>81</v>
      </c>
      <c r="H135" s="40">
        <f>R135/(Y135/10000)</f>
        <v>0.011571385055584383</v>
      </c>
      <c r="I135">
        <v>173.5</v>
      </c>
      <c r="J135">
        <v>172</v>
      </c>
      <c r="K135">
        <v>174.5</v>
      </c>
      <c r="L135">
        <v>-1.5</v>
      </c>
      <c r="M135">
        <v>-0.0086</v>
      </c>
      <c r="N135">
        <v>172</v>
      </c>
      <c r="O135">
        <v>172.5</v>
      </c>
      <c r="P135">
        <v>172</v>
      </c>
      <c r="Q135">
        <v>82</v>
      </c>
      <c r="R135">
        <v>1396</v>
      </c>
      <c r="S135">
        <v>2268</v>
      </c>
      <c r="T135" s="40">
        <f>((P135-K135)/K135)</f>
        <v>-0.014326647564469915</v>
      </c>
      <c r="U135" s="40">
        <f>((T135*AB135)*D4)</f>
        <v>-0.10653766434847207</v>
      </c>
      <c r="V135" s="3">
        <f>IF(P135&lt;=N135,(P135*Q135*1000),0)</f>
        <v>14104000</v>
      </c>
      <c r="W135" s="3">
        <f>IF(P135&gt;=O135,(P135*Q135*1000),0)</f>
        <v>0</v>
      </c>
      <c r="X135">
        <v>3515</v>
      </c>
      <c r="Y135" s="3">
        <v>1206424290</v>
      </c>
      <c r="Z135" s="40">
        <f>((C4*AB135)/P135)/10</f>
        <v>0.0039676889901347169</v>
      </c>
      <c r="AA135" s="40">
        <f>((M135*AB135)*C4)</f>
        <v>-0.058690055542072732</v>
      </c>
      <c r="AB135" s="40">
        <f>AE135/AE323</f>
        <v>0.00058186372593234924</v>
      </c>
      <c r="AC135" s="40">
        <f>AF135/AF323</f>
        <v>0.0005814848942430268</v>
      </c>
      <c r="AD135" s="3">
        <f>IF(ISNA(J135),(I135*Y135)/10,(J135*Y135)/10)</f>
        <v>20750497788</v>
      </c>
      <c r="AE135" s="3">
        <f>IF(ISNA(P135),(I135*Y135)/10,(P135*Y135)/10)</f>
        <v>20750497788</v>
      </c>
      <c r="AF135" s="3">
        <f>(I135*Y135)/10</f>
        <v>20931461431.5</v>
      </c>
      <c r="AG135" t="s">
        <f>IF(AND(P135&lt;=N135,L135&lt;0),IF(Q135&lt;10,"DBL10",IF(Q135&gt;=200,"DBM200",IF(Q135&gt;=150,"DBM150",IF(Q135&gt;=100,"DBM100",IF(Q135&gt;=50,"DBM50","DBM10-50"))))),0)</f>
        <v>13</v>
      </c>
      <c r="AH135">
        <f>IF(AND(P135&gt;=O135,L135&lt;0),IF(Q135&lt;10,"DAL10",IF(Q135&gt;=200,"DAM200",IF(Q135&gt;=150,"DAM150",IF(Q135&gt;=100,"DAM100",IF(Q135&gt;=50,"DAM50","DAM10-50"))))),0)</f>
        <v>0</v>
      </c>
      <c r="AI135">
        <f>IF(AND(P135&gt;=O135,L135&gt;0),IF(Q135&lt;10,"UAL10",IF(Q135&gt;=200,"UAM200",IF(Q135&gt;=150,"UAM150",IF(Q135&gt;=100,"UAM100",IF(Q135&gt;=50,"UAM50","UAM10-50"))))),0)</f>
        <v>0</v>
      </c>
      <c r="AJ135">
        <f>IF(AND(P135&lt;=N135,L135&gt;0),IF(Q135&lt;10,"UBL10",IF(Q135&gt;=200,"UBM200",IF(Q135&gt;=150,"UBM150",IF(Q135&gt;=100,"UBM100",IF(Q135&gt;=50,"UBM50","UBM10-50"))))),0)</f>
        <v>0</v>
      </c>
      <c r="AK135" t="s">
        <f>IF(Q135&lt;76,"down",IF(Q135=76,76,IF(Q135&gt;76,"up")))</f>
        <v>6</v>
      </c>
    </row>
    <row r="136" spans="1:37">
      <c r="A136">
        <f>IF(X136=2373,2373,"Error")</f>
        <v>2373</v>
      </c>
      <c r="B136" t="s">
        <f>IF(K136&lt;83,"down",IF(K136=83,"low",IF(K136=83.299999999999997,"high",IF(AND(K136&gt;83,K136&lt;83.299999999999997),"normal","up"))))</f>
        <v>6</v>
      </c>
      <c r="C136" t="s">
        <f>IF(K136&lt;83,"down",IF(K136=83,"low",IF(K136=83.299999999999997,"high",IF(AND(K136&gt;83,K136&lt;83.299999999999997),"normal","up"))))</f>
        <v>6</v>
      </c>
      <c r="D136" t="s">
        <f>IF(K136&lt;83,"down",IF(K136=83,"low",IF(K136=83.299999999999997,"high",IF(AND(K136&gt;83,K136&lt;83.299999999999997),"normal","up"))))</f>
        <v>6</v>
      </c>
      <c r="E136" t="s">
        <f>IF(K136&lt;83,"down",IF(K136=83,"low",IF(K136=87.200000000000003,"high",IF(AND(K136&gt;83,K136&lt;87.200000000000003),"normal","up"))))</f>
        <v>79</v>
      </c>
      <c r="F136" t="s">
        <f>IF(P136&lt;83.200000000000003,"PVP-down",IF(P136=83.200000000000003,83.200000000000003,IF(P136&gt;83.200000000000003,"PVP-up")))</f>
        <v>83</v>
      </c>
      <c r="G136" t="s">
        <f>IF(R136&lt;17,"PVV-down",IF(R136=17,17,IF(R136&gt;17,"PVV-up")))</f>
        <v>87</v>
      </c>
      <c r="H136" s="40">
        <f>R136/(Y136/10000)</f>
        <v>5.9271171698516775e-05</v>
      </c>
      <c r="I136">
        <v>83.200000000000003</v>
      </c>
      <c r="J136">
        <v>83.5</v>
      </c>
      <c r="K136">
        <v>84</v>
      </c>
      <c r="L136">
        <v>0.29999999999999999</v>
      </c>
      <c r="M136">
        <v>0.0035999999999999999</v>
      </c>
      <c r="N136">
        <v>83.5</v>
      </c>
      <c r="O136">
        <v>83.700000000000003</v>
      </c>
      <c r="P136">
        <v>83.5</v>
      </c>
      <c r="Q136">
        <v>2</v>
      </c>
      <c r="R136">
        <v>14</v>
      </c>
      <c r="S136">
        <v>40</v>
      </c>
      <c r="T136" s="40">
        <f>((P136-K136)/K136)</f>
        <v>-0.0059523809523809521</v>
      </c>
      <c r="U136" s="40">
        <f>((T136*AB136)*D4)</f>
        <v>-0.042071867617566872</v>
      </c>
      <c r="V136" s="3">
        <f>IF(P136&lt;=N136,(P136*Q136*1000),0)</f>
        <v>167000</v>
      </c>
      <c r="W136" s="3">
        <f>IF(P136&gt;=O136,(P136*Q136*1000),0)</f>
        <v>0</v>
      </c>
      <c r="X136">
        <v>2373</v>
      </c>
      <c r="Y136" s="3">
        <v>2362025180</v>
      </c>
      <c r="Z136" s="40">
        <f>((C4*AB136)/P136)/10</f>
        <v>0.0077682299492718042</v>
      </c>
      <c r="AA136" s="40">
        <f>((M136*AB136)*C4)</f>
        <v>0.02335129922751104</v>
      </c>
      <c r="AB136" s="40">
        <f>AE136/AE323</f>
        <v>0.00055304919251992612</v>
      </c>
      <c r="AC136" s="40">
        <f>AF136/AF323</f>
        <v>0.00054594228698114121</v>
      </c>
      <c r="AD136" s="3">
        <f>IF(ISNA(J136),(I136*Y136)/10,(J136*Y136)/10)</f>
        <v>19722910253</v>
      </c>
      <c r="AE136" s="3">
        <f>IF(ISNA(P136),(I136*Y136)/10,(P136*Y136)/10)</f>
        <v>19722910253</v>
      </c>
      <c r="AF136" s="3">
        <f>(I136*Y136)/10</f>
        <v>19652049497.599998</v>
      </c>
      <c r="AG136">
        <f>IF(AND(P136&lt;=N136,L136&lt;0),IF(Q136&lt;10,"DBL10",IF(Q136&gt;=200,"DBM200",IF(Q136&gt;=150,"DBM150",IF(Q136&gt;=100,"DBM100",IF(Q136&gt;=50,"DBM50","DBM10-50"))))),0)</f>
        <v>0</v>
      </c>
      <c r="AH136">
        <f>IF(AND(P136&gt;=O136,L136&lt;0),IF(Q136&lt;10,"DAL10",IF(Q136&gt;=200,"DAM200",IF(Q136&gt;=150,"DAM150",IF(Q136&gt;=100,"DAM100",IF(Q136&gt;=50,"DAM50","DAM10-50"))))),0)</f>
        <v>0</v>
      </c>
      <c r="AI136">
        <f>IF(AND(P136&gt;=O136,L136&gt;0),IF(Q136&lt;10,"UAL10",IF(Q136&gt;=200,"UAM200",IF(Q136&gt;=150,"UAM150",IF(Q136&gt;=100,"UAM100",IF(Q136&gt;=50,"UAM50","UAM10-50"))))),0)</f>
        <v>0</v>
      </c>
      <c r="AJ136" t="s">
        <f>IF(AND(P136&lt;=N136,L136&gt;0),IF(Q136&lt;10,"UBL10",IF(Q136&gt;=200,"UBM200",IF(Q136&gt;=150,"UBM150",IF(Q136&gt;=100,"UBM100",IF(Q136&gt;=50,"UBM50","UBM10-50"))))),0)</f>
        <v>86</v>
      </c>
      <c r="AK136" t="s">
        <f>IF(Q136&lt;4,"down",IF(Q136=4,4,IF(Q136&gt;4,"up")))</f>
        <v>7</v>
      </c>
    </row>
    <row r="137" spans="1:37">
      <c r="A137">
        <f>IF(X137=5388,5388,"Error")</f>
        <v>5388</v>
      </c>
      <c r="B137" t="s">
        <f>IF(K137&lt;80.200000000000003,"down",IF(K137=80.200000000000003,"low",IF(K137=81.200000000000003,"high",IF(AND(K137&gt;80.200000000000003,K137&lt;81.200000000000003),"normal","up"))))</f>
        <v>79</v>
      </c>
      <c r="C137" t="s">
        <f>IF(K137&lt;80.200000000000003,"down",IF(K137=80.200000000000003,"low",IF(K137=81.200000000000003,"high",IF(AND(K137&gt;80.200000000000003,K137&lt;81.200000000000003),"normal","up"))))</f>
        <v>79</v>
      </c>
      <c r="D137" t="s">
        <f>IF(K137&lt;80.200000000000003,"down",IF(K137=80.200000000000003,"low",IF(K137=81.200000000000003,"high",IF(AND(K137&gt;80.200000000000003,K137&lt;81.200000000000003),"normal","up"))))</f>
        <v>79</v>
      </c>
      <c r="E137" t="s">
        <f>IF(K137&lt;79.200000000000003,"down",IF(K137=79.200000000000003,"low",IF(K137=83.400000000000006,"high",IF(AND(K137&gt;79.200000000000003,K137&lt;83.400000000000006),"normal","up"))))</f>
        <v>79</v>
      </c>
      <c r="F137" t="s">
        <f>IF(P137&lt;81,"PVP-down",IF(P137=81,81,IF(P137&gt;81,"PVP-up")))</f>
        <v>83</v>
      </c>
      <c r="G137" t="s">
        <f>IF(R137&lt;149,"PVV-down",IF(R137=149,149,IF(R137&gt;149,"PVV-up")))</f>
        <v>81</v>
      </c>
      <c r="H137" s="40">
        <f>R137/(Y137/10000)</f>
        <v>0.0039669989532864474</v>
      </c>
      <c r="I137">
        <v>80.5</v>
      </c>
      <c r="J137">
        <v>81.299999999999997</v>
      </c>
      <c r="K137">
        <v>81</v>
      </c>
      <c r="L137">
        <v>0.80000000000000004</v>
      </c>
      <c r="M137">
        <v>0.0099000000000000008</v>
      </c>
      <c r="N137">
        <v>81.200000000000003</v>
      </c>
      <c r="O137">
        <v>81.299999999999997</v>
      </c>
      <c r="P137">
        <v>81.299999999999997</v>
      </c>
      <c r="Q137">
        <v>39</v>
      </c>
      <c r="R137">
        <v>988</v>
      </c>
      <c r="S137">
        <v>792</v>
      </c>
      <c r="T137" s="40">
        <f>((P137-K137)/K137)</f>
        <v>0.0037037037037036687</v>
      </c>
      <c r="U137" s="40">
        <f>((T137*AB137)*D4)</f>
        <v>0.0268752006031324</v>
      </c>
      <c r="V137" s="3">
        <f>IF(P137&lt;=N137,(P137*Q137*1000),0)</f>
        <v>0</v>
      </c>
      <c r="W137" s="3">
        <f>IF(P137&gt;=O137,(P137*Q137*1000),0)</f>
        <v>3170700</v>
      </c>
      <c r="X137">
        <v>5388</v>
      </c>
      <c r="Y137" s="3">
        <v>2490547670</v>
      </c>
      <c r="Z137" s="40">
        <f>((C4*AB137)/P137)/10</f>
        <v>0.0081909147980306907</v>
      </c>
      <c r="AA137" s="40">
        <f>((M137*AB137)*C4)</f>
        <v>0.065926215934909632</v>
      </c>
      <c r="AB137" s="40">
        <f>AE137/AE323</f>
        <v>0.00056777748709884726</v>
      </c>
      <c r="AC137" s="40">
        <f>AF137/AF323</f>
        <v>0.00055696720549372274</v>
      </c>
      <c r="AD137" s="3">
        <f>IF(ISNA(J137),(I137*Y137)/10,(J137*Y137)/10)</f>
        <v>20248152557.099998</v>
      </c>
      <c r="AE137" s="3">
        <f>IF(ISNA(P137),(I137*Y137)/10,(P137*Y137)/10)</f>
        <v>20248152557.099998</v>
      </c>
      <c r="AF137" s="3">
        <f>(I137*Y137)/10</f>
        <v>20048908743.5</v>
      </c>
      <c r="AG137">
        <f>IF(AND(P137&lt;=N137,L137&lt;0),IF(Q137&lt;10,"DBL10",IF(Q137&gt;=200,"DBM200",IF(Q137&gt;=150,"DBM150",IF(Q137&gt;=100,"DBM100",IF(Q137&gt;=50,"DBM50","DBM10-50"))))),0)</f>
        <v>0</v>
      </c>
      <c r="AH137">
        <f>IF(AND(P137&gt;=O137,L137&lt;0),IF(Q137&lt;10,"DAL10",IF(Q137&gt;=200,"DAM200",IF(Q137&gt;=150,"DAM150",IF(Q137&gt;=100,"DAM100",IF(Q137&gt;=50,"DAM50","DAM10-50"))))),0)</f>
        <v>0</v>
      </c>
      <c r="AI137" t="s">
        <f>IF(AND(P137&gt;=O137,L137&gt;0),IF(Q137&lt;10,"UAL10",IF(Q137&gt;=200,"UAM200",IF(Q137&gt;=150,"UAM150",IF(Q137&gt;=100,"UAM100",IF(Q137&gt;=50,"UAM50","UAM10-50"))))),0)</f>
        <v>27</v>
      </c>
      <c r="AJ137">
        <f>IF(AND(P137&lt;=N137,L137&gt;0),IF(Q137&lt;10,"UBL10",IF(Q137&gt;=200,"UBM200",IF(Q137&gt;=150,"UBM150",IF(Q137&gt;=100,"UBM100",IF(Q137&gt;=50,"UBM50","UBM10-50"))))),0)</f>
        <v>0</v>
      </c>
      <c r="AK137" t="s">
        <f>IF(Q137&lt;19,"down",IF(Q137=19,19,IF(Q137&gt;19,"up")))</f>
        <v>6</v>
      </c>
    </row>
    <row r="138" spans="1:37">
      <c r="A138">
        <f>IF(X138=3016,3016,"Error")</f>
        <v>3016</v>
      </c>
      <c r="B138" t="s">
        <f>IF(K138&lt;69.400000000000006,"down",IF(K138=69.400000000000006,"low",IF(K138=72.799999999999997,"high",IF(AND(K138&gt;69.400000000000006,K138&lt;72.799999999999997),"normal","up"))))</f>
        <v>79</v>
      </c>
      <c r="C138" t="s">
        <f>IF(K138&lt;69.400000000000006,"down",IF(K138=69.400000000000006,"low",IF(K138=72.799999999999997,"high",IF(AND(K138&gt;69.400000000000006,K138&lt;72.799999999999997),"normal","up"))))</f>
        <v>79</v>
      </c>
      <c r="D138" t="s">
        <f>IF(K138&lt;69.400000000000006,"down",IF(K138=69.400000000000006,"low",IF(K138=72.799999999999997,"high",IF(AND(K138&gt;69.400000000000006,K138&lt;72.799999999999997),"normal","up"))))</f>
        <v>79</v>
      </c>
      <c r="E138" t="s">
        <f>IF(K138&lt;69.400000000000006,"down",IF(K138=69.400000000000006,"low",IF(K138=76.200000000000003,"high",IF(AND(K138&gt;69.400000000000006,K138&lt;76.200000000000003),"normal","up"))))</f>
        <v>79</v>
      </c>
      <c r="F138" t="s">
        <f>IF(P138&lt;69.799999999999997,"PVP-down",IF(P138=69.799999999999997,69.799999999999997,IF(P138&gt;69.799999999999997,"PVP-up")))</f>
        <v>80</v>
      </c>
      <c r="G138" t="s">
        <f>IF(R138&lt;472,"PVV-down",IF(R138=472,472,IF(R138&gt;472,"PVV-up")))</f>
        <v>81</v>
      </c>
      <c r="H138" s="40">
        <f>R138/(Y138/10000)</f>
        <v>0.024398571122007925</v>
      </c>
      <c r="I138">
        <v>69.799999999999997</v>
      </c>
      <c r="J138">
        <v>68.599999999999994</v>
      </c>
      <c r="K138">
        <v>69.799999999999997</v>
      </c>
      <c r="L138">
        <v>-1.2</v>
      </c>
      <c r="M138">
        <v>-0.0172</v>
      </c>
      <c r="N138">
        <v>68.599999999999994</v>
      </c>
      <c r="O138">
        <v>68.700000000000003</v>
      </c>
      <c r="P138">
        <v>68.599999999999994</v>
      </c>
      <c r="Q138">
        <v>325</v>
      </c>
      <c r="R138">
        <v>6695</v>
      </c>
      <c r="S138">
        <v>6093</v>
      </c>
      <c r="T138" s="40">
        <f>((P138-K138)/K138)</f>
        <v>-0.017191977077363939</v>
      </c>
      <c r="U138" s="40">
        <f>((T138*AB138)*D4)</f>
        <v>-0.11597548620651975</v>
      </c>
      <c r="V138" s="3">
        <f>IF(P138&lt;=N138,(P138*Q138*1000),0)</f>
        <v>22294999.999999996</v>
      </c>
      <c r="W138" s="3">
        <f>IF(P138&gt;=O138,(P138*Q138*1000),0)</f>
        <v>0</v>
      </c>
      <c r="X138">
        <v>3016</v>
      </c>
      <c r="Y138" s="3">
        <v>2744013150</v>
      </c>
      <c r="Z138" s="40">
        <f>((C4*AB138)/P138)/10</f>
        <v>0.009024512233618805</v>
      </c>
      <c r="AA138" s="40">
        <f>((M138*AB138)*C4)</f>
        <v>-0.106482024746915</v>
      </c>
      <c r="AB138" s="40">
        <f>AE138/AE323</f>
        <v>0.00052784093567303885</v>
      </c>
      <c r="AC138" s="40">
        <f>AF138/AF323</f>
        <v>0.00053208436337929719</v>
      </c>
      <c r="AD138" s="3">
        <f>IF(ISNA(J138),(I138*Y138)/10,(J138*Y138)/10)</f>
        <v>18823930208.999996</v>
      </c>
      <c r="AE138" s="3">
        <f>IF(ISNA(P138),(I138*Y138)/10,(P138*Y138)/10)</f>
        <v>18823930208.999996</v>
      </c>
      <c r="AF138" s="3">
        <f>(I138*Y138)/10</f>
        <v>19153211787</v>
      </c>
      <c r="AG138" t="s">
        <f>IF(AND(P138&lt;=N138,L138&lt;0),IF(Q138&lt;10,"DBL10",IF(Q138&gt;=200,"DBM200",IF(Q138&gt;=150,"DBM150",IF(Q138&gt;=100,"DBM100",IF(Q138&gt;=50,"DBM50","DBM10-50"))))),0)</f>
        <v>16</v>
      </c>
      <c r="AH138">
        <f>IF(AND(P138&gt;=O138,L138&lt;0),IF(Q138&lt;10,"DAL10",IF(Q138&gt;=200,"DAM200",IF(Q138&gt;=150,"DAM150",IF(Q138&gt;=100,"DAM100",IF(Q138&gt;=50,"DAM50","DAM10-50"))))),0)</f>
        <v>0</v>
      </c>
      <c r="AI138">
        <f>IF(AND(P138&gt;=O138,L138&gt;0),IF(Q138&lt;10,"UAL10",IF(Q138&gt;=200,"UAM200",IF(Q138&gt;=150,"UAM150",IF(Q138&gt;=100,"UAM100",IF(Q138&gt;=50,"UAM50","UAM10-50"))))),0)</f>
        <v>0</v>
      </c>
      <c r="AJ138">
        <f>IF(AND(P138&lt;=N138,L138&gt;0),IF(Q138&lt;10,"UBL10",IF(Q138&gt;=200,"UBM200",IF(Q138&gt;=150,"UBM150",IF(Q138&gt;=100,"UBM100",IF(Q138&gt;=50,"UBM50","UBM10-50"))))),0)</f>
        <v>0</v>
      </c>
      <c r="AK138" t="s">
        <f>IF(Q138&lt;58,"down",IF(Q138=58,58,IF(Q138&gt;58,"up")))</f>
        <v>6</v>
      </c>
    </row>
    <row r="139" spans="1:37">
      <c r="A139">
        <f>IF(X139=3019,3019,"Error")</f>
        <v>3019</v>
      </c>
      <c r="B139" t="s">
        <f>IF(K139&lt;69.700000000000003,"down",IF(K139=69.700000000000003,"low",IF(K139=71.299999999999997,"high",IF(AND(K139&gt;69.700000000000003,K139&lt;71.299999999999997),"normal","up"))))</f>
        <v>79</v>
      </c>
      <c r="C139" t="s">
        <f>IF(K139&lt;69.700000000000003,"down",IF(K139=69.700000000000003,"low",IF(K139=71.299999999999997,"high",IF(AND(K139&gt;69.700000000000003,K139&lt;71.299999999999997),"normal","up"))))</f>
        <v>79</v>
      </c>
      <c r="D139" t="s">
        <f>IF(K139&lt;69.700000000000003,"down",IF(K139=69.700000000000003,"low",IF(K139=71.299999999999997,"high",IF(AND(K139&gt;69.700000000000003,K139&lt;71.299999999999997),"normal","up"))))</f>
        <v>79</v>
      </c>
      <c r="E139" t="s">
        <f>IF(K139&lt;68.5,"down",IF(K139=68.5,"low",IF(K139=72.5,"high",IF(AND(K139&gt;68.5,K139&lt;72.5),"normal","up"))))</f>
        <v>79</v>
      </c>
      <c r="F139" t="s">
        <f>IF(P139&lt;69.799999999999997,"PVP-down",IF(P139=69.799999999999997,69.799999999999997,IF(P139&gt;69.799999999999997,"PVP-up")))</f>
        <v>83</v>
      </c>
      <c r="G139" t="s">
        <f>IF(R139&lt;279,"PVV-down",IF(R139=279,279,IF(R139&gt;279,"PVV-up")))</f>
        <v>81</v>
      </c>
      <c r="H139" s="40">
        <f>R139/(Y139/10000)</f>
        <v>0.01058047077552122</v>
      </c>
      <c r="I139">
        <v>69.900000000000006</v>
      </c>
      <c r="J139">
        <v>71.099999999999994</v>
      </c>
      <c r="K139">
        <v>70.200000000000003</v>
      </c>
      <c r="L139">
        <v>1.2</v>
      </c>
      <c r="M139">
        <v>0.0172</v>
      </c>
      <c r="N139">
        <v>71</v>
      </c>
      <c r="O139">
        <v>71.099999999999994</v>
      </c>
      <c r="P139">
        <v>71.099999999999994</v>
      </c>
      <c r="Q139">
        <v>77</v>
      </c>
      <c r="R139">
        <v>2974</v>
      </c>
      <c r="S139">
        <v>1454</v>
      </c>
      <c r="T139" s="40">
        <f>((P139-K139)/K139)</f>
        <v>0.012820512820512699</v>
      </c>
      <c r="U139" s="40">
        <f>((T139*AB139)*D4)</f>
        <v>0.091820794176060511</v>
      </c>
      <c r="V139" s="3">
        <f>IF(P139&lt;=N139,(P139*Q139*1000),0)</f>
        <v>0</v>
      </c>
      <c r="W139" s="3">
        <f>IF(P139&gt;=O139,(P139*Q139*1000),0)</f>
        <v>5474700</v>
      </c>
      <c r="X139">
        <v>3019</v>
      </c>
      <c r="Y139" s="3">
        <v>2810839010</v>
      </c>
      <c r="Z139" s="40">
        <f>((C4*AB139)/P139)/10</f>
        <v>0.0092442891654793882</v>
      </c>
      <c r="AA139" s="40">
        <f>((M139*AB139)*C4)</f>
        <v>0.11305026106248055</v>
      </c>
      <c r="AB139" s="40">
        <f>AE139/AE323</f>
        <v>0.00056040027149305196</v>
      </c>
      <c r="AC139" s="40">
        <f>AF139/AF323</f>
        <v>0.00054582325292442779</v>
      </c>
      <c r="AD139" s="3">
        <f>IF(ISNA(J139),(I139*Y139)/10,(J139*Y139)/10)</f>
        <v>19985065361.099998</v>
      </c>
      <c r="AE139" s="3">
        <f>IF(ISNA(P139),(I139*Y139)/10,(P139*Y139)/10)</f>
        <v>19985065361.099998</v>
      </c>
      <c r="AF139" s="3">
        <f>(I139*Y139)/10</f>
        <v>19647764679.900002</v>
      </c>
      <c r="AG139">
        <f>IF(AND(P139&lt;=N139,L139&lt;0),IF(Q139&lt;10,"DBL10",IF(Q139&gt;=200,"DBM200",IF(Q139&gt;=150,"DBM150",IF(Q139&gt;=100,"DBM100",IF(Q139&gt;=50,"DBM50","DBM10-50"))))),0)</f>
        <v>0</v>
      </c>
      <c r="AH139">
        <f>IF(AND(P139&gt;=O139,L139&lt;0),IF(Q139&lt;10,"DAL10",IF(Q139&gt;=200,"DAM200",IF(Q139&gt;=150,"DAM150",IF(Q139&gt;=100,"DAM100",IF(Q139&gt;=50,"DAM50","DAM10-50"))))),0)</f>
        <v>0</v>
      </c>
      <c r="AI139" t="s">
        <f>IF(AND(P139&gt;=O139,L139&gt;0),IF(Q139&lt;10,"UAL10",IF(Q139&gt;=200,"UAM200",IF(Q139&gt;=150,"UAM150",IF(Q139&gt;=100,"UAM100",IF(Q139&gt;=50,"UAM50","UAM10-50"))))),0)</f>
        <v>28</v>
      </c>
      <c r="AJ139">
        <f>IF(AND(P139&lt;=N139,L139&gt;0),IF(Q139&lt;10,"UBL10",IF(Q139&gt;=200,"UBM200",IF(Q139&gt;=150,"UBM150",IF(Q139&gt;=100,"UBM100",IF(Q139&gt;=50,"UBM50","UBM10-50"))))),0)</f>
        <v>0</v>
      </c>
      <c r="AK139" t="s">
        <f>IF(Q139&lt;28,"down",IF(Q139=28,28,IF(Q139&gt;28,"up")))</f>
        <v>6</v>
      </c>
    </row>
    <row r="140" spans="1:37">
      <c r="A140">
        <f>IF(X140=2388,2388,"Error")</f>
        <v>2388</v>
      </c>
      <c r="B140" t="s">
        <f>IF(K140&lt;37.5,"down",IF(K140=37.5,"low",IF(K140=38.450000000000003,"high",IF(AND(K140&gt;37.5,K140&lt;38.450000000000003),"normal","up"))))</f>
        <v>79</v>
      </c>
      <c r="C140" t="s">
        <f>IF(K140&lt;37.5,"down",IF(K140=37.5,"low",IF(K140=38.450000000000003,"high",IF(AND(K140&gt;37.5,K140&lt;38.450000000000003),"normal","up"))))</f>
        <v>79</v>
      </c>
      <c r="D140" t="s">
        <f>IF(K140&lt;37.5,"down",IF(K140=37.5,"low",IF(K140=38.450000000000003,"high",IF(AND(K140&gt;37.5,K140&lt;38.450000000000003),"normal","up"))))</f>
        <v>79</v>
      </c>
      <c r="E140" t="s">
        <f>IF(K140&lt;37.5,"down",IF(K140=37.5,"low",IF(K140=43,"high",IF(AND(K140&gt;37.5,K140&lt;43),"normal","up"))))</f>
        <v>79</v>
      </c>
      <c r="F140" t="s">
        <f>IF(P140&lt;37.700000000000003,"PVP-down",IF(P140=37.700000000000003,37.700000000000003,IF(P140&gt;37.700000000000003,"PVP-up")))</f>
        <v>80</v>
      </c>
      <c r="G140" t="s">
        <f>IF(R140&lt;430,"PVV-down",IF(R140=430,430,IF(R140&gt;430,"PVV-up")))</f>
        <v>81</v>
      </c>
      <c r="H140" s="40">
        <f>R140/(Y140/10000)</f>
        <v>0.0077883097515226941</v>
      </c>
      <c r="I140">
        <v>37.700000000000003</v>
      </c>
      <c r="J140">
        <v>36.600000000000001</v>
      </c>
      <c r="K140">
        <v>37.700000000000003</v>
      </c>
      <c r="L140">
        <v>-1.1000000000000001</v>
      </c>
      <c r="M140">
        <v>-0.0292</v>
      </c>
      <c r="N140">
        <v>36.600000000000001</v>
      </c>
      <c r="O140">
        <v>36.649999999999999</v>
      </c>
      <c r="P140">
        <v>36.600000000000001</v>
      </c>
      <c r="Q140">
        <v>162</v>
      </c>
      <c r="R140">
        <v>3842</v>
      </c>
      <c r="S140">
        <v>3133</v>
      </c>
      <c r="T140" s="40">
        <f>((P140-K140)/K140)</f>
        <v>-0.029177718832891282</v>
      </c>
      <c r="U140" s="40">
        <f>((T140*AB140)*D4)</f>
        <v>-0.1887889798445947</v>
      </c>
      <c r="V140" s="3">
        <f>IF(P140&lt;=N140,(P140*Q140*1000),0)</f>
        <v>5929200</v>
      </c>
      <c r="W140" s="3">
        <f>IF(P140&gt;=O140,(P140*Q140*1000),0)</f>
        <v>0</v>
      </c>
      <c r="X140">
        <v>2388</v>
      </c>
      <c r="Y140" s="3">
        <v>4933034410</v>
      </c>
      <c r="Z140" s="40">
        <f>((C4*AB140)/P140)/10</f>
        <v>0.016223766778197663</v>
      </c>
      <c r="AA140" s="40">
        <f>((M140*AB140)*C4)</f>
        <v>-0.17338664031195408</v>
      </c>
      <c r="AB140" s="40">
        <f>AE140/AE323</f>
        <v>0.00050627676257631476</v>
      </c>
      <c r="AC140" s="40">
        <f>AF140/AF323</f>
        <v>0.00051664755736093785</v>
      </c>
      <c r="AD140" s="3">
        <f>IF(ISNA(J140),(I140*Y140)/10,(J140*Y140)/10)</f>
        <v>18054905940.599998</v>
      </c>
      <c r="AE140" s="3">
        <f>IF(ISNA(P140),(I140*Y140)/10,(P140*Y140)/10)</f>
        <v>18054905940.599998</v>
      </c>
      <c r="AF140" s="3">
        <f>(I140*Y140)/10</f>
        <v>18597539725.700001</v>
      </c>
      <c r="AG140" t="s">
        <f>IF(AND(P140&lt;=N140,L140&lt;0),IF(Q140&lt;10,"DBL10",IF(Q140&gt;=200,"DBM200",IF(Q140&gt;=150,"DBM150",IF(Q140&gt;=100,"DBM100",IF(Q140&gt;=50,"DBM50","DBM10-50"))))),0)</f>
        <v>15</v>
      </c>
      <c r="AH140">
        <f>IF(AND(P140&gt;=O140,L140&lt;0),IF(Q140&lt;10,"DAL10",IF(Q140&gt;=200,"DAM200",IF(Q140&gt;=150,"DAM150",IF(Q140&gt;=100,"DAM100",IF(Q140&gt;=50,"DAM50","DAM10-50"))))),0)</f>
        <v>0</v>
      </c>
      <c r="AI140">
        <f>IF(AND(P140&gt;=O140,L140&gt;0),IF(Q140&lt;10,"UAL10",IF(Q140&gt;=200,"UAM200",IF(Q140&gt;=150,"UAM150",IF(Q140&gt;=100,"UAM100",IF(Q140&gt;=50,"UAM50","UAM10-50"))))),0)</f>
        <v>0</v>
      </c>
      <c r="AJ140">
        <f>IF(AND(P140&lt;=N140,L140&gt;0),IF(Q140&lt;10,"UBL10",IF(Q140&gt;=200,"UBM200",IF(Q140&gt;=150,"UBM150",IF(Q140&gt;=100,"UBM100",IF(Q140&gt;=50,"UBM50","UBM10-50"))))),0)</f>
        <v>0</v>
      </c>
      <c r="AK140" t="s">
        <f>IF(Q140&lt;163,"down",IF(Q140=163,163,IF(Q140&gt;163,"up")))</f>
        <v>7</v>
      </c>
    </row>
    <row r="141" spans="1:37">
      <c r="A141">
        <f>IF(X141=4915,4915,"Error")</f>
        <v>4915</v>
      </c>
      <c r="B141" t="s">
        <f>IF(K141&lt;42.200000000000003,"down",IF(K141=42.200000000000003,"low",IF(K141=43.299999999999997,"high",IF(AND(K141&gt;42.200000000000003,K141&lt;43.299999999999997),"normal","up"))))</f>
        <v>82</v>
      </c>
      <c r="C141" t="s">
        <f>IF(K141&lt;42.200000000000003,"down",IF(K141=42.200000000000003,"low",IF(K141=43.299999999999997,"high",IF(AND(K141&gt;42.200000000000003,K141&lt;43.299999999999997),"normal","up"))))</f>
        <v>82</v>
      </c>
      <c r="D141" t="s">
        <f>IF(K141&lt;42.200000000000003,"down",IF(K141=42.200000000000003,"low",IF(K141=43.299999999999997,"high",IF(AND(K141&gt;42.200000000000003,K141&lt;43.299999999999997),"normal","up"))))</f>
        <v>82</v>
      </c>
      <c r="E141" t="s">
        <f>IF(K141&lt;41.200000000000003,"down",IF(K141=41.200000000000003,"low",IF(K141=43.299999999999997,"high",IF(AND(K141&gt;41.200000000000003,K141&lt;43.299999999999997),"normal","up"))))</f>
        <v>79</v>
      </c>
      <c r="F141" t="s">
        <f>IF(P141&lt;42.299999999999997,"PVP-down",IF(P141=42.299999999999997,42.299999999999997,IF(P141&gt;42.299999999999997,"PVP-up")))</f>
        <v>80</v>
      </c>
      <c r="G141" t="s">
        <f>IF(R141&lt;368,"PVV-down",IF(R141=368,368,IF(R141&gt;368,"PVV-up")))</f>
        <v>81</v>
      </c>
      <c r="H141" s="40">
        <f>R141/(Y141/10000)</f>
        <v>0.0065433718892161496</v>
      </c>
      <c r="I141">
        <v>42.200000000000003</v>
      </c>
      <c r="J141">
        <v>41.700000000000003</v>
      </c>
      <c r="K141">
        <v>42.200000000000003</v>
      </c>
      <c r="L141">
        <v>-0.5</v>
      </c>
      <c r="M141">
        <v>-0.0118</v>
      </c>
      <c r="N141">
        <v>41.649999999999999</v>
      </c>
      <c r="O141">
        <v>41.700000000000003</v>
      </c>
      <c r="P141">
        <v>41.700000000000003</v>
      </c>
      <c r="Q141">
        <v>122</v>
      </c>
      <c r="R141">
        <v>2936</v>
      </c>
      <c r="S141">
        <v>3462</v>
      </c>
      <c r="T141" s="40">
        <f>((P141-K141)/K141)</f>
        <v>-0.011848341232227487</v>
      </c>
      <c r="U141" s="40">
        <f>((T141*AB141)*D4)</f>
        <v>-0.079447114830106261</v>
      </c>
      <c r="V141" s="3">
        <f>IF(P141&lt;=N141,(P141*Q141*1000),0)</f>
        <v>0</v>
      </c>
      <c r="W141" s="3">
        <f>IF(P141&gt;=O141,(P141*Q141*1000),0)</f>
        <v>5087400.0000000009</v>
      </c>
      <c r="X141">
        <v>4915</v>
      </c>
      <c r="Y141" s="3">
        <v>4486983240</v>
      </c>
      <c r="Z141" s="40">
        <f>((C4*AB141)/P141)/10</f>
        <v>0.014756793399996113</v>
      </c>
      <c r="AA141" s="40">
        <f>((M141*AB141)*C4)</f>
        <v>-0.072612277604020864</v>
      </c>
      <c r="AB141" s="40">
        <f>AE141/AE323</f>
        <v>0.00052466641666993751</v>
      </c>
      <c r="AC141" s="40">
        <f>AF141/AF323</f>
        <v>0.0005260242716262864</v>
      </c>
      <c r="AD141" s="3">
        <f>IF(ISNA(J141),(I141*Y141)/10,(J141*Y141)/10)</f>
        <v>18710720110.799999</v>
      </c>
      <c r="AE141" s="3">
        <f>IF(ISNA(P141),(I141*Y141)/10,(P141*Y141)/10)</f>
        <v>18710720110.799999</v>
      </c>
      <c r="AF141" s="3">
        <f>(I141*Y141)/10</f>
        <v>18935069272.799999</v>
      </c>
      <c r="AG141">
        <f>IF(AND(P141&lt;=N141,L141&lt;0),IF(Q141&lt;10,"DBL10",IF(Q141&gt;=200,"DBM200",IF(Q141&gt;=150,"DBM150",IF(Q141&gt;=100,"DBM100",IF(Q141&gt;=50,"DBM50","DBM10-50"))))),0)</f>
        <v>0</v>
      </c>
      <c r="AH141" t="s">
        <f>IF(AND(P141&gt;=O141,L141&lt;0),IF(Q141&lt;10,"DAL10",IF(Q141&gt;=200,"DAM200",IF(Q141&gt;=150,"DAM150",IF(Q141&gt;=100,"DAM100",IF(Q141&gt;=50,"DAM50","DAM10-50"))))),0)</f>
        <v>24</v>
      </c>
      <c r="AI141">
        <f>IF(AND(P141&gt;=O141,L141&gt;0),IF(Q141&lt;10,"UAL10",IF(Q141&gt;=200,"UAM200",IF(Q141&gt;=150,"UAM150",IF(Q141&gt;=100,"UAM100",IF(Q141&gt;=50,"UAM50","UAM10-50"))))),0)</f>
        <v>0</v>
      </c>
      <c r="AJ141">
        <f>IF(AND(P141&lt;=N141,L141&gt;0),IF(Q141&lt;10,"UBL10",IF(Q141&gt;=200,"UBM200",IF(Q141&gt;=150,"UBM150",IF(Q141&gt;=100,"UBM100",IF(Q141&gt;=50,"UBM50","UBM10-50"))))),0)</f>
        <v>0</v>
      </c>
      <c r="AK141" t="s">
        <f>IF(Q141&lt;25,"down",IF(Q141=25,25,IF(Q141&gt;25,"up")))</f>
        <v>6</v>
      </c>
    </row>
    <row r="142" spans="1:37">
      <c r="A142">
        <f>IF(X142=6257,6257,"Error")</f>
        <v>6257</v>
      </c>
      <c r="B142" t="s">
        <f>IF(K142&lt;43.799999999999997,"down",IF(K142=43.799999999999997,"low",IF(K142=44.75,"high",IF(AND(K142&gt;43.799999999999997,K142&lt;44.75),"normal","up"))))</f>
        <v>79</v>
      </c>
      <c r="C142" t="s">
        <f>IF(K142&lt;43.799999999999997,"down",IF(K142=43.799999999999997,"low",IF(K142=44.75,"high",IF(AND(K142&gt;43.799999999999997,K142&lt;44.75),"normal","up"))))</f>
        <v>79</v>
      </c>
      <c r="D142" t="s">
        <f>IF(K142&lt;43.799999999999997,"down",IF(K142=43.799999999999997,"low",IF(K142=44.75,"high",IF(AND(K142&gt;43.799999999999997,K142&lt;44.75),"normal","up"))))</f>
        <v>79</v>
      </c>
      <c r="E142" t="s">
        <f>IF(K142&lt;42.600000000000001,"down",IF(K142=42.600000000000001,"low",IF(K142=45.200000000000003,"high",IF(AND(K142&gt;42.600000000000001,K142&lt;45.200000000000003),"normal","up"))))</f>
        <v>79</v>
      </c>
      <c r="F142" t="s">
        <f>IF(P142&lt;43.850000000000001,"PVP-down",IF(P142=43.850000000000001,43.850000000000001,IF(P142&gt;43.850000000000001,"PVP-up")))</f>
        <v>80</v>
      </c>
      <c r="G142" t="s">
        <f>IF(R142&lt;634,"PVV-down",IF(R142=634,634,IF(R142&gt;634,"PVV-up")))</f>
        <v>81</v>
      </c>
      <c r="H142" s="40">
        <f>R142/(Y142/10000)</f>
        <v>0.0089203019748072924</v>
      </c>
      <c r="I142">
        <v>43.850000000000001</v>
      </c>
      <c r="J142">
        <v>43.049999999999997</v>
      </c>
      <c r="K142">
        <v>44</v>
      </c>
      <c r="L142">
        <v>-0.80000000000000004</v>
      </c>
      <c r="M142">
        <v>-0.018200000000000001</v>
      </c>
      <c r="N142">
        <v>43.049999999999997</v>
      </c>
      <c r="O142">
        <v>43.100000000000001</v>
      </c>
      <c r="P142">
        <v>43.049999999999997</v>
      </c>
      <c r="Q142">
        <v>77</v>
      </c>
      <c r="R142">
        <v>3760</v>
      </c>
      <c r="S142">
        <v>3611</v>
      </c>
      <c r="T142" s="40">
        <f>((P142-K142)/K142)</f>
        <v>-0.021590909090909157</v>
      </c>
      <c r="U142" s="40">
        <f>((T142*AB142)*D4)</f>
        <v>-0.14040495912222792</v>
      </c>
      <c r="V142" s="3">
        <f>IF(P142&lt;=N142,(P142*Q142*1000),0)</f>
        <v>3314850</v>
      </c>
      <c r="W142" s="3">
        <f>IF(P142&gt;=O142,(P142*Q142*1000),0)</f>
        <v>0</v>
      </c>
      <c r="X142">
        <v>6257</v>
      </c>
      <c r="Y142" s="3">
        <v>4215103940</v>
      </c>
      <c r="Z142" s="40">
        <f>((C4*AB142)/P142)/10</f>
        <v>0.013862636581207649</v>
      </c>
      <c r="AA142" s="40">
        <f>((M142*AB142)*C4)</f>
        <v>-0.10861514387742005</v>
      </c>
      <c r="AB142" s="40">
        <f>AE142/AE323</f>
        <v>0.00050883175663009122</v>
      </c>
      <c r="AC142" s="40">
        <f>AF142/AF323</f>
        <v>0.00051347200618303635</v>
      </c>
      <c r="AD142" s="3">
        <f>IF(ISNA(J142),(I142*Y142)/10,(J142*Y142)/10)</f>
        <v>18146022461.700001</v>
      </c>
      <c r="AE142" s="3">
        <f>IF(ISNA(P142),(I142*Y142)/10,(P142*Y142)/10)</f>
        <v>18146022461.700001</v>
      </c>
      <c r="AF142" s="3">
        <f>(I142*Y142)/10</f>
        <v>18483230776.900002</v>
      </c>
      <c r="AG142" t="s">
        <f>IF(AND(P142&lt;=N142,L142&lt;0),IF(Q142&lt;10,"DBL10",IF(Q142&gt;=200,"DBM200",IF(Q142&gt;=150,"DBM150",IF(Q142&gt;=100,"DBM100",IF(Q142&gt;=50,"DBM50","DBM10-50"))))),0)</f>
        <v>13</v>
      </c>
      <c r="AH142">
        <f>IF(AND(P142&gt;=O142,L142&lt;0),IF(Q142&lt;10,"DAL10",IF(Q142&gt;=200,"DAM200",IF(Q142&gt;=150,"DAM150",IF(Q142&gt;=100,"DAM100",IF(Q142&gt;=50,"DAM50","DAM10-50"))))),0)</f>
        <v>0</v>
      </c>
      <c r="AI142">
        <f>IF(AND(P142&gt;=O142,L142&gt;0),IF(Q142&lt;10,"UAL10",IF(Q142&gt;=200,"UAM200",IF(Q142&gt;=150,"UAM150",IF(Q142&gt;=100,"UAM100",IF(Q142&gt;=50,"UAM50","UAM10-50"))))),0)</f>
        <v>0</v>
      </c>
      <c r="AJ142">
        <f>IF(AND(P142&lt;=N142,L142&gt;0),IF(Q142&lt;10,"UBL10",IF(Q142&gt;=200,"UBM200",IF(Q142&gt;=150,"UBM150",IF(Q142&gt;=100,"UBM100",IF(Q142&gt;=50,"UBM50","UBM10-50"))))),0)</f>
        <v>0</v>
      </c>
      <c r="AK142" t="s">
        <f>IF(Q142&lt;62,"down",IF(Q142=62,62,IF(Q142&gt;62,"up")))</f>
        <v>6</v>
      </c>
    </row>
    <row r="143" spans="1:37">
      <c r="A143">
        <f>IF(X143=8016,8016,"Error")</f>
        <v>8016</v>
      </c>
      <c r="B143" t="s">
        <f>IF(K143&lt;144,"down",IF(K143=144,"low",IF(K143=150,"high",IF(AND(K143&gt;144,K143&lt;150),"normal","up"))))</f>
        <v>79</v>
      </c>
      <c r="C143" t="s">
        <f>IF(K143&lt;144,"down",IF(K143=144,"low",IF(K143=150,"high",IF(AND(K143&gt;144,K143&lt;150),"normal","up"))))</f>
        <v>79</v>
      </c>
      <c r="D143" t="s">
        <f>IF(K143&lt;144,"down",IF(K143=144,"low",IF(K143=150,"high",IF(AND(K143&gt;144,K143&lt;150),"normal","up"))))</f>
        <v>79</v>
      </c>
      <c r="E143" t="s">
        <f>IF(K143&lt;142,"down",IF(K143=142,"low",IF(K143=155.5,"high",IF(AND(K143&gt;142,K143&lt;155.5),"normal","up"))))</f>
        <v>79</v>
      </c>
      <c r="F143" t="s">
        <f>IF(P143&lt;145,"PVP-down",IF(P143=145,145,IF(P143&gt;145,"PVP-up")))</f>
        <v>80</v>
      </c>
      <c r="G143" t="s">
        <f>IF(R143&lt;668,"PVV-down",IF(R143=668,668,IF(R143&gt;668,"PVV-up")))</f>
        <v>81</v>
      </c>
      <c r="H143" s="40">
        <f>R143/(Y143/10000)</f>
        <v>0.018628751425166075</v>
      </c>
      <c r="I143">
        <v>145</v>
      </c>
      <c r="J143">
        <v>141.5</v>
      </c>
      <c r="K143">
        <v>144.5</v>
      </c>
      <c r="L143">
        <v>-3.5</v>
      </c>
      <c r="M143">
        <v>-0.0241</v>
      </c>
      <c r="N143">
        <v>141.5</v>
      </c>
      <c r="O143">
        <v>142</v>
      </c>
      <c r="P143">
        <v>141.5</v>
      </c>
      <c r="Q143">
        <v>65</v>
      </c>
      <c r="R143">
        <v>2238</v>
      </c>
      <c r="S143">
        <v>2690</v>
      </c>
      <c r="T143" s="40">
        <f>((P143-K143)/K143)</f>
        <v>-0.020761245674740483</v>
      </c>
      <c r="U143" s="40">
        <f>((T143*AB143)*D4)</f>
        <v>-0.12647836898532547</v>
      </c>
      <c r="V143" s="3">
        <f>IF(P143&lt;=N143,(P143*Q143*1000),0)</f>
        <v>9197500</v>
      </c>
      <c r="W143" s="3">
        <f>IF(P143&gt;=O143,(P143*Q143*1000),0)</f>
        <v>0</v>
      </c>
      <c r="X143">
        <v>8016</v>
      </c>
      <c r="Y143" s="3">
        <v>1201368760</v>
      </c>
      <c r="Z143" s="40">
        <f>((C4*AB143)/P143)/10</f>
        <v>0.0039510623597804025</v>
      </c>
      <c r="AA143" s="40">
        <f>((M143*AB143)*C4)</f>
        <v>-0.13473715306205139</v>
      </c>
      <c r="AB143" s="40">
        <f>AE143/AE323</f>
        <v>0.00047667847187403655</v>
      </c>
      <c r="AC143" s="40">
        <f>AF143/AF323</f>
        <v>0.00048393075348817196</v>
      </c>
      <c r="AD143" s="3">
        <f>IF(ISNA(J143),(I143*Y143)/10,(J143*Y143)/10)</f>
        <v>16999367954</v>
      </c>
      <c r="AE143" s="3">
        <f>IF(ISNA(P143),(I143*Y143)/10,(P143*Y143)/10)</f>
        <v>16999367954</v>
      </c>
      <c r="AF143" s="3">
        <f>(I143*Y143)/10</f>
        <v>17419847020</v>
      </c>
      <c r="AG143" t="s">
        <f>IF(AND(P143&lt;=N143,L143&lt;0),IF(Q143&lt;10,"DBL10",IF(Q143&gt;=200,"DBM200",IF(Q143&gt;=150,"DBM150",IF(Q143&gt;=100,"DBM100",IF(Q143&gt;=50,"DBM50","DBM10-50"))))),0)</f>
        <v>13</v>
      </c>
      <c r="AH143">
        <f>IF(AND(P143&gt;=O143,L143&lt;0),IF(Q143&lt;10,"DAL10",IF(Q143&gt;=200,"DAM200",IF(Q143&gt;=150,"DAM150",IF(Q143&gt;=100,"DAM100",IF(Q143&gt;=50,"DAM50","DAM10-50"))))),0)</f>
        <v>0</v>
      </c>
      <c r="AI143">
        <f>IF(AND(P143&gt;=O143,L143&gt;0),IF(Q143&lt;10,"UAL10",IF(Q143&gt;=200,"UAM200",IF(Q143&gt;=150,"UAM150",IF(Q143&gt;=100,"UAM100",IF(Q143&gt;=50,"UAM50","UAM10-50"))))),0)</f>
        <v>0</v>
      </c>
      <c r="AJ143">
        <f>IF(AND(P143&lt;=N143,L143&gt;0),IF(Q143&lt;10,"UBL10",IF(Q143&gt;=200,"UBM200",IF(Q143&gt;=150,"UBM150",IF(Q143&gt;=100,"UBM100",IF(Q143&gt;=50,"UBM50","UBM10-50"))))),0)</f>
        <v>0</v>
      </c>
      <c r="AK143" t="s">
        <f>IF(Q143&lt;16,"down",IF(Q143=16,16,IF(Q143&gt;16,"up")))</f>
        <v>6</v>
      </c>
    </row>
    <row r="144" spans="1:37">
      <c r="A144">
        <f>IF(X144=4943,4943,"Error")</f>
        <v>4943</v>
      </c>
      <c r="B144" t="s">
        <f>IF(K144&lt;122.5,"down",IF(K144=122.5,"low",IF(K144=125.5,"high",IF(AND(K144&gt;122.5,K144&lt;125.5),"normal","up"))))</f>
        <v>79</v>
      </c>
      <c r="C144" t="s">
        <f>IF(K144&lt;122.5,"down",IF(K144=122.5,"low",IF(K144=125.5,"high",IF(AND(K144&gt;122.5,K144&lt;125.5),"normal","up"))))</f>
        <v>79</v>
      </c>
      <c r="D144" t="s">
        <f>IF(K144&lt;122.5,"down",IF(K144=122.5,"low",IF(K144=125.5,"high",IF(AND(K144&gt;122.5,K144&lt;125.5),"normal","up"))))</f>
        <v>79</v>
      </c>
      <c r="E144" t="s">
        <f>IF(K144&lt;122.5,"down",IF(K144=122.5,"low",IF(K144=132,"high",IF(AND(K144&gt;122.5,K144&lt;132),"normal","up"))))</f>
        <v>79</v>
      </c>
      <c r="F144">
        <f>IF(P144&lt;123,"PVP-down",IF(P144=123,123,IF(P144&gt;123,"PVP-up")))</f>
        <v>123</v>
      </c>
      <c r="G144" t="s">
        <f>IF(R144&lt;477,"PVV-down",IF(R144=477,477,IF(R144&gt;477,"PVV-up")))</f>
        <v>81</v>
      </c>
      <c r="H144" s="40">
        <f>R144/(Y144/10000)</f>
        <v>0.0081208793846645217</v>
      </c>
      <c r="I144">
        <v>123</v>
      </c>
      <c r="J144">
        <v>123</v>
      </c>
      <c r="K144">
        <v>123.5</v>
      </c>
      <c r="L144">
        <v>0</v>
      </c>
      <c r="M144">
        <v>0</v>
      </c>
      <c r="N144">
        <v>123</v>
      </c>
      <c r="O144">
        <v>123.5</v>
      </c>
      <c r="P144">
        <v>123</v>
      </c>
      <c r="Q144">
        <v>69</v>
      </c>
      <c r="R144">
        <v>1111</v>
      </c>
      <c r="S144">
        <v>1182</v>
      </c>
      <c r="T144" s="40">
        <f>((P144-K144)/K144)</f>
        <v>-0.004048582995951417</v>
      </c>
      <c r="U144" s="40">
        <f>((T144*AB144)*D4)</f>
        <v>-0.024414578528787211</v>
      </c>
      <c r="V144" s="3">
        <f>IF(P144&lt;=N144,(P144*Q144*1000),0)</f>
        <v>8487000</v>
      </c>
      <c r="W144" s="3">
        <f>IF(P144&gt;=O144,(P144*Q144*1000),0)</f>
        <v>0</v>
      </c>
      <c r="X144">
        <v>4943</v>
      </c>
      <c r="Y144" s="3">
        <v>1368078440</v>
      </c>
      <c r="Z144" s="40">
        <f>((C4*AB144)/P144)/10</f>
        <v>0.0044993372638648371</v>
      </c>
      <c r="AA144" s="40">
        <f>((M144*AB144)*C4)</f>
        <v>0</v>
      </c>
      <c r="AB144" s="40">
        <f>AE144/AE323</f>
        <v>0.00047185533991360386</v>
      </c>
      <c r="AC144" s="40">
        <f>AF144/AF323</f>
        <v>0.00046747134595051748</v>
      </c>
      <c r="AD144" s="3">
        <f>IF(ISNA(J144),(I144*Y144)/10,(J144*Y144)/10)</f>
        <v>16827364812</v>
      </c>
      <c r="AE144" s="3">
        <f>IF(ISNA(P144),(I144*Y144)/10,(P144*Y144)/10)</f>
        <v>16827364812</v>
      </c>
      <c r="AF144" s="3">
        <f>(I144*Y144)/10</f>
        <v>16827364812</v>
      </c>
      <c r="AG144">
        <f>IF(AND(P144&lt;=N144,L144&lt;0),IF(Q144&lt;10,"DBL10",IF(Q144&gt;=200,"DBM200",IF(Q144&gt;=150,"DBM150",IF(Q144&gt;=100,"DBM100",IF(Q144&gt;=50,"DBM50","DBM10-50"))))),0)</f>
        <v>0</v>
      </c>
      <c r="AH144">
        <f>IF(AND(P144&gt;=O144,L144&lt;0),IF(Q144&lt;10,"DAL10",IF(Q144&gt;=200,"DAM200",IF(Q144&gt;=150,"DAM150",IF(Q144&gt;=100,"DAM100",IF(Q144&gt;=50,"DAM50","DAM10-50"))))),0)</f>
        <v>0</v>
      </c>
      <c r="AI144">
        <f>IF(AND(P144&gt;=O144,L144&gt;0),IF(Q144&lt;10,"UAL10",IF(Q144&gt;=200,"UAM200",IF(Q144&gt;=150,"UAM150",IF(Q144&gt;=100,"UAM100",IF(Q144&gt;=50,"UAM50","UAM10-50"))))),0)</f>
        <v>0</v>
      </c>
      <c r="AJ144">
        <f>IF(AND(P144&lt;=N144,L144&gt;0),IF(Q144&lt;10,"UBL10",IF(Q144&gt;=200,"UBM200",IF(Q144&gt;=150,"UBM150",IF(Q144&gt;=100,"UBM100",IF(Q144&gt;=50,"UBM50","UBM10-50"))))),0)</f>
        <v>0</v>
      </c>
      <c r="AK144" t="s">
        <f>IF(Q144&lt;16,"down",IF(Q144=16,16,IF(Q144&gt;16,"up")))</f>
        <v>6</v>
      </c>
    </row>
    <row r="145" spans="1:37">
      <c r="A145">
        <f>IF(X145=3413,3413,"Error")</f>
        <v>3413</v>
      </c>
      <c r="B145" t="s">
        <f>IF(K145&lt;209,"down",IF(K145=209,"low",IF(K145=219,"high",IF(AND(K145&gt;209,K145&lt;219),"normal","up"))))</f>
        <v>79</v>
      </c>
      <c r="C145" t="s">
        <f>IF(K145&lt;209,"down",IF(K145=209,"low",IF(K145=219,"high",IF(AND(K145&gt;209,K145&lt;219),"normal","up"))))</f>
        <v>79</v>
      </c>
      <c r="D145" t="s">
        <f>IF(K145&lt;209,"down",IF(K145=209,"low",IF(K145=219,"high",IF(AND(K145&gt;209,K145&lt;219),"normal","up"))))</f>
        <v>79</v>
      </c>
      <c r="E145" t="s">
        <f>IF(K145&lt;207,"down",IF(K145=207,"low",IF(K145=225,"high",IF(AND(K145&gt;207,K145&lt;225),"normal","up"))))</f>
        <v>79</v>
      </c>
      <c r="F145" t="s">
        <f>IF(P145&lt;212,"PVP-down",IF(P145=212,212,IF(P145&gt;212,"PVP-up")))</f>
        <v>80</v>
      </c>
      <c r="G145" t="s">
        <f>IF(R145&lt;280,"PVV-down",IF(R145=280,280,IF(R145&gt;280,"PVV-up")))</f>
        <v>81</v>
      </c>
      <c r="H145" s="40">
        <f>R145/(Y145/10000)</f>
        <v>0.030770198005317384</v>
      </c>
      <c r="I145">
        <v>212</v>
      </c>
      <c r="J145">
        <v>205.5</v>
      </c>
      <c r="K145">
        <v>211</v>
      </c>
      <c r="L145">
        <v>-6.5</v>
      </c>
      <c r="M145">
        <v>-0.030700000000000002</v>
      </c>
      <c r="N145">
        <v>205</v>
      </c>
      <c r="O145">
        <v>205.5</v>
      </c>
      <c r="P145">
        <v>205.5</v>
      </c>
      <c r="Q145">
        <v>108</v>
      </c>
      <c r="R145">
        <v>2545</v>
      </c>
      <c r="S145">
        <v>2665</v>
      </c>
      <c r="T145" s="40">
        <f>((P145-K145)/K145)</f>
        <v>-0.026066350710900472</v>
      </c>
      <c r="U145" s="40">
        <f>((T145*AB145)*D4)</f>
        <v>-0.15877408939072712</v>
      </c>
      <c r="V145" s="3">
        <f>IF(P145&lt;=N145,(P145*Q145*1000),0)</f>
        <v>0</v>
      </c>
      <c r="W145" s="3">
        <f>IF(P145&gt;=O145,(P145*Q145*1000),0)</f>
        <v>22194000</v>
      </c>
      <c r="X145">
        <v>3413</v>
      </c>
      <c r="Y145" s="3">
        <v>827099000</v>
      </c>
      <c r="Z145" s="40">
        <f>((C4*AB145)/P145)/10</f>
        <v>0.0027201637295046783</v>
      </c>
      <c r="AA145" s="40">
        <f>((M145*AB145)*C4)</f>
        <v>-0.17161104944885591</v>
      </c>
      <c r="AB145" s="40">
        <f>AE145/AE323</f>
        <v>0.00047660883205596704</v>
      </c>
      <c r="AC145" s="40">
        <f>AF145/AF323</f>
        <v>0.00048711582866250953</v>
      </c>
      <c r="AD145" s="3">
        <f>IF(ISNA(J145),(I145*Y145)/10,(J145*Y145)/10)</f>
        <v>16996884450</v>
      </c>
      <c r="AE145" s="3">
        <f>IF(ISNA(P145),(I145*Y145)/10,(P145*Y145)/10)</f>
        <v>16996884450</v>
      </c>
      <c r="AF145" s="3">
        <f>(I145*Y145)/10</f>
        <v>17534498800</v>
      </c>
      <c r="AG145">
        <f>IF(AND(P145&lt;=N145,L145&lt;0),IF(Q145&lt;10,"DBL10",IF(Q145&gt;=200,"DBM200",IF(Q145&gt;=150,"DBM150",IF(Q145&gt;=100,"DBM100",IF(Q145&gt;=50,"DBM50","DBM10-50"))))),0)</f>
        <v>0</v>
      </c>
      <c r="AH145" t="s">
        <f>IF(AND(P145&gt;=O145,L145&lt;0),IF(Q145&lt;10,"DAL10",IF(Q145&gt;=200,"DAM200",IF(Q145&gt;=150,"DAM150",IF(Q145&gt;=100,"DAM100",IF(Q145&gt;=50,"DAM50","DAM10-50"))))),0)</f>
        <v>24</v>
      </c>
      <c r="AI145">
        <f>IF(AND(P145&gt;=O145,L145&gt;0),IF(Q145&lt;10,"UAL10",IF(Q145&gt;=200,"UAM200",IF(Q145&gt;=150,"UAM150",IF(Q145&gt;=100,"UAM100",IF(Q145&gt;=50,"UAM50","UAM10-50"))))),0)</f>
        <v>0</v>
      </c>
      <c r="AJ145">
        <f>IF(AND(P145&lt;=N145,L145&gt;0),IF(Q145&lt;10,"UBL10",IF(Q145&gt;=200,"UBM200",IF(Q145&gt;=150,"UBM150",IF(Q145&gt;=100,"UBM100",IF(Q145&gt;=50,"UBM50","UBM10-50"))))),0)</f>
        <v>0</v>
      </c>
      <c r="AK145" t="s">
        <f>IF(Q145&lt;57,"down",IF(Q145=57,57,IF(Q145&gt;57,"up")))</f>
        <v>6</v>
      </c>
    </row>
    <row r="146" spans="1:37">
      <c r="A146">
        <f>IF(X146=3026,3026,"Error")</f>
        <v>3026</v>
      </c>
      <c r="B146" t="s">
        <f>IF(K146&lt;109,"down",IF(K146=109,"low",IF(K146=113,"high",IF(AND(K146&gt;109,K146&lt;113),"normal","up"))))</f>
        <v>79</v>
      </c>
      <c r="C146" t="s">
        <f>IF(K146&lt;109,"down",IF(K146=109,"low",IF(K146=113,"high",IF(AND(K146&gt;109,K146&lt;113),"normal","up"))))</f>
        <v>79</v>
      </c>
      <c r="D146" t="s">
        <f>IF(K146&lt;109,"down",IF(K146=109,"low",IF(K146=113,"high",IF(AND(K146&gt;109,K146&lt;113),"normal","up"))))</f>
        <v>79</v>
      </c>
      <c r="E146" t="s">
        <f>IF(K146&lt;108.5,"down",IF(K146=108.5,"low",IF(K146=115.5,"high",IF(AND(K146&gt;108.5,K146&lt;115.5),"normal","up"))))</f>
        <v>79</v>
      </c>
      <c r="F146" t="s">
        <f>IF(P146&lt;110.5,"PVP-down",IF(P146=110.5,110.5,IF(P146&gt;110.5,"PVP-up")))</f>
        <v>80</v>
      </c>
      <c r="G146" t="s">
        <f>IF(R146&lt;495,"PVV-down",IF(R146=495,495,IF(R146&gt;495,"PVV-up")))</f>
        <v>81</v>
      </c>
      <c r="H146" s="40">
        <f>R146/(Y146/10000)</f>
        <v>0.0066839343832844822</v>
      </c>
      <c r="I146">
        <v>109</v>
      </c>
      <c r="J146">
        <v>109</v>
      </c>
      <c r="K146">
        <v>110.5</v>
      </c>
      <c r="L146">
        <v>0</v>
      </c>
      <c r="M146">
        <v>0</v>
      </c>
      <c r="N146">
        <v>109</v>
      </c>
      <c r="O146">
        <v>109.5</v>
      </c>
      <c r="P146">
        <v>109</v>
      </c>
      <c r="Q146">
        <v>82</v>
      </c>
      <c r="R146">
        <v>1056</v>
      </c>
      <c r="S146">
        <v>1988</v>
      </c>
      <c r="T146" s="40">
        <f>((P146-K146)/K146)</f>
        <v>-0.013574660633484163</v>
      </c>
      <c r="U146" s="40">
        <f>((T146*AB146)*D4)</f>
        <v>-0.083775551192458247</v>
      </c>
      <c r="V146" s="3">
        <f>IF(P146&lt;=N146,(P146*Q146*1000),0)</f>
        <v>8938000</v>
      </c>
      <c r="W146" s="3">
        <f>IF(P146&gt;=O146,(P146*Q146*1000),0)</f>
        <v>0</v>
      </c>
      <c r="X146">
        <v>3026</v>
      </c>
      <c r="Y146" s="3">
        <v>1579907790</v>
      </c>
      <c r="Z146" s="40">
        <f>((C4*AB146)/P146)/10</f>
        <v>0.0051960017680107145</v>
      </c>
      <c r="AA146" s="40">
        <f>((M146*AB146)*C4)</f>
        <v>0</v>
      </c>
      <c r="AB146" s="40">
        <f>AE146/AE323</f>
        <v>0.00048289310288118493</v>
      </c>
      <c r="AC146" s="40">
        <f>AF146/AF323</f>
        <v>0.0004784065573898596</v>
      </c>
      <c r="AD146" s="3">
        <f>IF(ISNA(J146),(I146*Y146)/10,(J146*Y146)/10)</f>
        <v>17220994911</v>
      </c>
      <c r="AE146" s="3">
        <f>IF(ISNA(P146),(I146*Y146)/10,(P146*Y146)/10)</f>
        <v>17220994911</v>
      </c>
      <c r="AF146" s="3">
        <f>(I146*Y146)/10</f>
        <v>17220994911</v>
      </c>
      <c r="AG146">
        <f>IF(AND(P146&lt;=N146,L146&lt;0),IF(Q146&lt;10,"DBL10",IF(Q146&gt;=200,"DBM200",IF(Q146&gt;=150,"DBM150",IF(Q146&gt;=100,"DBM100",IF(Q146&gt;=50,"DBM50","DBM10-50"))))),0)</f>
        <v>0</v>
      </c>
      <c r="AH146">
        <f>IF(AND(P146&gt;=O146,L146&lt;0),IF(Q146&lt;10,"DAL10",IF(Q146&gt;=200,"DAM200",IF(Q146&gt;=150,"DAM150",IF(Q146&gt;=100,"DAM100",IF(Q146&gt;=50,"DAM50","DAM10-50"))))),0)</f>
        <v>0</v>
      </c>
      <c r="AI146">
        <f>IF(AND(P146&gt;=O146,L146&gt;0),IF(Q146&lt;10,"UAL10",IF(Q146&gt;=200,"UAM200",IF(Q146&gt;=150,"UAM150",IF(Q146&gt;=100,"UAM100",IF(Q146&gt;=50,"UAM50","UAM10-50"))))),0)</f>
        <v>0</v>
      </c>
      <c r="AJ146">
        <f>IF(AND(P146&lt;=N146,L146&gt;0),IF(Q146&lt;10,"UBL10",IF(Q146&gt;=200,"UBM200",IF(Q146&gt;=150,"UBM150",IF(Q146&gt;=100,"UBM100",IF(Q146&gt;=50,"UBM50","UBM10-50"))))),0)</f>
        <v>0</v>
      </c>
      <c r="AK146" t="s">
        <f>IF(Q146&lt;32,"down",IF(Q146=32,32,IF(Q146&gt;32,"up")))</f>
        <v>6</v>
      </c>
    </row>
    <row r="147" spans="1:37">
      <c r="A147">
        <f>IF(X147=4968,4968,"Error")</f>
        <v>4968</v>
      </c>
      <c r="B147" t="s">
        <f>IF(K147&lt;272,"down",IF(K147=272,"low",IF(K147=283,"high",IF(AND(K147&gt;272,K147&lt;283),"normal","up"))))</f>
        <v>79</v>
      </c>
      <c r="C147" t="s">
        <f>IF(K147&lt;272,"down",IF(K147=272,"low",IF(K147=283,"high",IF(AND(K147&gt;272,K147&lt;283),"normal","up"))))</f>
        <v>79</v>
      </c>
      <c r="D147" t="s">
        <f>IF(K147&lt;272,"down",IF(K147=272,"low",IF(K147=283,"high",IF(AND(K147&gt;272,K147&lt;283),"normal","up"))))</f>
        <v>79</v>
      </c>
      <c r="E147" t="s">
        <f>IF(K147&lt;264.5,"down",IF(K147=264.5,"low",IF(K147=298.5,"high",IF(AND(K147&gt;264.5,K147&lt;298.5),"normal","up"))))</f>
        <v>79</v>
      </c>
      <c r="F147">
        <f>IF(P147&lt;274,"PVP-down",IF(P147=274,274,IF(P147&gt;274,"PVP-up")))</f>
        <v>274</v>
      </c>
      <c r="G147" t="s">
        <f>IF(R147&lt;455,"PVV-down",IF(R147=455,455,IF(R147&gt;455,"PVV-up")))</f>
        <v>81</v>
      </c>
      <c r="H147" s="40">
        <f>R147/(Y147/10000)</f>
        <v>0.12542024390874235</v>
      </c>
      <c r="I147">
        <v>274</v>
      </c>
      <c r="J147">
        <v>274</v>
      </c>
      <c r="K147">
        <v>278</v>
      </c>
      <c r="L147">
        <v>0</v>
      </c>
      <c r="M147">
        <v>0</v>
      </c>
      <c r="N147">
        <v>273.5</v>
      </c>
      <c r="O147">
        <v>274</v>
      </c>
      <c r="P147">
        <v>274</v>
      </c>
      <c r="Q147">
        <v>287</v>
      </c>
      <c r="R147">
        <v>7794</v>
      </c>
      <c r="S147">
        <v>4332</v>
      </c>
      <c r="T147" s="40">
        <f>((P147-K147)/K147)</f>
        <v>-0.014388489208633094</v>
      </c>
      <c r="U147" s="40">
        <f>((T147*AB147)*D4)</f>
        <v>-0.08779880262008756</v>
      </c>
      <c r="V147" s="3">
        <f>IF(P147&lt;=N147,(P147*Q147*1000),0)</f>
        <v>0</v>
      </c>
      <c r="W147" s="3">
        <f>IF(P147&gt;=O147,(P147*Q147*1000),0)</f>
        <v>78638000</v>
      </c>
      <c r="X147">
        <v>4968</v>
      </c>
      <c r="Y147" s="3">
        <v>621430780</v>
      </c>
      <c r="Z147" s="40">
        <f>((C4*AB147)/P147)/10</f>
        <v>0.0020437619537126772</v>
      </c>
      <c r="AA147" s="40">
        <f>((M147*AB147)*C4)</f>
        <v>0</v>
      </c>
      <c r="AB147" s="40">
        <f>AE147/AE323</f>
        <v>0.00047745900351216095</v>
      </c>
      <c r="AC147" s="40">
        <f>AF147/AF323</f>
        <v>0.00047302294607684233</v>
      </c>
      <c r="AD147" s="3">
        <f>IF(ISNA(J147),(I147*Y147)/10,(J147*Y147)/10)</f>
        <v>17027203372</v>
      </c>
      <c r="AE147" s="3">
        <f>IF(ISNA(P147),(I147*Y147)/10,(P147*Y147)/10)</f>
        <v>17027203372</v>
      </c>
      <c r="AF147" s="3">
        <f>(I147*Y147)/10</f>
        <v>17027203372</v>
      </c>
      <c r="AG147">
        <f>IF(AND(P147&lt;=N147,L147&lt;0),IF(Q147&lt;10,"DBL10",IF(Q147&gt;=200,"DBM200",IF(Q147&gt;=150,"DBM150",IF(Q147&gt;=100,"DBM100",IF(Q147&gt;=50,"DBM50","DBM10-50"))))),0)</f>
        <v>0</v>
      </c>
      <c r="AH147">
        <f>IF(AND(P147&gt;=O147,L147&lt;0),IF(Q147&lt;10,"DAL10",IF(Q147&gt;=200,"DAM200",IF(Q147&gt;=150,"DAM150",IF(Q147&gt;=100,"DAM100",IF(Q147&gt;=50,"DAM50","DAM10-50"))))),0)</f>
        <v>0</v>
      </c>
      <c r="AI147">
        <f>IF(AND(P147&gt;=O147,L147&gt;0),IF(Q147&lt;10,"UAL10",IF(Q147&gt;=200,"UAM200",IF(Q147&gt;=150,"UAM150",IF(Q147&gt;=100,"UAM100",IF(Q147&gt;=50,"UAM50","UAM10-50"))))),0)</f>
        <v>0</v>
      </c>
      <c r="AJ147">
        <f>IF(AND(P147&lt;=N147,L147&gt;0),IF(Q147&lt;10,"UBL10",IF(Q147&gt;=200,"UBM200",IF(Q147&gt;=150,"UBM150",IF(Q147&gt;=100,"UBM100",IF(Q147&gt;=50,"UBM50","UBM10-50"))))),0)</f>
        <v>0</v>
      </c>
      <c r="AK147" t="s">
        <f>IF(Q147&lt;171,"down",IF(Q147=171,171,IF(Q147&gt;171,"up")))</f>
        <v>6</v>
      </c>
    </row>
    <row r="148" spans="1:37">
      <c r="A148">
        <f>IF(X148=3017,3017,"Error")</f>
        <v>3017</v>
      </c>
      <c r="B148" t="s">
        <f>IF(K148&lt;47,"down",IF(K148=47,"low",IF(K148=51.600000000000001,"high",IF(AND(K148&gt;47,K148&lt;51.600000000000001),"normal","up"))))</f>
        <v>79</v>
      </c>
      <c r="C148" t="s">
        <f>IF(K148&lt;47,"down",IF(K148=47,"low",IF(K148=51.600000000000001,"high",IF(AND(K148&gt;47,K148&lt;51.600000000000001),"normal","up"))))</f>
        <v>79</v>
      </c>
      <c r="D148" t="s">
        <f>IF(K148&lt;47,"down",IF(K148=47,"low",IF(K148=51.600000000000001,"high",IF(AND(K148&gt;47,K148&lt;51.600000000000001),"normal","up"))))</f>
        <v>79</v>
      </c>
      <c r="E148" t="s">
        <f>IF(K148&lt;45,"down",IF(K148=45,"low",IF(K148=51.600000000000001,"high",IF(AND(K148&gt;45,K148&lt;51.600000000000001),"normal","up"))))</f>
        <v>79</v>
      </c>
      <c r="F148" t="s">
        <f>IF(P148&lt;51.600000000000001,"PVP-down",IF(P148=51.600000000000001,51.600000000000001,IF(P148&gt;51.600000000000001,"PVP-up")))</f>
        <v>80</v>
      </c>
      <c r="G148" t="s">
        <f>IF(R148&lt;3660,"PVV-down",IF(R148=3660,3660,IF(R148&gt;3660,"PVV-up")))</f>
        <v>81</v>
      </c>
      <c r="H148" s="40">
        <f>R148/(Y148/10000)</f>
        <v>0.058387792117734108</v>
      </c>
      <c r="I148">
        <v>47.200000000000003</v>
      </c>
      <c r="J148">
        <v>46.049999999999997</v>
      </c>
      <c r="K148">
        <v>47.399999999999999</v>
      </c>
      <c r="L148">
        <v>-1.1499999999999999</v>
      </c>
      <c r="M148">
        <v>-0.024400000000000002</v>
      </c>
      <c r="N148">
        <v>46.049999999999997</v>
      </c>
      <c r="O148">
        <v>46.100000000000001</v>
      </c>
      <c r="P148">
        <v>46.049999999999997</v>
      </c>
      <c r="Q148">
        <v>953</v>
      </c>
      <c r="R148">
        <v>20629</v>
      </c>
      <c r="S148">
        <v>46916</v>
      </c>
      <c r="T148" s="40">
        <f>((P148-K148)/K148)</f>
        <v>-0.028481012658227878</v>
      </c>
      <c r="U148" s="40">
        <f>((T148*AB148)*D4)</f>
        <v>-0.16606238025524966</v>
      </c>
      <c r="V148" s="3">
        <f>IF(P148&lt;=N148,(P148*Q148*1000),0)</f>
        <v>43885649.999999993</v>
      </c>
      <c r="W148" s="3">
        <f>IF(P148&gt;=O148,(P148*Q148*1000),0)</f>
        <v>0</v>
      </c>
      <c r="X148">
        <v>3017</v>
      </c>
      <c r="Y148" s="3">
        <v>3533101570</v>
      </c>
      <c r="Z148" s="40">
        <f>((C4*AB148)/P148)/10</f>
        <v>0.011619666742880883</v>
      </c>
      <c r="AA148" s="40">
        <f>((M148*AB148)*C4)</f>
        <v>-0.13056089945635818</v>
      </c>
      <c r="AB148" s="40">
        <f>AE148/AE323</f>
        <v>0.00045622441329257613</v>
      </c>
      <c r="AC148" s="40">
        <f>AF148/AF323</f>
        <v>0.00046327301806718278</v>
      </c>
      <c r="AD148" s="3">
        <f>IF(ISNA(J148),(I148*Y148)/10,(J148*Y148)/10)</f>
        <v>16269932729.85</v>
      </c>
      <c r="AE148" s="3">
        <f>IF(ISNA(P148),(I148*Y148)/10,(P148*Y148)/10)</f>
        <v>16269932729.85</v>
      </c>
      <c r="AF148" s="3">
        <f>(I148*Y148)/10</f>
        <v>16676239410.4</v>
      </c>
      <c r="AG148" t="s">
        <f>IF(AND(P148&lt;=N148,L148&lt;0),IF(Q148&lt;10,"DBL10",IF(Q148&gt;=200,"DBM200",IF(Q148&gt;=150,"DBM150",IF(Q148&gt;=100,"DBM100",IF(Q148&gt;=50,"DBM50","DBM10-50"))))),0)</f>
        <v>16</v>
      </c>
      <c r="AH148">
        <f>IF(AND(P148&gt;=O148,L148&lt;0),IF(Q148&lt;10,"DAL10",IF(Q148&gt;=200,"DAM200",IF(Q148&gt;=150,"DAM150",IF(Q148&gt;=100,"DAM100",IF(Q148&gt;=50,"DAM50","DAM10-50"))))),0)</f>
        <v>0</v>
      </c>
      <c r="AI148">
        <f>IF(AND(P148&gt;=O148,L148&gt;0),IF(Q148&lt;10,"UAL10",IF(Q148&gt;=200,"UAM200",IF(Q148&gt;=150,"UAM150",IF(Q148&gt;=100,"UAM100",IF(Q148&gt;=50,"UAM50","UAM10-50"))))),0)</f>
        <v>0</v>
      </c>
      <c r="AJ148">
        <f>IF(AND(P148&lt;=N148,L148&gt;0),IF(Q148&lt;10,"UBL10",IF(Q148&gt;=200,"UBM200",IF(Q148&gt;=150,"UBM150",IF(Q148&gt;=100,"UBM100",IF(Q148&gt;=50,"UBM50","UBM10-50"))))),0)</f>
        <v>0</v>
      </c>
      <c r="AK148" t="s">
        <f>IF(Q148&lt;4725,"down",IF(Q148=4725,4725,IF(Q148&gt;4725,"up")))</f>
        <v>7</v>
      </c>
    </row>
    <row r="149" spans="1:37">
      <c r="A149">
        <f>IF(X149=6202,6202,"Error")</f>
        <v>6202</v>
      </c>
      <c r="B149" t="s">
        <f>IF(K149&lt;72,"down",IF(K149=72,"low",IF(K149=73,"high",IF(AND(K149&gt;72,K149&lt;73),"normal","up"))))</f>
        <v>7</v>
      </c>
      <c r="C149" t="s">
        <f>IF(K149&lt;72,"down",IF(K149=72,"low",IF(K149=73,"high",IF(AND(K149&gt;72,K149&lt;73),"normal","up"))))</f>
        <v>7</v>
      </c>
      <c r="D149" t="s">
        <f>IF(K149&lt;72,"down",IF(K149=72,"low",IF(K149=73,"high",IF(AND(K149&gt;72,K149&lt;73),"normal","up"))))</f>
        <v>7</v>
      </c>
      <c r="E149" t="s">
        <f>IF(K149&lt;72,"down",IF(K149=72,"low",IF(K149=75,"high",IF(AND(K149&gt;72,K149&lt;75),"normal","up"))))</f>
        <v>7</v>
      </c>
      <c r="F149" t="s">
        <f>IF(P149&lt;72.700000000000003,"PVP-down",IF(P149=72.700000000000003,72.700000000000003,IF(P149&gt;72.700000000000003,"PVP-up")))</f>
        <v>80</v>
      </c>
      <c r="G149" t="s">
        <f>IF(R149&lt;989,"PVV-down",IF(R149=989,989,IF(R149&gt;989,"PVV-up")))</f>
        <v>81</v>
      </c>
      <c r="H149" s="40">
        <f>R149/(Y149/10000)</f>
        <v>0.014383100718845531</v>
      </c>
      <c r="I149">
        <v>72.700000000000003</v>
      </c>
      <c r="J149">
        <v>67.400000000000006</v>
      </c>
      <c r="K149">
        <v>68.900000000000006</v>
      </c>
      <c r="L149">
        <v>-1.3</v>
      </c>
      <c r="M149">
        <v>-0.0189</v>
      </c>
      <c r="N149">
        <v>67.299999999999997</v>
      </c>
      <c r="O149">
        <v>67.5</v>
      </c>
      <c r="P149">
        <v>67.400000000000006</v>
      </c>
      <c r="Q149">
        <v>39</v>
      </c>
      <c r="R149">
        <v>3253</v>
      </c>
      <c r="S149">
        <v>2961</v>
      </c>
      <c r="T149" s="40">
        <f>((P149-K149)/K149)</f>
        <v>-0.021770682148040638</v>
      </c>
      <c r="U149" s="40">
        <f>((T149*AB149)*D4)</f>
        <v>-0.11893058354441555</v>
      </c>
      <c r="V149" s="3">
        <f>IF(P149&lt;=N149,(P149*Q149*1000),0)</f>
        <v>0</v>
      </c>
      <c r="W149" s="3">
        <f>IF(P149&gt;=O149,(P149*Q149*1000),0)</f>
        <v>0</v>
      </c>
      <c r="X149">
        <v>6202</v>
      </c>
      <c r="Y149" s="3">
        <v>2261682000</v>
      </c>
      <c r="Z149" s="40">
        <f>((C4*AB149)/P149)/10</f>
        <v>0.0074382212335809854</v>
      </c>
      <c r="AA149" s="40">
        <f>((M149*AB149)*C4)</f>
        <v>-0.094752525006094754</v>
      </c>
      <c r="AB149" s="40">
        <f>AE149/AE323</f>
        <v>0.00042744889844935699</v>
      </c>
      <c r="AC149" s="40">
        <f>AF149/AF323</f>
        <v>0.00045677764160786076</v>
      </c>
      <c r="AD149" s="3">
        <f>IF(ISNA(J149),(I149*Y149)/10,(J149*Y149)/10)</f>
        <v>15243736680</v>
      </c>
      <c r="AE149" s="3">
        <f>IF(ISNA(P149),(I149*Y149)/10,(P149*Y149)/10)</f>
        <v>15243736680</v>
      </c>
      <c r="AF149" s="3">
        <f>(I149*Y149)/10</f>
        <v>16442428140</v>
      </c>
      <c r="AG149">
        <f>IF(AND(P149&lt;=N149,L149&lt;0),IF(Q149&lt;10,"DBL10",IF(Q149&gt;=200,"DBM200",IF(Q149&gt;=150,"DBM150",IF(Q149&gt;=100,"DBM100",IF(Q149&gt;=50,"DBM50","DBM10-50"))))),0)</f>
        <v>0</v>
      </c>
      <c r="AH149">
        <f>IF(AND(P149&gt;=O149,L149&lt;0),IF(Q149&lt;10,"DAL10",IF(Q149&gt;=200,"DAM200",IF(Q149&gt;=150,"DAM150",IF(Q149&gt;=100,"DAM100",IF(Q149&gt;=50,"DAM50","DAM10-50"))))),0)</f>
        <v>0</v>
      </c>
      <c r="AI149">
        <f>IF(AND(P149&gt;=O149,L149&gt;0),IF(Q149&lt;10,"UAL10",IF(Q149&gt;=200,"UAM200",IF(Q149&gt;=150,"UAM150",IF(Q149&gt;=100,"UAM100",IF(Q149&gt;=50,"UAM50","UAM10-50"))))),0)</f>
        <v>0</v>
      </c>
      <c r="AJ149">
        <f>IF(AND(P149&lt;=N149,L149&gt;0),IF(Q149&lt;10,"UBL10",IF(Q149&gt;=200,"UBM200",IF(Q149&gt;=150,"UBM150",IF(Q149&gt;=100,"UBM100",IF(Q149&gt;=50,"UBM50","UBM10-50"))))),0)</f>
        <v>0</v>
      </c>
      <c r="AK149" t="s">
        <f>IF(Q149&lt;78,"down",IF(Q149=78,78,IF(Q149&gt;78,"up")))</f>
        <v>7</v>
      </c>
    </row>
    <row r="150" spans="1:37">
      <c r="A150">
        <f>IF(X150=2393,2393,"Error")</f>
        <v>2393</v>
      </c>
      <c r="B150" t="s">
        <f>IF(K150&lt;34,"down",IF(K150=34,"low",IF(K150=34.75,"high",IF(AND(K150&gt;34,K150&lt;34.75),"normal","up"))))</f>
        <v>79</v>
      </c>
      <c r="C150" t="s">
        <f>IF(K150&lt;34,"down",IF(K150=34,"low",IF(K150=34.75,"high",IF(AND(K150&gt;34,K150&lt;34.75),"normal","up"))))</f>
        <v>79</v>
      </c>
      <c r="D150" t="s">
        <f>IF(K150&lt;34,"down",IF(K150=34,"low",IF(K150=34.75,"high",IF(AND(K150&gt;34,K150&lt;34.75),"normal","up"))))</f>
        <v>79</v>
      </c>
      <c r="E150" t="s">
        <f>IF(K150&lt;33.649999999999999,"down",IF(K150=33.649999999999999,"low",IF(K150=36.399999999999999,"high",IF(AND(K150&gt;33.649999999999999,K150&lt;36.399999999999999),"normal","up"))))</f>
        <v>79</v>
      </c>
      <c r="F150" t="s">
        <f>IF(P150&lt;34.600000000000001,"PVP-down",IF(P150=34.600000000000001,34.600000000000001,IF(P150&gt;34.600000000000001,"PVP-up")))</f>
        <v>80</v>
      </c>
      <c r="G150" t="s">
        <f>IF(R150&lt;332,"PVV-down",IF(R150=332,332,IF(R150&gt;332,"PVV-up")))</f>
        <v>81</v>
      </c>
      <c r="H150" s="40">
        <f>R150/(Y150/10000)</f>
        <v>0.0042738696964474011</v>
      </c>
      <c r="I150">
        <v>34.399999999999999</v>
      </c>
      <c r="J150">
        <v>33.649999999999999</v>
      </c>
      <c r="K150">
        <v>34.5</v>
      </c>
      <c r="L150">
        <v>-0.75</v>
      </c>
      <c r="M150">
        <v>-0.0218</v>
      </c>
      <c r="N150">
        <v>33.649999999999999</v>
      </c>
      <c r="O150">
        <v>33.700000000000003</v>
      </c>
      <c r="P150">
        <v>33.649999999999999</v>
      </c>
      <c r="Q150">
        <v>53</v>
      </c>
      <c r="R150">
        <v>1895</v>
      </c>
      <c r="S150">
        <v>2220</v>
      </c>
      <c r="T150" s="40">
        <f>((P150-K150)/K150)</f>
        <v>-0.024637681159420333</v>
      </c>
      <c r="U150" s="40">
        <f>((T150*AB150)*D4)</f>
        <v>-0.1317355263197347</v>
      </c>
      <c r="V150" s="3">
        <f>IF(P150&lt;=N150,(P150*Q150*1000),0)</f>
        <v>1783449.9999999998</v>
      </c>
      <c r="W150" s="3">
        <f>IF(P150&gt;=O150,(P150*Q150*1000),0)</f>
        <v>0</v>
      </c>
      <c r="X150">
        <v>2393</v>
      </c>
      <c r="Y150" s="3">
        <v>4433920860</v>
      </c>
      <c r="Z150" s="40">
        <f>((C4*AB150)/P150)/10</f>
        <v>0.014582281810117278</v>
      </c>
      <c r="AA150" s="40">
        <f>((M150*AB150)*C4)</f>
        <v>-0.10697124467447733</v>
      </c>
      <c r="AB150" s="40">
        <f>AE150/AE323</f>
        <v>0.00041837504284833102</v>
      </c>
      <c r="AC150" s="40">
        <f>AF150/AF323</f>
        <v>0.00042372614817844296</v>
      </c>
      <c r="AD150" s="3">
        <f>IF(ISNA(J150),(I150*Y150)/10,(J150*Y150)/10)</f>
        <v>14920143693.9</v>
      </c>
      <c r="AE150" s="3">
        <f>IF(ISNA(P150),(I150*Y150)/10,(P150*Y150)/10)</f>
        <v>14920143693.9</v>
      </c>
      <c r="AF150" s="3">
        <f>(I150*Y150)/10</f>
        <v>15252687758.4</v>
      </c>
      <c r="AG150" t="s">
        <f>IF(AND(P150&lt;=N150,L150&lt;0),IF(Q150&lt;10,"DBL10",IF(Q150&gt;=200,"DBM200",IF(Q150&gt;=150,"DBM150",IF(Q150&gt;=100,"DBM100",IF(Q150&gt;=50,"DBM50","DBM10-50"))))),0)</f>
        <v>13</v>
      </c>
      <c r="AH150">
        <f>IF(AND(P150&gt;=O150,L150&lt;0),IF(Q150&lt;10,"DAL10",IF(Q150&gt;=200,"DAM200",IF(Q150&gt;=150,"DAM150",IF(Q150&gt;=100,"DAM100",IF(Q150&gt;=50,"DAM50","DAM10-50"))))),0)</f>
        <v>0</v>
      </c>
      <c r="AI150">
        <f>IF(AND(P150&gt;=O150,L150&gt;0),IF(Q150&lt;10,"UAL10",IF(Q150&gt;=200,"UAM200",IF(Q150&gt;=150,"UAM150",IF(Q150&gt;=100,"UAM100",IF(Q150&gt;=50,"UAM50","UAM10-50"))))),0)</f>
        <v>0</v>
      </c>
      <c r="AJ150">
        <f>IF(AND(P150&lt;=N150,L150&gt;0),IF(Q150&lt;10,"UBL10",IF(Q150&gt;=200,"UBM200",IF(Q150&gt;=150,"UBM150",IF(Q150&gt;=100,"UBM100",IF(Q150&gt;=50,"UBM50","UBM10-50"))))),0)</f>
        <v>0</v>
      </c>
      <c r="AK150" t="s">
        <f>IF(Q150&lt;65,"down",IF(Q150=65,65,IF(Q150&gt;65,"up")))</f>
        <v>7</v>
      </c>
    </row>
    <row r="151" spans="1:37">
      <c r="A151">
        <f>IF(X151=3596,3596,"Error")</f>
        <v>3596</v>
      </c>
      <c r="B151" t="s">
        <f>IF(K151&lt;84.099999999999994,"down",IF(K151=84.099999999999994,"low",IF(K151=86.799999999999997,"high",IF(AND(K151&gt;84.099999999999994,K151&lt;86.799999999999997),"normal","up"))))</f>
        <v>79</v>
      </c>
      <c r="C151" t="s">
        <f>IF(K151&lt;84.099999999999994,"down",IF(K151=84.099999999999994,"low",IF(K151=86.799999999999997,"high",IF(AND(K151&gt;84.099999999999994,K151&lt;86.799999999999997),"normal","up"))))</f>
        <v>79</v>
      </c>
      <c r="D151" t="s">
        <f>IF(K151&lt;84.099999999999994,"down",IF(K151=84.099999999999994,"low",IF(K151=86.799999999999997,"high",IF(AND(K151&gt;84.099999999999994,K151&lt;86.799999999999997),"normal","up"))))</f>
        <v>79</v>
      </c>
      <c r="E151" t="s">
        <f>IF(K151&lt;75.400000000000006,"down",IF(K151=75.400000000000006,"low",IF(K151=86.799999999999997,"high",IF(AND(K151&gt;75.400000000000006,K151&lt;86.799999999999997),"normal","up"))))</f>
        <v>79</v>
      </c>
      <c r="F151" t="s">
        <f>IF(P151&lt;85.5,"PVP-down",IF(P151=85.5,85.5,IF(P151&gt;85.5,"PVP-up")))</f>
        <v>80</v>
      </c>
      <c r="G151" t="s">
        <f>IF(R151&lt;1597,"PVV-down",IF(R151=1597,1597,IF(R151&gt;1597,"PVV-up")))</f>
        <v>81</v>
      </c>
      <c r="H151" s="40">
        <f>R151/(Y151/10000)</f>
        <v>0.033447159843031947</v>
      </c>
      <c r="I151">
        <v>85.400000000000006</v>
      </c>
      <c r="J151">
        <v>84.400000000000006</v>
      </c>
      <c r="K151">
        <v>86.200000000000003</v>
      </c>
      <c r="L151">
        <v>-1</v>
      </c>
      <c r="M151">
        <v>-0.0117</v>
      </c>
      <c r="N151">
        <v>84.400000000000006</v>
      </c>
      <c r="O151">
        <v>84.5</v>
      </c>
      <c r="P151">
        <v>84.400000000000006</v>
      </c>
      <c r="Q151">
        <v>266</v>
      </c>
      <c r="R151">
        <v>6973</v>
      </c>
      <c r="S151">
        <v>13068</v>
      </c>
      <c r="T151" s="40">
        <f>((P151-K151)/K151)</f>
        <v>-0.020881670533642659</v>
      </c>
      <c r="U151" s="40">
        <f>((T151*AB151)*D4)</f>
        <v>-0.13167343944264318</v>
      </c>
      <c r="V151" s="3">
        <f>IF(P151&lt;=N151,(P151*Q151*1000),0)</f>
        <v>22450400</v>
      </c>
      <c r="W151" s="3">
        <f>IF(P151&gt;=O151,(P151*Q151*1000),0)</f>
        <v>0</v>
      </c>
      <c r="X151">
        <v>3596</v>
      </c>
      <c r="Y151" s="3">
        <v>2084780900</v>
      </c>
      <c r="Z151" s="40">
        <f>((C4*AB151)/P151)/10</f>
        <v>0.0068564287807676236</v>
      </c>
      <c r="AA151" s="40">
        <f>((M151*AB151)*C4)</f>
        <v>-0.067705862924324123</v>
      </c>
      <c r="AB151" s="40">
        <f>AE151/AE323</f>
        <v>0.00049339600671716058</v>
      </c>
      <c r="AC151" s="40">
        <f>AF151/AF323</f>
        <v>0.00049460348899936317</v>
      </c>
      <c r="AD151" s="3">
        <f>IF(ISNA(J151),(I151*Y151)/10,(J151*Y151)/10)</f>
        <v>17595550796</v>
      </c>
      <c r="AE151" s="3">
        <f>IF(ISNA(P151),(I151*Y151)/10,(P151*Y151)/10)</f>
        <v>17595550796</v>
      </c>
      <c r="AF151" s="3">
        <f>(I151*Y151)/10</f>
        <v>17804028886</v>
      </c>
      <c r="AG151" t="s">
        <f>IF(AND(P151&lt;=N151,L151&lt;0),IF(Q151&lt;10,"DBL10",IF(Q151&gt;=200,"DBM200",IF(Q151&gt;=150,"DBM150",IF(Q151&gt;=100,"DBM100",IF(Q151&gt;=50,"DBM50","DBM10-50"))))),0)</f>
        <v>16</v>
      </c>
      <c r="AH151">
        <f>IF(AND(P151&gt;=O151,L151&lt;0),IF(Q151&lt;10,"DAL10",IF(Q151&gt;=200,"DAM200",IF(Q151&gt;=150,"DAM150",IF(Q151&gt;=100,"DAM100",IF(Q151&gt;=50,"DAM50","DAM10-50"))))),0)</f>
        <v>0</v>
      </c>
      <c r="AI151">
        <f>IF(AND(P151&gt;=O151,L151&gt;0),IF(Q151&lt;10,"UAL10",IF(Q151&gt;=200,"UAM200",IF(Q151&gt;=150,"UAM150",IF(Q151&gt;=100,"UAM100",IF(Q151&gt;=50,"UAM50","UAM10-50"))))),0)</f>
        <v>0</v>
      </c>
      <c r="AJ151">
        <f>IF(AND(P151&lt;=N151,L151&gt;0),IF(Q151&lt;10,"UBL10",IF(Q151&gt;=200,"UBM200",IF(Q151&gt;=150,"UBM150",IF(Q151&gt;=100,"UBM100",IF(Q151&gt;=50,"UBM50","UBM10-50"))))),0)</f>
        <v>0</v>
      </c>
      <c r="AK151" t="s">
        <f>IF(Q151&lt;946,"down",IF(Q151=946,946,IF(Q151&gt;946,"up")))</f>
        <v>7</v>
      </c>
    </row>
    <row r="152" spans="1:37">
      <c r="A152">
        <f>IF(X152=2455,2455,"Error")</f>
        <v>2455</v>
      </c>
      <c r="B152" t="s">
        <f>IF(K152&lt;85.400000000000006,"down",IF(K152=85.400000000000006,"low",IF(K152=88,"high",IF(AND(K152&gt;85.400000000000006,K152&lt;88),"normal","up"))))</f>
        <v>82</v>
      </c>
      <c r="C152" t="s">
        <f>IF(K152&lt;85.400000000000006,"down",IF(K152=85.400000000000006,"low",IF(K152=88,"high",IF(AND(K152&gt;85.400000000000006,K152&lt;88),"normal","up"))))</f>
        <v>82</v>
      </c>
      <c r="D152" t="s">
        <f>IF(K152&lt;85.400000000000006,"down",IF(K152=85.400000000000006,"low",IF(K152=88,"high",IF(AND(K152&gt;85.400000000000006,K152&lt;88),"normal","up"))))</f>
        <v>82</v>
      </c>
      <c r="E152" t="s">
        <f>IF(K152&lt;85.400000000000006,"down",IF(K152=85.400000000000006,"low",IF(K152=89.5,"high",IF(AND(K152&gt;85.400000000000006,K152&lt;89.5),"normal","up"))))</f>
        <v>82</v>
      </c>
      <c r="F152" t="s">
        <f>IF(P152&lt;85.700000000000003,"PVP-down",IF(P152=85.700000000000003,85.700000000000003,IF(P152&gt;85.700000000000003,"PVP-up")))</f>
        <v>83</v>
      </c>
      <c r="G152" t="s">
        <f>IF(R152&lt;274,"PVV-down",IF(R152=274,274,IF(R152&gt;274,"PVV-up")))</f>
        <v>81</v>
      </c>
      <c r="H152" s="40">
        <f>R152/(Y152/10000)</f>
        <v>0.0065709092123271036</v>
      </c>
      <c r="I152">
        <v>85.700000000000003</v>
      </c>
      <c r="J152">
        <v>86.5</v>
      </c>
      <c r="K152">
        <v>85.400000000000006</v>
      </c>
      <c r="L152">
        <v>0.69999999999999996</v>
      </c>
      <c r="M152">
        <v>0.0082000000000000007</v>
      </c>
      <c r="N152">
        <v>86.299999999999997</v>
      </c>
      <c r="O152">
        <v>86.5</v>
      </c>
      <c r="P152">
        <v>86.400000000000006</v>
      </c>
      <c r="Q152">
        <v>41</v>
      </c>
      <c r="R152">
        <v>1215</v>
      </c>
      <c r="S152">
        <v>2446</v>
      </c>
      <c r="T152" s="40">
        <f>((P152-K152)/K152)</f>
        <v>0.011709601873536299</v>
      </c>
      <c r="U152" s="40">
        <f>((T152*AB152)*D4)</f>
        <v>0.067040424787489186</v>
      </c>
      <c r="V152" s="3">
        <f>IF(P152&lt;=N152,(P152*Q152*1000),0)</f>
        <v>0</v>
      </c>
      <c r="W152" s="3">
        <f>IF(P152&gt;=O152,(P152*Q152*1000),0)</f>
        <v>0</v>
      </c>
      <c r="X152">
        <v>2455</v>
      </c>
      <c r="Y152" s="3">
        <v>1849059180</v>
      </c>
      <c r="Z152" s="40">
        <f>((C4*AB152)/P152)/10</f>
        <v>0.0060811870346157617</v>
      </c>
      <c r="AA152" s="40">
        <f>((M152*AB152)*C4)</f>
        <v>0.043083993902845757</v>
      </c>
      <c r="AB152" s="40">
        <f>AE152/AE323</f>
        <v>0.00044797865108825273</v>
      </c>
      <c r="AC152" s="40">
        <f>AF152/AF323</f>
        <v>0.00044022075924288428</v>
      </c>
      <c r="AD152" s="3">
        <f>IF(ISNA(J152),(I152*Y152)/10,(J152*Y152)/10)</f>
        <v>15994361907</v>
      </c>
      <c r="AE152" s="3">
        <f>IF(ISNA(P152),(I152*Y152)/10,(P152*Y152)/10)</f>
        <v>15975871315.200001</v>
      </c>
      <c r="AF152" s="3">
        <f>(I152*Y152)/10</f>
        <v>15846437172.6</v>
      </c>
      <c r="AG152">
        <f>IF(AND(P152&lt;=N152,L152&lt;0),IF(Q152&lt;10,"DBL10",IF(Q152&gt;=200,"DBM200",IF(Q152&gt;=150,"DBM150",IF(Q152&gt;=100,"DBM100",IF(Q152&gt;=50,"DBM50","DBM10-50"))))),0)</f>
        <v>0</v>
      </c>
      <c r="AH152">
        <f>IF(AND(P152&gt;=O152,L152&lt;0),IF(Q152&lt;10,"DAL10",IF(Q152&gt;=200,"DAM200",IF(Q152&gt;=150,"DAM150",IF(Q152&gt;=100,"DAM100",IF(Q152&gt;=50,"DAM50","DAM10-50"))))),0)</f>
        <v>0</v>
      </c>
      <c r="AI152">
        <f>IF(AND(P152&gt;=O152,L152&gt;0),IF(Q152&lt;10,"UAL10",IF(Q152&gt;=200,"UAM200",IF(Q152&gt;=150,"UAM150",IF(Q152&gt;=100,"UAM100",IF(Q152&gt;=50,"UAM50","UAM10-50"))))),0)</f>
        <v>0</v>
      </c>
      <c r="AJ152">
        <f>IF(AND(P152&lt;=N152,L152&gt;0),IF(Q152&lt;10,"UBL10",IF(Q152&gt;=200,"UBM200",IF(Q152&gt;=150,"UBM150",IF(Q152&gt;=100,"UBM100",IF(Q152&gt;=50,"UBM50","UBM10-50"))))),0)</f>
        <v>0</v>
      </c>
      <c r="AK152" t="s">
        <f>IF(Q152&lt;32,"down",IF(Q152=32,32,IF(Q152&gt;32,"up")))</f>
        <v>6</v>
      </c>
    </row>
    <row r="153" spans="1:37">
      <c r="A153">
        <f>IF(X153=8131,8131,"Error")</f>
        <v>8131</v>
      </c>
      <c r="B153" t="s">
        <f>IF(K153&lt;35.649999999999999,"down",IF(K153=35.649999999999999,"low",IF(K153=36.399999999999999,"high",IF(AND(K153&gt;35.649999999999999,K153&lt;36.399999999999999),"normal","up"))))</f>
        <v>79</v>
      </c>
      <c r="C153" t="s">
        <f>IF(K153&lt;35.649999999999999,"down",IF(K153=35.649999999999999,"low",IF(K153=36.399999999999999,"high",IF(AND(K153&gt;35.649999999999999,K153&lt;36.399999999999999),"normal","up"))))</f>
        <v>79</v>
      </c>
      <c r="D153" t="s">
        <f>IF(K153&lt;35.649999999999999,"down",IF(K153=35.649999999999999,"low",IF(K153=36.399999999999999,"high",IF(AND(K153&gt;35.649999999999999,K153&lt;36.399999999999999),"normal","up"))))</f>
        <v>79</v>
      </c>
      <c r="E153" t="s">
        <f>IF(K153&lt;35.200000000000003,"down",IF(K153=35.200000000000003,"low",IF(K153=36.399999999999999,"high",IF(AND(K153&gt;35.200000000000003,K153&lt;36.399999999999999),"normal","up"))))</f>
        <v>79</v>
      </c>
      <c r="F153" t="s">
        <f>IF(P153&lt;36.299999999999997,"PVP-down",IF(P153=36.299999999999997,36.299999999999997,IF(P153&gt;36.299999999999997,"PVP-up")))</f>
        <v>80</v>
      </c>
      <c r="G153" t="s">
        <f>IF(R153&lt;82,"PVV-down",IF(R153=82,82,IF(R153&gt;82,"PVV-up")))</f>
        <v>81</v>
      </c>
      <c r="H153" s="40">
        <f>R153/(Y153/10000)</f>
        <v>0.00074396984793774143</v>
      </c>
      <c r="I153">
        <v>36.200000000000003</v>
      </c>
      <c r="J153">
        <v>36.049999999999997</v>
      </c>
      <c r="K153">
        <v>36.200000000000003</v>
      </c>
      <c r="L153">
        <v>-0.10000000000000001</v>
      </c>
      <c r="M153">
        <v>-0.0028</v>
      </c>
      <c r="N153">
        <v>36.049999999999997</v>
      </c>
      <c r="O153">
        <v>36.149999999999999</v>
      </c>
      <c r="P153">
        <v>36.100000000000001</v>
      </c>
      <c r="Q153">
        <v>11</v>
      </c>
      <c r="R153">
        <v>329</v>
      </c>
      <c r="S153">
        <v>465</v>
      </c>
      <c r="T153" s="40">
        <f>((P153-K153)/K153)</f>
        <v>-0.0027624309392265583</v>
      </c>
      <c r="U153" s="40">
        <f>((T153*AB153)*D4)</f>
        <v>-0.015804081813747008</v>
      </c>
      <c r="V153" s="3">
        <f>IF(P153&lt;=N153,(P153*Q153*1000),0)</f>
        <v>0</v>
      </c>
      <c r="W153" s="3">
        <f>IF(P153&gt;=O153,(P153*Q153*1000),0)</f>
        <v>0</v>
      </c>
      <c r="X153">
        <v>8131</v>
      </c>
      <c r="Y153" s="3">
        <v>4422222230</v>
      </c>
      <c r="Z153" s="40">
        <f>((C4*AB153)/P153)/10</f>
        <v>0.014543807348159405</v>
      </c>
      <c r="AA153" s="40">
        <f>((M153*AB153)*C4)</f>
        <v>-0.014700880467519526</v>
      </c>
      <c r="AB153" s="40">
        <f>AE153/AE323</f>
        <v>0.00044765200021097776</v>
      </c>
      <c r="AC153" s="40">
        <f>AF153/AF323</f>
        <v>0.00044472139088847634</v>
      </c>
      <c r="AD153" s="3">
        <f>IF(ISNA(J153),(I153*Y153)/10,(J153*Y153)/10)</f>
        <v>15942111139.15</v>
      </c>
      <c r="AE153" s="3">
        <f>IF(ISNA(P153),(I153*Y153)/10,(P153*Y153)/10)</f>
        <v>15964222250.299999</v>
      </c>
      <c r="AF153" s="3">
        <f>(I153*Y153)/10</f>
        <v>16008444472.6</v>
      </c>
      <c r="AG153">
        <f>IF(AND(P153&lt;=N153,L153&lt;0),IF(Q153&lt;10,"DBL10",IF(Q153&gt;=200,"DBM200",IF(Q153&gt;=150,"DBM150",IF(Q153&gt;=100,"DBM100",IF(Q153&gt;=50,"DBM50","DBM10-50"))))),0)</f>
        <v>0</v>
      </c>
      <c r="AH153">
        <f>IF(AND(P153&gt;=O153,L153&lt;0),IF(Q153&lt;10,"DAL10",IF(Q153&gt;=200,"DAM200",IF(Q153&gt;=150,"DAM150",IF(Q153&gt;=100,"DAM100",IF(Q153&gt;=50,"DAM50","DAM10-50"))))),0)</f>
        <v>0</v>
      </c>
      <c r="AI153">
        <f>IF(AND(P153&gt;=O153,L153&gt;0),IF(Q153&lt;10,"UAL10",IF(Q153&gt;=200,"UAM200",IF(Q153&gt;=150,"UAM150",IF(Q153&gt;=100,"UAM100",IF(Q153&gt;=50,"UAM50","UAM10-50"))))),0)</f>
        <v>0</v>
      </c>
      <c r="AJ153">
        <f>IF(AND(P153&lt;=N153,L153&gt;0),IF(Q153&lt;10,"UBL10",IF(Q153&gt;=200,"UBM200",IF(Q153&gt;=150,"UBM150",IF(Q153&gt;=100,"UBM100",IF(Q153&gt;=50,"UBM50","UBM10-50"))))),0)</f>
        <v>0</v>
      </c>
      <c r="AK153" t="s">
        <f>IF(Q153&lt;25,"down",IF(Q153=25,25,IF(Q153&gt;25,"up")))</f>
        <v>7</v>
      </c>
    </row>
    <row r="154" spans="1:37">
      <c r="A154">
        <f>IF(X154=2367,2367,"Error")</f>
        <v>2367</v>
      </c>
      <c r="B154" t="s">
        <f>IF(K154&lt;25.800000000000001,"down",IF(K154=25.800000000000001,"low",IF(K154=26.350000000000001,"high",IF(AND(K154&gt;25.800000000000001,K154&lt;26.350000000000001),"normal","up"))))</f>
        <v>79</v>
      </c>
      <c r="C154" t="s">
        <f>IF(K154&lt;25.800000000000001,"down",IF(K154=25.800000000000001,"low",IF(K154=26.350000000000001,"high",IF(AND(K154&gt;25.800000000000001,K154&lt;26.350000000000001),"normal","up"))))</f>
        <v>79</v>
      </c>
      <c r="D154" t="s">
        <f>IF(K154&lt;25.800000000000001,"down",IF(K154=25.800000000000001,"low",IF(K154=26.350000000000001,"high",IF(AND(K154&gt;25.800000000000001,K154&lt;26.350000000000001),"normal","up"))))</f>
        <v>79</v>
      </c>
      <c r="E154" t="s">
        <f>IF(K154&lt;25.25,"down",IF(K154=25.25,"low",IF(K154=27.399999999999999,"high",IF(AND(K154&gt;25.25,K154&lt;27.399999999999999),"normal","up"))))</f>
        <v>79</v>
      </c>
      <c r="F154" t="s">
        <f>IF(P154&lt;25.899999999999999,"PVP-down",IF(P154=25.899999999999999,25.899999999999999,IF(P154&gt;25.899999999999999,"PVP-up")))</f>
        <v>83</v>
      </c>
      <c r="G154" t="s">
        <f>IF(R154&lt;2411,"PVV-down",IF(R154=2411,2411,IF(R154&gt;2411,"PVV-up")))</f>
        <v>81</v>
      </c>
      <c r="H154" s="40">
        <f>R154/(Y154/10000)</f>
        <v>0.017000125967220187</v>
      </c>
      <c r="I154">
        <v>25.800000000000001</v>
      </c>
      <c r="J154">
        <v>25.949999999999999</v>
      </c>
      <c r="K154">
        <v>25.850000000000001</v>
      </c>
      <c r="L154">
        <v>0.14999999999999999</v>
      </c>
      <c r="M154">
        <v>0.0057999999999999996</v>
      </c>
      <c r="N154">
        <v>25.899999999999999</v>
      </c>
      <c r="O154">
        <v>25.949999999999999</v>
      </c>
      <c r="P154">
        <v>25.949999999999999</v>
      </c>
      <c r="Q154">
        <v>352</v>
      </c>
      <c r="R154">
        <v>10530</v>
      </c>
      <c r="S154">
        <v>14883</v>
      </c>
      <c r="T154" s="40">
        <f>((P154-K154)/K154)</f>
        <v>0.0038684719535782537</v>
      </c>
      <c r="U154" s="40">
        <f>((T154*AB154)*D4)</f>
        <v>0.022283485420780222</v>
      </c>
      <c r="V154" s="3">
        <f>IF(P154&lt;=N154,(P154*Q154*1000),0)</f>
        <v>0</v>
      </c>
      <c r="W154" s="3">
        <f>IF(P154&gt;=O154,(P154*Q154*1000),0)</f>
        <v>9134400</v>
      </c>
      <c r="X154">
        <v>2367</v>
      </c>
      <c r="Y154" s="3">
        <v>6194071750</v>
      </c>
      <c r="Z154" s="40">
        <f>((C4*AB154)/P154)/10</f>
        <v>0.020371067202716451</v>
      </c>
      <c r="AA154" s="40">
        <f>((M154*AB154)*C4)</f>
        <v>0.030660493246808522</v>
      </c>
      <c r="AB154" s="40">
        <f>AE154/AE323</f>
        <v>0.00045071951052932788</v>
      </c>
      <c r="AC154" s="40">
        <f>AF154/AF323</f>
        <v>0.00044395077974537995</v>
      </c>
      <c r="AD154" s="3">
        <f>IF(ISNA(J154),(I154*Y154)/10,(J154*Y154)/10)</f>
        <v>16073616191.25</v>
      </c>
      <c r="AE154" s="3">
        <f>IF(ISNA(P154),(I154*Y154)/10,(P154*Y154)/10)</f>
        <v>16073616191.25</v>
      </c>
      <c r="AF154" s="3">
        <f>(I154*Y154)/10</f>
        <v>15980705115</v>
      </c>
      <c r="AG154">
        <f>IF(AND(P154&lt;=N154,L154&lt;0),IF(Q154&lt;10,"DBL10",IF(Q154&gt;=200,"DBM200",IF(Q154&gt;=150,"DBM150",IF(Q154&gt;=100,"DBM100",IF(Q154&gt;=50,"DBM50","DBM10-50"))))),0)</f>
        <v>0</v>
      </c>
      <c r="AH154">
        <f>IF(AND(P154&gt;=O154,L154&lt;0),IF(Q154&lt;10,"DAL10",IF(Q154&gt;=200,"DAM200",IF(Q154&gt;=150,"DAM150",IF(Q154&gt;=100,"DAM100",IF(Q154&gt;=50,"DAM50","DAM10-50"))))),0)</f>
        <v>0</v>
      </c>
      <c r="AI154" t="s">
        <f>IF(AND(P154&gt;=O154,L154&gt;0),IF(Q154&lt;10,"UAL10",IF(Q154&gt;=200,"UAM200",IF(Q154&gt;=150,"UAM150",IF(Q154&gt;=100,"UAM100",IF(Q154&gt;=50,"UAM50","UAM10-50"))))),0)</f>
        <v>31</v>
      </c>
      <c r="AJ154">
        <f>IF(AND(P154&lt;=N154,L154&gt;0),IF(Q154&lt;10,"UBL10",IF(Q154&gt;=200,"UBM200",IF(Q154&gt;=150,"UBM150",IF(Q154&gt;=100,"UBM100",IF(Q154&gt;=50,"UBM50","UBM10-50"))))),0)</f>
        <v>0</v>
      </c>
      <c r="AK154" t="s">
        <f>IF(Q154&lt;1094,"down",IF(Q154=1094,1094,IF(Q154&gt;1094,"up")))</f>
        <v>7</v>
      </c>
    </row>
    <row r="155" spans="1:37">
      <c r="A155">
        <f>IF(X155=4927,4927,"Error")</f>
        <v>4927</v>
      </c>
      <c r="B155" t="s">
        <f>IF(K155&lt;74,"down",IF(K155=74,"low",IF(K155=77,"high",IF(AND(K155&gt;74,K155&lt;77),"normal","up"))))</f>
        <v>79</v>
      </c>
      <c r="C155" t="s">
        <f>IF(K155&lt;74,"down",IF(K155=74,"low",IF(K155=77,"high",IF(AND(K155&gt;74,K155&lt;77),"normal","up"))))</f>
        <v>79</v>
      </c>
      <c r="D155" t="s">
        <f>IF(K155&lt;74,"down",IF(K155=74,"low",IF(K155=77,"high",IF(AND(K155&gt;74,K155&lt;77),"normal","up"))))</f>
        <v>79</v>
      </c>
      <c r="E155" t="s">
        <f>IF(K155&lt;73.5,"down",IF(K155=73.5,"low",IF(K155=83.5,"high",IF(AND(K155&gt;73.5,K155&lt;83.5),"normal","up"))))</f>
        <v>79</v>
      </c>
      <c r="F155" t="s">
        <f>IF(P155&lt;75,"PVP-down",IF(P155=75,75,IF(P155&gt;75,"PVP-up")))</f>
        <v>83</v>
      </c>
      <c r="G155" t="s">
        <f>IF(R155&lt;403,"PVV-down",IF(R155=403,403,IF(R155&gt;403,"PVV-up")))</f>
        <v>81</v>
      </c>
      <c r="H155" s="40">
        <f>R155/(Y155/10000)</f>
        <v>0.027393151074128465</v>
      </c>
      <c r="I155">
        <v>74.400000000000006</v>
      </c>
      <c r="J155">
        <v>75.799999999999997</v>
      </c>
      <c r="K155">
        <v>74.900000000000006</v>
      </c>
      <c r="L155">
        <v>1.3999999999999999</v>
      </c>
      <c r="M155">
        <v>0.018800000000000001</v>
      </c>
      <c r="N155">
        <v>75.799999999999997</v>
      </c>
      <c r="O155">
        <v>75.900000000000006</v>
      </c>
      <c r="P155">
        <v>75.799999999999997</v>
      </c>
      <c r="Q155">
        <v>129</v>
      </c>
      <c r="R155">
        <v>5203</v>
      </c>
      <c r="S155">
        <v>4859</v>
      </c>
      <c r="T155" s="40">
        <f>((P155-K155)/K155)</f>
        <v>0.01201602136181564</v>
      </c>
      <c r="U155" s="40">
        <f>((T155*AB155)*D4)</f>
        <v>0.061997161361407364</v>
      </c>
      <c r="V155" s="3">
        <f>IF(P155&lt;=N155,(P155*Q155*1000),0)</f>
        <v>9778199.9999999981</v>
      </c>
      <c r="W155" s="3">
        <f>IF(P155&gt;=O155,(P155*Q155*1000),0)</f>
        <v>0</v>
      </c>
      <c r="X155">
        <v>4927</v>
      </c>
      <c r="Y155" s="3">
        <v>1899379880</v>
      </c>
      <c r="Z155" s="40">
        <f>((C4*AB155)/P155)/10</f>
        <v>0.0062466817855262174</v>
      </c>
      <c r="AA155" s="40">
        <f>((M155*AB155)*C4)</f>
        <v>0.089017714116462796</v>
      </c>
      <c r="AB155" s="40">
        <f>AE155/AE323</f>
        <v>0.00040371399329478371</v>
      </c>
      <c r="AC155" s="40">
        <f>AF155/AF323</f>
        <v>0.00039257591732144454</v>
      </c>
      <c r="AD155" s="3">
        <f>IF(ISNA(J155),(I155*Y155)/10,(J155*Y155)/10)</f>
        <v>14397299490.4</v>
      </c>
      <c r="AE155" s="3">
        <f>IF(ISNA(P155),(I155*Y155)/10,(P155*Y155)/10)</f>
        <v>14397299490.4</v>
      </c>
      <c r="AF155" s="3">
        <f>(I155*Y155)/10</f>
        <v>14131386307.200001</v>
      </c>
      <c r="AG155">
        <f>IF(AND(P155&lt;=N155,L155&lt;0),IF(Q155&lt;10,"DBL10",IF(Q155&gt;=200,"DBM200",IF(Q155&gt;=150,"DBM150",IF(Q155&gt;=100,"DBM100",IF(Q155&gt;=50,"DBM50","DBM10-50"))))),0)</f>
        <v>0</v>
      </c>
      <c r="AH155">
        <f>IF(AND(P155&gt;=O155,L155&lt;0),IF(Q155&lt;10,"DAL10",IF(Q155&gt;=200,"DAM200",IF(Q155&gt;=150,"DAM150",IF(Q155&gt;=100,"DAM100",IF(Q155&gt;=50,"DAM50","DAM10-50"))))),0)</f>
        <v>0</v>
      </c>
      <c r="AI155">
        <f>IF(AND(P155&gt;=O155,L155&gt;0),IF(Q155&lt;10,"UAL10",IF(Q155&gt;=200,"UAM200",IF(Q155&gt;=150,"UAM150",IF(Q155&gt;=100,"UAM100",IF(Q155&gt;=50,"UAM50","UAM10-50"))))),0)</f>
        <v>0</v>
      </c>
      <c r="AJ155" t="s">
        <f>IF(AND(P155&lt;=N155,L155&gt;0),IF(Q155&lt;10,"UBL10",IF(Q155&gt;=200,"UBM200",IF(Q155&gt;=150,"UBM150",IF(Q155&gt;=100,"UBM100",IF(Q155&gt;=50,"UBM50","UBM10-50"))))),0)</f>
        <v>19</v>
      </c>
      <c r="AK155" t="s">
        <f>IF(Q155&lt;90,"down",IF(Q155=90,90,IF(Q155&gt;90,"up")))</f>
        <v>6</v>
      </c>
    </row>
    <row r="156" spans="1:37">
      <c r="A156">
        <f>IF(X156=6166,6166,"Error")</f>
        <v>6166</v>
      </c>
      <c r="B156" t="s">
        <f>IF(K156&lt;67,"down",IF(K156=67,"low",IF(K156=68.099999999999994,"high",IF(AND(K156&gt;67,K156&lt;68.099999999999994),"normal","up"))))</f>
        <v>82</v>
      </c>
      <c r="C156" t="s">
        <f>IF(K156&lt;67,"down",IF(K156=67,"low",IF(K156=68.099999999999994,"high",IF(AND(K156&gt;67,K156&lt;68.099999999999994),"normal","up"))))</f>
        <v>82</v>
      </c>
      <c r="D156" t="s">
        <f>IF(K156&lt;67,"down",IF(K156=67,"low",IF(K156=68.099999999999994,"high",IF(AND(K156&gt;67,K156&lt;68.099999999999994),"normal","up"))))</f>
        <v>82</v>
      </c>
      <c r="E156" t="s">
        <f>IF(K156&lt;67,"down",IF(K156=67,"low",IF(K156=72.799999999999997,"high",IF(AND(K156&gt;67,K156&lt;72.799999999999997),"normal","up"))))</f>
        <v>82</v>
      </c>
      <c r="F156" t="s">
        <f>IF(P156&lt;67.299999999999997,"PVP-down",IF(P156=67.299999999999997,67.299999999999997,IF(P156&gt;67.299999999999997,"PVP-up")))</f>
        <v>80</v>
      </c>
      <c r="G156" t="s">
        <f>IF(R156&lt;89,"PVV-down",IF(R156=89,89,IF(R156&gt;89,"PVV-up")))</f>
        <v>81</v>
      </c>
      <c r="H156" s="40">
        <f>R156/(Y156/10000)</f>
        <v>0.0012413949661903092</v>
      </c>
      <c r="I156">
        <v>67.299999999999997</v>
      </c>
      <c r="J156">
        <v>66.200000000000003</v>
      </c>
      <c r="K156">
        <v>67</v>
      </c>
      <c r="L156">
        <v>-1.1000000000000001</v>
      </c>
      <c r="M156">
        <v>-0.016299999999999999</v>
      </c>
      <c r="N156">
        <v>66.200000000000003</v>
      </c>
      <c r="O156">
        <v>66.5</v>
      </c>
      <c r="P156">
        <v>66.200000000000003</v>
      </c>
      <c r="Q156">
        <v>10</v>
      </c>
      <c r="R156">
        <v>270</v>
      </c>
      <c r="S156">
        <v>353</v>
      </c>
      <c r="T156" s="40">
        <f>((P156-K156)/K156)</f>
        <v>-0.011940298507462643</v>
      </c>
      <c r="U156" s="40">
        <f>((T156*AB156)*D4)</f>
        <v>-0.061610826150204759</v>
      </c>
      <c r="V156" s="3">
        <f>IF(P156&lt;=N156,(P156*Q156*1000),0)</f>
        <v>662000</v>
      </c>
      <c r="W156" s="3">
        <f>IF(P156&gt;=O156,(P156*Q156*1000),0)</f>
        <v>0</v>
      </c>
      <c r="X156">
        <v>6166</v>
      </c>
      <c r="Y156" s="3">
        <v>2174972570</v>
      </c>
      <c r="Z156" s="40">
        <f>((C4*AB156)/P156)/10</f>
        <v>0.0071530512037634858</v>
      </c>
      <c r="AA156" s="40">
        <f>((M156*AB156)*C4)</f>
        <v>-0.077185714319330259</v>
      </c>
      <c r="AB156" s="40">
        <f>AE156/AE323</f>
        <v>0.00040374256486638046</v>
      </c>
      <c r="AC156" s="40">
        <f>AF156/AF323</f>
        <v>0.00040663778753248004</v>
      </c>
      <c r="AD156" s="3">
        <f>IF(ISNA(J156),(I156*Y156)/10,(J156*Y156)/10)</f>
        <v>14398318413.4</v>
      </c>
      <c r="AE156" s="3">
        <f>IF(ISNA(P156),(I156*Y156)/10,(P156*Y156)/10)</f>
        <v>14398318413.4</v>
      </c>
      <c r="AF156" s="3">
        <f>(I156*Y156)/10</f>
        <v>14637565396.1</v>
      </c>
      <c r="AG156" t="s">
        <f>IF(AND(P156&lt;=N156,L156&lt;0),IF(Q156&lt;10,"DBL10",IF(Q156&gt;=200,"DBM200",IF(Q156&gt;=150,"DBM150",IF(Q156&gt;=100,"DBM100",IF(Q156&gt;=50,"DBM50","DBM10-50"))))),0)</f>
        <v>12</v>
      </c>
      <c r="AH156">
        <f>IF(AND(P156&gt;=O156,L156&lt;0),IF(Q156&lt;10,"DAL10",IF(Q156&gt;=200,"DAM200",IF(Q156&gt;=150,"DAM150",IF(Q156&gt;=100,"DAM100",IF(Q156&gt;=50,"DAM50","DAM10-50"))))),0)</f>
        <v>0</v>
      </c>
      <c r="AI156">
        <f>IF(AND(P156&gt;=O156,L156&gt;0),IF(Q156&lt;10,"UAL10",IF(Q156&gt;=200,"UAM200",IF(Q156&gt;=150,"UAM150",IF(Q156&gt;=100,"UAM100",IF(Q156&gt;=50,"UAM50","UAM10-50"))))),0)</f>
        <v>0</v>
      </c>
      <c r="AJ156">
        <f>IF(AND(P156&lt;=N156,L156&gt;0),IF(Q156&lt;10,"UBL10",IF(Q156&gt;=200,"UBM200",IF(Q156&gt;=150,"UBM150",IF(Q156&gt;=100,"UBM100",IF(Q156&gt;=50,"UBM50","UBM10-50"))))),0)</f>
        <v>0</v>
      </c>
      <c r="AK156" t="s">
        <f>IF(Q156&lt;14,"down",IF(Q156=14,14,IF(Q156&gt;14,"up")))</f>
        <v>7</v>
      </c>
    </row>
    <row r="157" spans="1:37">
      <c r="A157">
        <f>IF(X157=4935,4935,"Error")</f>
        <v>4935</v>
      </c>
      <c r="B157" t="s">
        <f>IF(K157&lt;113,"down",IF(K157=113,"low",IF(K157=124,"high",IF(AND(K157&gt;113,K157&lt;124),"normal","up"))))</f>
        <v>7</v>
      </c>
      <c r="C157" t="s">
        <f>IF(K157&lt;113,"down",IF(K157=113,"low",IF(K157=124,"high",IF(AND(K157&gt;113,K157&lt;124),"normal","up"))))</f>
        <v>7</v>
      </c>
      <c r="D157" t="s">
        <f>IF(K157&lt;113,"down",IF(K157=113,"low",IF(K157=124,"high",IF(AND(K157&gt;113,K157&lt;124),"normal","up"))))</f>
        <v>7</v>
      </c>
      <c r="E157" t="s">
        <f>IF(K157&lt;108,"down",IF(K157=108,"low",IF(K157=124,"high",IF(AND(K157&gt;108,K157&lt;124),"normal","up"))))</f>
        <v>79</v>
      </c>
      <c r="F157" t="s">
        <f>IF(P157&lt;113.5,"PVP-down",IF(P157=113.5,113.5,IF(P157&gt;113.5,"PVP-up")))</f>
        <v>80</v>
      </c>
      <c r="G157" t="s">
        <f>IF(R157&lt;501,"PVV-down",IF(R157=501,501,IF(R157&gt;501,"PVV-up")))</f>
        <v>81</v>
      </c>
      <c r="H157" s="40">
        <f>R157/(Y157/10000)</f>
        <v>0.017367118687553553</v>
      </c>
      <c r="I157">
        <v>113</v>
      </c>
      <c r="J157">
        <v>113</v>
      </c>
      <c r="K157">
        <v>112.5</v>
      </c>
      <c r="L157">
        <v>0</v>
      </c>
      <c r="M157">
        <v>0</v>
      </c>
      <c r="N157">
        <v>113</v>
      </c>
      <c r="O157">
        <v>113.5</v>
      </c>
      <c r="P157">
        <v>113</v>
      </c>
      <c r="Q157">
        <v>159</v>
      </c>
      <c r="R157">
        <v>2274</v>
      </c>
      <c r="S157">
        <v>5452</v>
      </c>
      <c r="T157" s="40">
        <f>((P157-K157)/K157)</f>
        <v>0.0044444444444444444</v>
      </c>
      <c r="U157" s="40">
        <f>((T157*AB157)*D4)</f>
        <v>0.02356615272695585</v>
      </c>
      <c r="V157" s="3">
        <f>IF(P157&lt;=N157,(P157*Q157*1000),0)</f>
        <v>17967000</v>
      </c>
      <c r="W157" s="3">
        <f>IF(P157&gt;=O157,(P157*Q157*1000),0)</f>
        <v>0</v>
      </c>
      <c r="X157">
        <v>4935</v>
      </c>
      <c r="Y157" s="3">
        <v>1309370910</v>
      </c>
      <c r="Z157" s="40">
        <f>((C4*AB157)/P157)/10</f>
        <v>0.0043062599009919423</v>
      </c>
      <c r="AA157" s="40">
        <f>((M157*AB157)*C4)</f>
        <v>0</v>
      </c>
      <c r="AB157" s="40">
        <f>AE157/AE323</f>
        <v>0.00041489088687766506</v>
      </c>
      <c r="AC157" s="40">
        <f>AF157/AF323</f>
        <v>0.00041103614795758779</v>
      </c>
      <c r="AD157" s="3">
        <f>IF(ISNA(J157),(I157*Y157)/10,(J157*Y157)/10)</f>
        <v>14795891283</v>
      </c>
      <c r="AE157" s="3">
        <f>IF(ISNA(P157),(I157*Y157)/10,(P157*Y157)/10)</f>
        <v>14795891283</v>
      </c>
      <c r="AF157" s="3">
        <f>(I157*Y157)/10</f>
        <v>14795891283</v>
      </c>
      <c r="AG157">
        <f>IF(AND(P157&lt;=N157,L157&lt;0),IF(Q157&lt;10,"DBL10",IF(Q157&gt;=200,"DBM200",IF(Q157&gt;=150,"DBM150",IF(Q157&gt;=100,"DBM100",IF(Q157&gt;=50,"DBM50","DBM10-50"))))),0)</f>
        <v>0</v>
      </c>
      <c r="AH157">
        <f>IF(AND(P157&gt;=O157,L157&lt;0),IF(Q157&lt;10,"DAL10",IF(Q157&gt;=200,"DAM200",IF(Q157&gt;=150,"DAM150",IF(Q157&gt;=100,"DAM100",IF(Q157&gt;=50,"DAM50","DAM10-50"))))),0)</f>
        <v>0</v>
      </c>
      <c r="AI157">
        <f>IF(AND(P157&gt;=O157,L157&gt;0),IF(Q157&lt;10,"UAL10",IF(Q157&gt;=200,"UAM200",IF(Q157&gt;=150,"UAM150",IF(Q157&gt;=100,"UAM100",IF(Q157&gt;=50,"UAM50","UAM10-50"))))),0)</f>
        <v>0</v>
      </c>
      <c r="AJ157">
        <f>IF(AND(P157&lt;=N157,L157&gt;0),IF(Q157&lt;10,"UBL10",IF(Q157&gt;=200,"UBM200",IF(Q157&gt;=150,"UBM150",IF(Q157&gt;=100,"UBM100",IF(Q157&gt;=50,"UBM50","UBM10-50"))))),0)</f>
        <v>0</v>
      </c>
      <c r="AK157" t="s">
        <f>IF(Q157&lt;164,"down",IF(Q157=164,164,IF(Q157&gt;164,"up")))</f>
        <v>7</v>
      </c>
    </row>
    <row r="158" spans="1:37">
      <c r="A158">
        <f>IF(X158=2312,2312,"Error")</f>
        <v>2312</v>
      </c>
      <c r="B158" t="s">
        <f>IF(K158&lt;10.050000000000001,"down",IF(K158=10.050000000000001,"low",IF(K158=10.199999999999999,"high",IF(AND(K158&gt;10.050000000000001,K158&lt;10.199999999999999),"normal","up"))))</f>
        <v>84</v>
      </c>
      <c r="C158" t="s">
        <f>IF(K158&lt;10.050000000000001,"down",IF(K158=10.050000000000001,"low",IF(K158=10.199999999999999,"high",IF(AND(K158&gt;10.050000000000001,K158&lt;10.199999999999999),"normal","up"))))</f>
        <v>84</v>
      </c>
      <c r="D158" t="s">
        <f>IF(K158&lt;10.050000000000001,"down",IF(K158=10.050000000000001,"low",IF(K158=10.199999999999999,"high",IF(AND(K158&gt;10.050000000000001,K158&lt;10.199999999999999),"normal","up"))))</f>
        <v>84</v>
      </c>
      <c r="E158" t="s">
        <f>IF(K158&lt;9.6500000000000004,"down",IF(K158=9.6500000000000004,"low",IF(K158=10.25,"high",IF(AND(K158&gt;9.6500000000000004,K158&lt;10.25),"normal","up"))))</f>
        <v>79</v>
      </c>
      <c r="F158" t="s">
        <f>IF(P158&lt;10.1,"PVP-down",IF(P158=10.1,10.1,IF(P158&gt;10.1,"PVP-up")))</f>
        <v>80</v>
      </c>
      <c r="G158" t="s">
        <f>IF(R158&lt;2410,"PVV-down",IF(R158=2410,2410,IF(R158&gt;2410,"PVV-up")))</f>
        <v>81</v>
      </c>
      <c r="H158" s="40">
        <f>R158/(Y158/10000)</f>
        <v>0.0027927450086536929</v>
      </c>
      <c r="I158">
        <v>10.199999999999999</v>
      </c>
      <c r="J158">
        <v>10.050000000000001</v>
      </c>
      <c r="K158">
        <v>10.199999999999999</v>
      </c>
      <c r="L158">
        <v>-0.14999999999999999</v>
      </c>
      <c r="M158">
        <v>-0.0147</v>
      </c>
      <c r="N158">
        <v>10.050000000000001</v>
      </c>
      <c r="O158">
        <v>10.1</v>
      </c>
      <c r="P158">
        <v>10.050000000000001</v>
      </c>
      <c r="Q158">
        <v>547</v>
      </c>
      <c r="R158">
        <v>4094</v>
      </c>
      <c r="S158">
        <v>4868</v>
      </c>
      <c r="T158" s="40">
        <f>((P158-K158)/K158)</f>
        <v>-0.014705882352941037</v>
      </c>
      <c r="U158" s="40">
        <f>((T158*AB158)*D4)</f>
        <v>-0.077643262821999112</v>
      </c>
      <c r="V158" s="3">
        <f>IF(P158&lt;=N158,(P158*Q158*1000),0)</f>
        <v>5497350</v>
      </c>
      <c r="W158" s="3">
        <f>IF(P158&gt;=O158,(P158*Q158*1000),0)</f>
        <v>0</v>
      </c>
      <c r="X158">
        <v>2312</v>
      </c>
      <c r="Y158" s="3">
        <v>14659412110</v>
      </c>
      <c r="Z158" s="40">
        <f>((C4*AB158)/P158)/10</f>
        <v>0.04821188408822117</v>
      </c>
      <c r="AA158" s="40">
        <f>((M158*AB158)*C4)</f>
        <v>-0.071225826957733551</v>
      </c>
      <c r="AB158" s="40">
        <f>AE158/AE323</f>
        <v>0.00041311920025414246</v>
      </c>
      <c r="AC158" s="40">
        <f>AF158/AF323</f>
        <v>0.00041538959249985718</v>
      </c>
      <c r="AD158" s="3">
        <f>IF(ISNA(J158),(I158*Y158)/10,(J158*Y158)/10)</f>
        <v>14732709170.549999</v>
      </c>
      <c r="AE158" s="3">
        <f>IF(ISNA(P158),(I158*Y158)/10,(P158*Y158)/10)</f>
        <v>14732709170.549999</v>
      </c>
      <c r="AF158" s="3">
        <f>(I158*Y158)/10</f>
        <v>14952600352.200001</v>
      </c>
      <c r="AG158" t="s">
        <f>IF(AND(P158&lt;=N158,L158&lt;0),IF(Q158&lt;10,"DBL10",IF(Q158&gt;=200,"DBM200",IF(Q158&gt;=150,"DBM150",IF(Q158&gt;=100,"DBM100",IF(Q158&gt;=50,"DBM50","DBM10-50"))))),0)</f>
        <v>16</v>
      </c>
      <c r="AH158">
        <f>IF(AND(P158&gt;=O158,L158&lt;0),IF(Q158&lt;10,"DAL10",IF(Q158&gt;=200,"DAM200",IF(Q158&gt;=150,"DAM150",IF(Q158&gt;=100,"DAM100",IF(Q158&gt;=50,"DAM50","DAM10-50"))))),0)</f>
        <v>0</v>
      </c>
      <c r="AI158">
        <f>IF(AND(P158&gt;=O158,L158&gt;0),IF(Q158&lt;10,"UAL10",IF(Q158&gt;=200,"UAM200",IF(Q158&gt;=150,"UAM150",IF(Q158&gt;=100,"UAM100",IF(Q158&gt;=50,"UAM50","UAM10-50"))))),0)</f>
        <v>0</v>
      </c>
      <c r="AJ158">
        <f>IF(AND(P158&lt;=N158,L158&gt;0),IF(Q158&lt;10,"UBL10",IF(Q158&gt;=200,"UBM200",IF(Q158&gt;=150,"UBM150",IF(Q158&gt;=100,"UBM100",IF(Q158&gt;=50,"UBM50","UBM10-50"))))),0)</f>
        <v>0</v>
      </c>
      <c r="AK158" t="s">
        <f>IF(Q158&lt;42,"down",IF(Q158=42,42,IF(Q158&gt;42,"up")))</f>
        <v>6</v>
      </c>
    </row>
    <row r="159" spans="1:37">
      <c r="A159">
        <f>IF(X159=6153,6153,"Error")</f>
        <v>6153</v>
      </c>
      <c r="B159" t="s">
        <f>IF(K159&lt;29.800000000000001,"down",IF(K159=29.800000000000001,"low",IF(K159=30.5,"high",IF(AND(K159&gt;29.800000000000001,K159&lt;30.5),"normal","up"))))</f>
        <v>79</v>
      </c>
      <c r="C159" t="s">
        <f>IF(K159&lt;29.800000000000001,"down",IF(K159=29.800000000000001,"low",IF(K159=30.5,"high",IF(AND(K159&gt;29.800000000000001,K159&lt;30.5),"normal","up"))))</f>
        <v>79</v>
      </c>
      <c r="D159" t="s">
        <f>IF(K159&lt;29.800000000000001,"down",IF(K159=29.800000000000001,"low",IF(K159=30.5,"high",IF(AND(K159&gt;29.800000000000001,K159&lt;30.5),"normal","up"))))</f>
        <v>79</v>
      </c>
      <c r="E159" t="s">
        <f>IF(K159&lt;29.800000000000001,"down",IF(K159=29.800000000000001,"low",IF(K159=31.800000000000001,"high",IF(AND(K159&gt;29.800000000000001,K159&lt;31.800000000000001),"normal","up"))))</f>
        <v>79</v>
      </c>
      <c r="F159" t="s">
        <f>IF(P159&lt;30,"PVP-down",IF(P159=30,30,IF(P159&gt;30,"PVP-up")))</f>
        <v>80</v>
      </c>
      <c r="G159" t="s">
        <f>IF(R159&lt;716,"PVV-down",IF(R159=716,716,IF(R159&gt;716,"PVV-up")))</f>
        <v>81</v>
      </c>
      <c r="H159" s="40">
        <f>R159/(Y159/10000)</f>
        <v>0.0068292104493864834</v>
      </c>
      <c r="I159">
        <v>30</v>
      </c>
      <c r="J159">
        <v>29.399999999999999</v>
      </c>
      <c r="K159">
        <v>30.100000000000001</v>
      </c>
      <c r="L159">
        <v>-0.59999999999999998</v>
      </c>
      <c r="M159">
        <v>-0.02</v>
      </c>
      <c r="N159">
        <v>29.399999999999999</v>
      </c>
      <c r="O159">
        <v>29.449999999999999</v>
      </c>
      <c r="P159">
        <v>29.399999999999999</v>
      </c>
      <c r="Q159">
        <v>233</v>
      </c>
      <c r="R159">
        <v>3717</v>
      </c>
      <c r="S159">
        <v>3869</v>
      </c>
      <c r="T159" s="40">
        <f>((P159-K159)/K159)</f>
        <v>-0.023255813953488465</v>
      </c>
      <c r="U159" s="40">
        <f>((T159*AB159)*D4)</f>
        <v>-0.13336166662157228</v>
      </c>
      <c r="V159" s="3">
        <f>IF(P159&lt;=N159,(P159*Q159*1000),0)</f>
        <v>6850200</v>
      </c>
      <c r="W159" s="3">
        <f>IF(P159&gt;=O159,(P159*Q159*1000),0)</f>
        <v>0</v>
      </c>
      <c r="X159">
        <v>6153</v>
      </c>
      <c r="Y159" s="3">
        <v>5442796100</v>
      </c>
      <c r="Z159" s="40">
        <f>((C4*AB159)/P159)/10</f>
        <v>0.017900271356040231</v>
      </c>
      <c r="AA159" s="40">
        <f>((M159*AB159)*C4)</f>
        <v>-0.10525359557351657</v>
      </c>
      <c r="AB159" s="40">
        <f>AE159/AE323</f>
        <v>0.00044870629190392193</v>
      </c>
      <c r="AC159" s="40">
        <f>AF159/AF323</f>
        <v>0.00045360956638679201</v>
      </c>
      <c r="AD159" s="3">
        <f>IF(ISNA(J159),(I159*Y159)/10,(J159*Y159)/10)</f>
        <v>16001820534</v>
      </c>
      <c r="AE159" s="3">
        <f>IF(ISNA(P159),(I159*Y159)/10,(P159*Y159)/10)</f>
        <v>16001820534</v>
      </c>
      <c r="AF159" s="3">
        <f>(I159*Y159)/10</f>
        <v>16328388300</v>
      </c>
      <c r="AG159" t="s">
        <f>IF(AND(P159&lt;=N159,L159&lt;0),IF(Q159&lt;10,"DBL10",IF(Q159&gt;=200,"DBM200",IF(Q159&gt;=150,"DBM150",IF(Q159&gt;=100,"DBM100",IF(Q159&gt;=50,"DBM50","DBM10-50"))))),0)</f>
        <v>16</v>
      </c>
      <c r="AH159">
        <f>IF(AND(P159&gt;=O159,L159&lt;0),IF(Q159&lt;10,"DAL10",IF(Q159&gt;=200,"DAM200",IF(Q159&gt;=150,"DAM150",IF(Q159&gt;=100,"DAM100",IF(Q159&gt;=50,"DAM50","DAM10-50"))))),0)</f>
        <v>0</v>
      </c>
      <c r="AI159">
        <f>IF(AND(P159&gt;=O159,L159&gt;0),IF(Q159&lt;10,"UAL10",IF(Q159&gt;=200,"UAM200",IF(Q159&gt;=150,"UAM150",IF(Q159&gt;=100,"UAM100",IF(Q159&gt;=50,"UAM50","UAM10-50"))))),0)</f>
        <v>0</v>
      </c>
      <c r="AJ159">
        <f>IF(AND(P159&lt;=N159,L159&gt;0),IF(Q159&lt;10,"UBL10",IF(Q159&gt;=200,"UBM200",IF(Q159&gt;=150,"UBM150",IF(Q159&gt;=100,"UBM100",IF(Q159&gt;=50,"UBM50","UBM10-50"))))),0)</f>
        <v>0</v>
      </c>
      <c r="AK159" t="s">
        <f>IF(Q159&lt;74,"down",IF(Q159=74,74,IF(Q159&gt;74,"up")))</f>
        <v>6</v>
      </c>
    </row>
    <row r="160" spans="1:37">
      <c r="A160">
        <f>IF(X160=2421,2421,"Error")</f>
        <v>2421</v>
      </c>
      <c r="B160" t="s">
        <f>IF(K160&lt;60.100000000000001,"down",IF(K160=60.100000000000001,"low",IF(K160=63.600000000000001,"high",IF(AND(K160&gt;60.100000000000001,K160&lt;63.600000000000001),"normal","up"))))</f>
        <v>79</v>
      </c>
      <c r="C160" t="s">
        <f>IF(K160&lt;60.100000000000001,"down",IF(K160=60.100000000000001,"low",IF(K160=63.600000000000001,"high",IF(AND(K160&gt;60.100000000000001,K160&lt;63.600000000000001),"normal","up"))))</f>
        <v>79</v>
      </c>
      <c r="D160" t="s">
        <f>IF(K160&lt;60.100000000000001,"down",IF(K160=60.100000000000001,"low",IF(K160=63.600000000000001,"high",IF(AND(K160&gt;60.100000000000001,K160&lt;63.600000000000001),"normal","up"))))</f>
        <v>79</v>
      </c>
      <c r="E160" t="s">
        <f>IF(K160&lt;55.299999999999997,"down",IF(K160=55.299999999999997,"low",IF(K160=64.5,"high",IF(AND(K160&gt;55.299999999999997,K160&lt;64.5),"normal","up"))))</f>
        <v>79</v>
      </c>
      <c r="F160" t="s">
        <f>IF(P160&lt;60.100000000000001,"PVP-down",IF(P160=60.100000000000001,60.100000000000001,IF(P160&gt;60.100000000000001,"PVP-up")))</f>
        <v>83</v>
      </c>
      <c r="G160" t="s">
        <f>IF(R160&lt;420,"PVV-down",IF(R160=420,420,IF(R160&gt;420,"PVV-up")))</f>
        <v>81</v>
      </c>
      <c r="H160" s="40">
        <f>R160/(Y160/10000)</f>
        <v>0.032981344753518486</v>
      </c>
      <c r="I160">
        <v>60.100000000000001</v>
      </c>
      <c r="J160">
        <v>60.299999999999997</v>
      </c>
      <c r="K160">
        <v>60.899999999999999</v>
      </c>
      <c r="L160">
        <v>0.20000000000000001</v>
      </c>
      <c r="M160">
        <v>0.0033</v>
      </c>
      <c r="N160">
        <v>60.299999999999997</v>
      </c>
      <c r="O160">
        <v>60.399999999999999</v>
      </c>
      <c r="P160">
        <v>60.299999999999997</v>
      </c>
      <c r="Q160">
        <v>230</v>
      </c>
      <c r="R160">
        <v>8276</v>
      </c>
      <c r="S160">
        <v>6212</v>
      </c>
      <c r="T160" s="40">
        <f>((P160-K160)/K160)</f>
        <v>-0.0098522167487684973</v>
      </c>
      <c r="U160" s="40">
        <f>((T160*AB160)*D4)</f>
        <v>-0.053423639009530295</v>
      </c>
      <c r="V160" s="3">
        <f>IF(P160&lt;=N160,(P160*Q160*1000),0)</f>
        <v>13869000</v>
      </c>
      <c r="W160" s="3">
        <f>IF(P160&gt;=O160,(P160*Q160*1000),0)</f>
        <v>0</v>
      </c>
      <c r="X160">
        <v>2421</v>
      </c>
      <c r="Y160" s="3">
        <v>2509297320</v>
      </c>
      <c r="Z160" s="40">
        <f>((C4*AB160)/P160)/10</f>
        <v>0.0082525786591536136</v>
      </c>
      <c r="AA160" s="40">
        <f>((M160*AB160)*C4)</f>
        <v>0.016421806273849777</v>
      </c>
      <c r="AB160" s="40">
        <f>AE160/AE323</f>
        <v>0.0004242894166258335</v>
      </c>
      <c r="AC160" s="40">
        <f>AF160/AF323</f>
        <v>0.00041895316932517114</v>
      </c>
      <c r="AD160" s="3">
        <f>IF(ISNA(J160),(I160*Y160)/10,(J160*Y160)/10)</f>
        <v>15131062839.6</v>
      </c>
      <c r="AE160" s="3">
        <f>IF(ISNA(P160),(I160*Y160)/10,(P160*Y160)/10)</f>
        <v>15131062839.6</v>
      </c>
      <c r="AF160" s="3">
        <f>(I160*Y160)/10</f>
        <v>15080876893.200001</v>
      </c>
      <c r="AG160">
        <f>IF(AND(P160&lt;=N160,L160&lt;0),IF(Q160&lt;10,"DBL10",IF(Q160&gt;=200,"DBM200",IF(Q160&gt;=150,"DBM150",IF(Q160&gt;=100,"DBM100",IF(Q160&gt;=50,"DBM50","DBM10-50"))))),0)</f>
        <v>0</v>
      </c>
      <c r="AH160">
        <f>IF(AND(P160&gt;=O160,L160&lt;0),IF(Q160&lt;10,"DAL10",IF(Q160&gt;=200,"DAM200",IF(Q160&gt;=150,"DAM150",IF(Q160&gt;=100,"DAM100",IF(Q160&gt;=50,"DAM50","DAM10-50"))))),0)</f>
        <v>0</v>
      </c>
      <c r="AI160">
        <f>IF(AND(P160&gt;=O160,L160&gt;0),IF(Q160&lt;10,"UAL10",IF(Q160&gt;=200,"UAM200",IF(Q160&gt;=150,"UAM150",IF(Q160&gt;=100,"UAM100",IF(Q160&gt;=50,"UAM50","UAM10-50"))))),0)</f>
        <v>0</v>
      </c>
      <c r="AJ160" t="s">
        <f>IF(AND(P160&lt;=N160,L160&gt;0),IF(Q160&lt;10,"UBL10",IF(Q160&gt;=200,"UBM200",IF(Q160&gt;=150,"UBM150",IF(Q160&gt;=100,"UBM100",IF(Q160&gt;=50,"UBM50","UBM10-50"))))),0)</f>
        <v>21</v>
      </c>
      <c r="AK160" t="s">
        <f>IF(Q160&lt;311,"down",IF(Q160=311,311,IF(Q160&gt;311,"up")))</f>
        <v>7</v>
      </c>
    </row>
    <row r="161" spans="1:37">
      <c r="A161">
        <f>IF(X161=8081,8081,"Error")</f>
        <v>8081</v>
      </c>
      <c r="B161" t="s">
        <f>IF(K161&lt;163,"down",IF(K161=163,"low",IF(K161=169.5,"high",IF(AND(K161&gt;163,K161&lt;169.5),"normal","up"))))</f>
        <v>79</v>
      </c>
      <c r="C161" t="s">
        <f>IF(K161&lt;163,"down",IF(K161=163,"low",IF(K161=169.5,"high",IF(AND(K161&gt;163,K161&lt;169.5),"normal","up"))))</f>
        <v>79</v>
      </c>
      <c r="D161" t="s">
        <f>IF(K161&lt;163,"down",IF(K161=163,"low",IF(K161=169.5,"high",IF(AND(K161&gt;163,K161&lt;169.5),"normal","up"))))</f>
        <v>79</v>
      </c>
      <c r="E161" t="s">
        <f>IF(K161&lt;151.5,"down",IF(K161=151.5,"low",IF(K161=170.5,"high",IF(AND(K161&gt;151.5,K161&lt;170.5),"normal","up"))))</f>
        <v>79</v>
      </c>
      <c r="F161" t="s">
        <f>IF(P161&lt;163.5,"PVP-down",IF(P161=163.5,163.5,IF(P161&gt;163.5,"PVP-up")))</f>
        <v>80</v>
      </c>
      <c r="G161" t="s">
        <f>IF(R161&lt;183,"PVV-down",IF(R161=183,183,IF(R161&gt;183,"PVV-up")))</f>
        <v>81</v>
      </c>
      <c r="H161" s="40">
        <f>R161/(Y161/10000)</f>
        <v>0.014691534862942602</v>
      </c>
      <c r="I161">
        <v>164.5</v>
      </c>
      <c r="J161">
        <v>161.5</v>
      </c>
      <c r="K161">
        <v>166</v>
      </c>
      <c r="L161">
        <v>-3</v>
      </c>
      <c r="M161">
        <v>-0.018200000000000001</v>
      </c>
      <c r="N161">
        <v>161.5</v>
      </c>
      <c r="O161">
        <v>162</v>
      </c>
      <c r="P161">
        <v>161.5</v>
      </c>
      <c r="Q161">
        <v>76</v>
      </c>
      <c r="R161">
        <v>1266</v>
      </c>
      <c r="S161">
        <v>1519</v>
      </c>
      <c r="T161" s="40">
        <f>((P161-K161)/K161)</f>
        <v>-0.02710843373493976</v>
      </c>
      <c r="U161" s="40">
        <f>((T161*AB161)*D4)</f>
        <v>-0.13519902589074353</v>
      </c>
      <c r="V161" s="3">
        <f>IF(P161&lt;=N161,(P161*Q161*1000),0)</f>
        <v>12274000</v>
      </c>
      <c r="W161" s="3">
        <f>IF(P161&gt;=O161,(P161*Q161*1000),0)</f>
        <v>0</v>
      </c>
      <c r="X161">
        <v>8081</v>
      </c>
      <c r="Y161" s="3">
        <v>861720720</v>
      </c>
      <c r="Z161" s="40">
        <f>((C4*AB161)/P161)/10</f>
        <v>0.0028340276647736929</v>
      </c>
      <c r="AA161" s="40">
        <f>((M161*AB161)*C4)</f>
        <v>-0.083300575150693154</v>
      </c>
      <c r="AB161" s="40">
        <f>AE161/AE323</f>
        <v>0.00039024003899548049</v>
      </c>
      <c r="AC161" s="40">
        <f>AF161/AF323</f>
        <v>0.00039379602071914219</v>
      </c>
      <c r="AD161" s="3">
        <f>IF(ISNA(J161),(I161*Y161)/10,(J161*Y161)/10)</f>
        <v>13916789628</v>
      </c>
      <c r="AE161" s="3">
        <f>IF(ISNA(P161),(I161*Y161)/10,(P161*Y161)/10)</f>
        <v>13916789628</v>
      </c>
      <c r="AF161" s="3">
        <f>(I161*Y161)/10</f>
        <v>14175305844</v>
      </c>
      <c r="AG161" t="s">
        <f>IF(AND(P161&lt;=N161,L161&lt;0),IF(Q161&lt;10,"DBL10",IF(Q161&gt;=200,"DBM200",IF(Q161&gt;=150,"DBM150",IF(Q161&gt;=100,"DBM100",IF(Q161&gt;=50,"DBM50","DBM10-50"))))),0)</f>
        <v>13</v>
      </c>
      <c r="AH161">
        <f>IF(AND(P161&gt;=O161,L161&lt;0),IF(Q161&lt;10,"DAL10",IF(Q161&gt;=200,"DAM200",IF(Q161&gt;=150,"DAM150",IF(Q161&gt;=100,"DAM100",IF(Q161&gt;=50,"DAM50","DAM10-50"))))),0)</f>
        <v>0</v>
      </c>
      <c r="AI161">
        <f>IF(AND(P161&gt;=O161,L161&gt;0),IF(Q161&lt;10,"UAL10",IF(Q161&gt;=200,"UAM200",IF(Q161&gt;=150,"UAM150",IF(Q161&gt;=100,"UAM100",IF(Q161&gt;=50,"UAM50","UAM10-50"))))),0)</f>
        <v>0</v>
      </c>
      <c r="AJ161">
        <f>IF(AND(P161&lt;=N161,L161&gt;0),IF(Q161&lt;10,"UBL10",IF(Q161&gt;=200,"UBM200",IF(Q161&gt;=150,"UBM150",IF(Q161&gt;=100,"UBM100",IF(Q161&gt;=50,"UBM50","UBM10-50"))))),0)</f>
        <v>0</v>
      </c>
      <c r="AK161" t="s">
        <f>IF(Q161&lt;106,"down",IF(Q161=106,106,IF(Q161&gt;106,"up")))</f>
        <v>7</v>
      </c>
    </row>
    <row r="162" spans="1:37">
      <c r="A162">
        <f>IF(X162=4919,4919,"Error")</f>
        <v>4919</v>
      </c>
      <c r="B162" t="s">
        <f>IF(K162&lt;47,"down",IF(K162=47,"low",IF(K162=47.950000000000003,"high",IF(AND(K162&gt;47,K162&lt;47.950000000000003),"normal","up"))))</f>
        <v>7</v>
      </c>
      <c r="C162" t="s">
        <f>IF(K162&lt;47,"down",IF(K162=47,"low",IF(K162=47.950000000000003,"high",IF(AND(K162&gt;47,K162&lt;47.950000000000003),"normal","up"))))</f>
        <v>7</v>
      </c>
      <c r="D162" t="s">
        <f>IF(K162&lt;47,"down",IF(K162=47,"low",IF(K162=47.950000000000003,"high",IF(AND(K162&gt;47,K162&lt;47.950000000000003),"normal","up"))))</f>
        <v>7</v>
      </c>
      <c r="E162" t="s">
        <f>IF(K162&lt;45.700000000000003,"down",IF(K162=45.700000000000003,"low",IF(K162=48.700000000000003,"high",IF(AND(K162&gt;45.700000000000003,K162&lt;48.700000000000003),"normal","up"))))</f>
        <v>79</v>
      </c>
      <c r="F162" t="s">
        <f>IF(P162&lt;47.299999999999997,"PVP-down",IF(P162=47.299999999999997,47.299999999999997,IF(P162&gt;47.299999999999997,"PVP-up")))</f>
        <v>80</v>
      </c>
      <c r="G162" t="s">
        <f>IF(R162&lt;970,"PVV-down",IF(R162=970,970,IF(R162&gt;970,"PVV-up")))</f>
        <v>81</v>
      </c>
      <c r="H162" s="40">
        <f>R162/(Y162/10000)</f>
        <v>0.017593192801083898</v>
      </c>
      <c r="I162">
        <v>47.299999999999997</v>
      </c>
      <c r="J162">
        <v>44.950000000000003</v>
      </c>
      <c r="K162">
        <v>45.850000000000001</v>
      </c>
      <c r="L162">
        <v>-1.1499999999999999</v>
      </c>
      <c r="M162">
        <v>-0.024899999999999999</v>
      </c>
      <c r="N162">
        <v>44.950000000000003</v>
      </c>
      <c r="O162">
        <v>45</v>
      </c>
      <c r="P162">
        <v>44.950000000000003</v>
      </c>
      <c r="Q162">
        <v>125</v>
      </c>
      <c r="R162">
        <v>5059</v>
      </c>
      <c r="S162">
        <v>7733</v>
      </c>
      <c r="T162" s="40">
        <f>((P162-K162)/K162)</f>
        <v>-0.019629225736095934</v>
      </c>
      <c r="U162" s="40">
        <f>((T162*AB162)*D4)</f>
        <v>-0.090924926215294244</v>
      </c>
      <c r="V162" s="3">
        <f>IF(P162&lt;=N162,(P162*Q162*1000),0)</f>
        <v>5618750</v>
      </c>
      <c r="W162" s="3">
        <f>IF(P162&gt;=O162,(P162*Q162*1000),0)</f>
        <v>0</v>
      </c>
      <c r="X162">
        <v>4919</v>
      </c>
      <c r="Y162" s="3">
        <v>2875544000</v>
      </c>
      <c r="Z162" s="40">
        <f>((C4*AB162)/P162)/10</f>
        <v>0.0094570909787036386</v>
      </c>
      <c r="AA162" s="40">
        <f>((M162*AB162)*C4)</f>
        <v>-0.10584896363368942</v>
      </c>
      <c r="AB162" s="40">
        <f>AE162/AE323</f>
        <v>0.0003624453041926822</v>
      </c>
      <c r="AC162" s="40">
        <f>AF162/AF323</f>
        <v>0.00037785053670911589</v>
      </c>
      <c r="AD162" s="3">
        <f>IF(ISNA(J162),(I162*Y162)/10,(J162*Y162)/10)</f>
        <v>12925570280.000002</v>
      </c>
      <c r="AE162" s="3">
        <f>IF(ISNA(P162),(I162*Y162)/10,(P162*Y162)/10)</f>
        <v>12925570280.000002</v>
      </c>
      <c r="AF162" s="3">
        <f>(I162*Y162)/10</f>
        <v>13601323119.999998</v>
      </c>
      <c r="AG162" t="s">
        <f>IF(AND(P162&lt;=N162,L162&lt;0),IF(Q162&lt;10,"DBL10",IF(Q162&gt;=200,"DBM200",IF(Q162&gt;=150,"DBM150",IF(Q162&gt;=100,"DBM100",IF(Q162&gt;=50,"DBM50","DBM10-50"))))),0)</f>
        <v>14</v>
      </c>
      <c r="AH162">
        <f>IF(AND(P162&gt;=O162,L162&lt;0),IF(Q162&lt;10,"DAL10",IF(Q162&gt;=200,"DAM200",IF(Q162&gt;=150,"DAM150",IF(Q162&gt;=100,"DAM100",IF(Q162&gt;=50,"DAM50","DAM10-50"))))),0)</f>
        <v>0</v>
      </c>
      <c r="AI162">
        <f>IF(AND(P162&gt;=O162,L162&gt;0),IF(Q162&lt;10,"UAL10",IF(Q162&gt;=200,"UAM200",IF(Q162&gt;=150,"UAM150",IF(Q162&gt;=100,"UAM100",IF(Q162&gt;=50,"UAM50","UAM10-50"))))),0)</f>
        <v>0</v>
      </c>
      <c r="AJ162">
        <f>IF(AND(P162&lt;=N162,L162&gt;0),IF(Q162&lt;10,"UBL10",IF(Q162&gt;=200,"UBM200",IF(Q162&gt;=150,"UBM150",IF(Q162&gt;=100,"UBM100",IF(Q162&gt;=50,"UBM50","UBM10-50"))))),0)</f>
        <v>0</v>
      </c>
      <c r="AK162" t="s">
        <f>IF(Q162&lt;140,"down",IF(Q162=140,140,IF(Q162&gt;140,"up")))</f>
        <v>7</v>
      </c>
    </row>
    <row r="163" spans="1:37">
      <c r="A163">
        <f>IF(X163=2882,2882,"Error")</f>
        <v>2882</v>
      </c>
      <c r="B163" t="s">
        <f>IF(K163&lt;39.850000000000001,"down",IF(K163=39.850000000000001,"low",IF(K163=40.5,"high",IF(AND(K163&gt;39.850000000000001,K163&lt;40.5),"normal","up"))))</f>
        <v>79</v>
      </c>
      <c r="C163" t="s">
        <f>IF(K163&lt;39.850000000000001,"down",IF(K163=39.850000000000001,"low",IF(K163=40.5,"high",IF(AND(K163&gt;39.850000000000001,K163&lt;40.5),"normal","up"))))</f>
        <v>79</v>
      </c>
      <c r="D163" t="s">
        <f>IF(K163&lt;39.850000000000001,"down",IF(K163=39.850000000000001,"low",IF(K163=40.5,"high",IF(AND(K163&gt;39.850000000000001,K163&lt;40.5),"normal","up"))))</f>
        <v>79</v>
      </c>
      <c r="E163" t="s">
        <f>IF(K163&lt;39.200000000000003,"down",IF(K163=39.200000000000003,"low",IF(K163=40.5,"high",IF(AND(K163&gt;39.200000000000003,K163&lt;40.5),"normal","up"))))</f>
        <v>79</v>
      </c>
      <c r="F163" t="s">
        <f>IF(P163&lt;40.399999999999999,"PVP-down",IF(P163=40.399999999999999,40.399999999999999,IF(P163&gt;40.399999999999999,"PVP-up")))</f>
        <v>80</v>
      </c>
      <c r="G163" t="s">
        <f>IF(R163&lt;4259,"PVV-down",IF(R163=4259,4259,IF(R163&gt;4259,"PVV-up")))</f>
        <v>81</v>
      </c>
      <c r="H163" s="40">
        <f>R163/(Y163/10000)</f>
        <v>0.00127386411143032</v>
      </c>
      <c r="I163">
        <v>40.450000000000003</v>
      </c>
      <c r="J163">
        <v>39.950000000000003</v>
      </c>
      <c r="K163">
        <v>40</v>
      </c>
      <c r="L163">
        <v>-0.5</v>
      </c>
      <c r="M163">
        <v>-0.0124</v>
      </c>
      <c r="N163">
        <v>39.950000000000003</v>
      </c>
      <c r="O163">
        <v>40</v>
      </c>
      <c r="P163">
        <v>39.950000000000003</v>
      </c>
      <c r="Q163">
        <v>1533</v>
      </c>
      <c r="R163">
        <v>18729</v>
      </c>
      <c r="S163">
        <v>14209</v>
      </c>
      <c r="T163" s="40">
        <f>((P163-K163)/K163)</f>
        <v>-0.0012499999999999289</v>
      </c>
      <c r="U163" s="40">
        <f>((T163*AB163)*D4)</f>
        <v>-0.26311666654228399</v>
      </c>
      <c r="V163" s="3">
        <f>IF(P163&lt;=N163,(P163*Q163*1000),0)</f>
        <v>61243350.000000007</v>
      </c>
      <c r="W163" s="3">
        <f>IF(P163&gt;=O163,(P163*Q163*1000),0)</f>
        <v>0</v>
      </c>
      <c r="X163">
        <v>2882</v>
      </c>
      <c r="Y163" s="3">
        <v>147025101280</v>
      </c>
      <c r="Z163" s="40">
        <f>((C4*AB163)/P163)/10</f>
        <v>0.48353624877869256</v>
      </c>
      <c r="AA163" s="40">
        <f>((M163*AB163)*C4)</f>
        <v>-2.3953418691998869</v>
      </c>
      <c r="AB163" s="40">
        <f>AE163/AE323</f>
        <v>0.016470281993760591</v>
      </c>
      <c r="AC163" s="40">
        <f>AF163/AF323</f>
        <v>0.016521478082326208</v>
      </c>
      <c r="AD163" s="3">
        <f>IF(ISNA(J163),(I163*Y163)/10,(J163*Y163)/10)</f>
        <v>587365279613.59998</v>
      </c>
      <c r="AE163" s="3">
        <f>IF(ISNA(P163),(I163*Y163)/10,(P163*Y163)/10)</f>
        <v>587365279613.59998</v>
      </c>
      <c r="AF163" s="3">
        <f>(I163*Y163)/10</f>
        <v>594716534677.59998</v>
      </c>
      <c r="AG163" t="s">
        <f>IF(AND(P163&lt;=N163,L163&lt;0),IF(Q163&lt;10,"DBL10",IF(Q163&gt;=200,"DBM200",IF(Q163&gt;=150,"DBM150",IF(Q163&gt;=100,"DBM100",IF(Q163&gt;=50,"DBM50","DBM10-50"))))),0)</f>
        <v>16</v>
      </c>
      <c r="AH163">
        <f>IF(AND(P163&gt;=O163,L163&lt;0),IF(Q163&lt;10,"DAL10",IF(Q163&gt;=200,"DAM200",IF(Q163&gt;=150,"DAM150",IF(Q163&gt;=100,"DAM100",IF(Q163&gt;=50,"DAM50","DAM10-50"))))),0)</f>
        <v>0</v>
      </c>
      <c r="AI163">
        <f>IF(AND(P163&gt;=O163,L163&gt;0),IF(Q163&lt;10,"UAL10",IF(Q163&gt;=200,"UAM200",IF(Q163&gt;=150,"UAM150",IF(Q163&gt;=100,"UAM100",IF(Q163&gt;=50,"UAM50","UAM10-50"))))),0)</f>
        <v>0</v>
      </c>
      <c r="AJ163">
        <f>IF(AND(P163&lt;=N163,L163&gt;0),IF(Q163&lt;10,"UBL10",IF(Q163&gt;=200,"UBM200",IF(Q163&gt;=150,"UBM150",IF(Q163&gt;=100,"UBM100",IF(Q163&gt;=50,"UBM50","UBM10-50"))))),0)</f>
        <v>0</v>
      </c>
      <c r="AK163" t="s">
        <f>IF(Q163&lt;327,"down",IF(Q163=327,327,IF(Q163&gt;327,"up")))</f>
        <v>6</v>
      </c>
    </row>
    <row r="164" spans="1:37">
      <c r="A164">
        <f>IF(X164=2886,2886,"Error")</f>
        <v>2886</v>
      </c>
      <c r="B164" t="s">
        <f>IF(K164&lt;32.299999999999997,"down",IF(K164=32.299999999999997,"low",IF(K164=32.549999999999997,"high",IF(AND(K164&gt;32.299999999999997,K164&lt;32.549999999999997),"normal","up"))))</f>
        <v>79</v>
      </c>
      <c r="C164" t="s">
        <f>IF(K164&lt;32.299999999999997,"down",IF(K164=32.299999999999997,"low",IF(K164=32.549999999999997,"high",IF(AND(K164&gt;32.299999999999997,K164&lt;32.549999999999997),"normal","up"))))</f>
        <v>79</v>
      </c>
      <c r="D164" t="s">
        <f>IF(K164&lt;32.299999999999997,"down",IF(K164=32.299999999999997,"low",IF(K164=32.549999999999997,"high",IF(AND(K164&gt;32.299999999999997,K164&lt;32.549999999999997),"normal","up"))))</f>
        <v>79</v>
      </c>
      <c r="E164" t="s">
        <f>IF(K164&lt;31.800000000000001,"down",IF(K164=31.800000000000001,"low",IF(K164=32.600000000000001,"high",IF(AND(K164&gt;31.800000000000001,K164&lt;32.600000000000001),"normal","up"))))</f>
        <v>79</v>
      </c>
      <c r="F164" t="s">
        <f>IF(P164&lt;32.5,"PVP-down",IF(P164=32.5,32.5,IF(P164&gt;32.5,"PVP-up")))</f>
        <v>80</v>
      </c>
      <c r="G164" t="s">
        <f>IF(R164&lt;9539,"PVV-down",IF(R164=9539,9539,IF(R164&gt;9539,"PVV-up")))</f>
        <v>81</v>
      </c>
      <c r="H164" s="40">
        <f>R164/(Y164/10000)</f>
        <v>0.0020534824593986807</v>
      </c>
      <c r="I164">
        <v>32.5</v>
      </c>
      <c r="J164">
        <v>32.450000000000003</v>
      </c>
      <c r="K164">
        <v>32.399999999999999</v>
      </c>
      <c r="L164">
        <v>-0.050000000000000003</v>
      </c>
      <c r="M164">
        <v>-0.0015</v>
      </c>
      <c r="N164">
        <v>32.450000000000003</v>
      </c>
      <c r="O164">
        <v>32.5</v>
      </c>
      <c r="P164">
        <v>32.450000000000003</v>
      </c>
      <c r="Q164">
        <v>2347</v>
      </c>
      <c r="R164">
        <v>27927</v>
      </c>
      <c r="S164">
        <v>26139</v>
      </c>
      <c r="T164" s="40">
        <f>((P164-K164)/K164)</f>
        <v>0.0015432098765433416</v>
      </c>
      <c r="U164" s="40">
        <f>((T164*AB164)*D4)</f>
        <v>0.24406362490474234</v>
      </c>
      <c r="V164" s="3">
        <f>IF(P164&lt;=N164,(P164*Q164*1000),0)</f>
        <v>76160150.000000015</v>
      </c>
      <c r="W164" s="3">
        <f>IF(P164&gt;=O164,(P164*Q164*1000),0)</f>
        <v>0</v>
      </c>
      <c r="X164">
        <v>2886</v>
      </c>
      <c r="Y164" s="3">
        <v>135998239830</v>
      </c>
      <c r="Z164" s="40">
        <f>((C4*AB164)/P164)/10</f>
        <v>0.44727109966526923</v>
      </c>
      <c r="AA164" s="40">
        <f>((M164*AB164)*C4)</f>
        <v>-0.21770920776206981</v>
      </c>
      <c r="AB164" s="40">
        <f>AE164/AE323</f>
        <v>0.012374873060436466</v>
      </c>
      <c r="AC164" s="40">
        <f>AF164/AF323</f>
        <v>0.012278788926499442</v>
      </c>
      <c r="AD164" s="3">
        <f>IF(ISNA(J164),(I164*Y164)/10,(J164*Y164)/10)</f>
        <v>441314288248.34998</v>
      </c>
      <c r="AE164" s="3">
        <f>IF(ISNA(P164),(I164*Y164)/10,(P164*Y164)/10)</f>
        <v>441314288248.34998</v>
      </c>
      <c r="AF164" s="3">
        <f>(I164*Y164)/10</f>
        <v>441994279447.5</v>
      </c>
      <c r="AG164" t="s">
        <f>IF(AND(P164&lt;=N164,L164&lt;0),IF(Q164&lt;10,"DBL10",IF(Q164&gt;=200,"DBM200",IF(Q164&gt;=150,"DBM150",IF(Q164&gt;=100,"DBM100",IF(Q164&gt;=50,"DBM50","DBM10-50"))))),0)</f>
        <v>16</v>
      </c>
      <c r="AH164">
        <f>IF(AND(P164&gt;=O164,L164&lt;0),IF(Q164&lt;10,"DAL10",IF(Q164&gt;=200,"DAM200",IF(Q164&gt;=150,"DAM150",IF(Q164&gt;=100,"DAM100",IF(Q164&gt;=50,"DAM50","DAM10-50"))))),0)</f>
        <v>0</v>
      </c>
      <c r="AI164">
        <f>IF(AND(P164&gt;=O164,L164&gt;0),IF(Q164&lt;10,"UAL10",IF(Q164&gt;=200,"UAM200",IF(Q164&gt;=150,"UAM150",IF(Q164&gt;=100,"UAM100",IF(Q164&gt;=50,"UAM50","UAM10-50"))))),0)</f>
        <v>0</v>
      </c>
      <c r="AJ164">
        <f>IF(AND(P164&lt;=N164,L164&gt;0),IF(Q164&lt;10,"UBL10",IF(Q164&gt;=200,"UBM200",IF(Q164&gt;=150,"UBM150",IF(Q164&gt;=100,"UBM100",IF(Q164&gt;=50,"UBM50","UBM10-50"))))),0)</f>
        <v>0</v>
      </c>
      <c r="AK164" t="s">
        <f>IF(Q164&lt;593,"down",IF(Q164=593,593,IF(Q164&gt;593,"up")))</f>
        <v>6</v>
      </c>
    </row>
    <row r="165" spans="1:37">
      <c r="A165">
        <f>IF(X165=2881,2881,"Error")</f>
        <v>2881</v>
      </c>
      <c r="B165" t="s">
        <f>IF(K165&lt;41.149999999999999,"down",IF(K165=41.149999999999999,"low",IF(K165=41.799999999999997,"high",IF(AND(K165&gt;41.149999999999999,K165&lt;41.799999999999997),"normal","up"))))</f>
        <v>6</v>
      </c>
      <c r="C165" t="s">
        <f>IF(K165&lt;41.149999999999999,"down",IF(K165=41.149999999999999,"low",IF(K165=41.799999999999997,"high",IF(AND(K165&gt;41.149999999999999,K165&lt;41.799999999999997),"normal","up"))))</f>
        <v>6</v>
      </c>
      <c r="D165" t="s">
        <f>IF(K165&lt;41.149999999999999,"down",IF(K165=41.149999999999999,"low",IF(K165=41.799999999999997,"high",IF(AND(K165&gt;41.149999999999999,K165&lt;41.799999999999997),"normal","up"))))</f>
        <v>6</v>
      </c>
      <c r="E165" t="s">
        <f>IF(K165&lt;41.149999999999999,"down",IF(K165=41.149999999999999,"low",IF(K165=41.799999999999997,"high",IF(AND(K165&gt;41.149999999999999,K165&lt;41.799999999999997),"normal","up"))))</f>
        <v>6</v>
      </c>
      <c r="F165" t="s">
        <f>IF(P165&lt;41.700000000000003,"PVP-down",IF(P165=41.700000000000003,41.700000000000003,IF(P165&gt;41.700000000000003,"PVP-up")))</f>
        <v>83</v>
      </c>
      <c r="G165" t="s">
        <f>IF(R165&lt;3034,"PVV-down",IF(R165=3034,3034,IF(R165&gt;3034,"PVV-up")))</f>
        <v>81</v>
      </c>
      <c r="H165" s="40">
        <f>R165/(Y165/10000)</f>
        <v>0.0020319533543021072</v>
      </c>
      <c r="I165">
        <v>41.75</v>
      </c>
      <c r="J165">
        <v>41.75</v>
      </c>
      <c r="K165">
        <v>42.299999999999997</v>
      </c>
      <c r="L165">
        <v>0</v>
      </c>
      <c r="M165">
        <v>0</v>
      </c>
      <c r="N165">
        <v>41.75</v>
      </c>
      <c r="O165">
        <v>41.799999999999997</v>
      </c>
      <c r="P165">
        <v>41.75</v>
      </c>
      <c r="Q165">
        <v>2196</v>
      </c>
      <c r="R165">
        <v>23368</v>
      </c>
      <c r="S165">
        <v>12703</v>
      </c>
      <c r="T165" s="40">
        <f>((P165-K165)/K165)</f>
        <v>-0.013002364066193787</v>
      </c>
      <c r="U165" s="40">
        <f>((T165*AB165)*D4)</f>
        <v>-2.2372611766513364</v>
      </c>
      <c r="V165" s="3">
        <f>IF(P165&lt;=N165,(P165*Q165*1000),0)</f>
        <v>91683000</v>
      </c>
      <c r="W165" s="3">
        <f>IF(P165&gt;=O165,(P165*Q165*1000),0)</f>
        <v>0</v>
      </c>
      <c r="X165">
        <v>2881</v>
      </c>
      <c r="Y165" s="3">
        <v>115002639950</v>
      </c>
      <c r="Z165" s="40">
        <f>((C4*AB165)/P165)/10</f>
        <v>0.37822075711526154</v>
      </c>
      <c r="AA165" s="40">
        <f>((M165*AB165)*C4)</f>
        <v>0</v>
      </c>
      <c r="AB165" s="40">
        <f>AE165/AE323</f>
        <v>0.013463471452494696</v>
      </c>
      <c r="AC165" s="40">
        <f>AF165/AF323</f>
        <v>0.013338382738693704</v>
      </c>
      <c r="AD165" s="3">
        <f>IF(ISNA(J165),(I165*Y165)/10,(J165*Y165)/10)</f>
        <v>480136021791.25</v>
      </c>
      <c r="AE165" s="3">
        <f>IF(ISNA(P165),(I165*Y165)/10,(P165*Y165)/10)</f>
        <v>480136021791.25</v>
      </c>
      <c r="AF165" s="3">
        <f>(I165*Y165)/10</f>
        <v>480136021791.25</v>
      </c>
      <c r="AG165">
        <f>IF(AND(P165&lt;=N165,L165&lt;0),IF(Q165&lt;10,"DBL10",IF(Q165&gt;=200,"DBM200",IF(Q165&gt;=150,"DBM150",IF(Q165&gt;=100,"DBM100",IF(Q165&gt;=50,"DBM50","DBM10-50"))))),0)</f>
        <v>0</v>
      </c>
      <c r="AH165">
        <f>IF(AND(P165&gt;=O165,L165&lt;0),IF(Q165&lt;10,"DAL10",IF(Q165&gt;=200,"DAM200",IF(Q165&gt;=150,"DAM150",IF(Q165&gt;=100,"DAM100",IF(Q165&gt;=50,"DAM50","DAM10-50"))))),0)</f>
        <v>0</v>
      </c>
      <c r="AI165">
        <f>IF(AND(P165&gt;=O165,L165&gt;0),IF(Q165&lt;10,"UAL10",IF(Q165&gt;=200,"UAM200",IF(Q165&gt;=150,"UAM150",IF(Q165&gt;=100,"UAM100",IF(Q165&gt;=50,"UAM50","UAM10-50"))))),0)</f>
        <v>0</v>
      </c>
      <c r="AJ165">
        <f>IF(AND(P165&lt;=N165,L165&gt;0),IF(Q165&lt;10,"UBL10",IF(Q165&gt;=200,"UBM200",IF(Q165&gt;=150,"UBM150",IF(Q165&gt;=100,"UBM100",IF(Q165&gt;=50,"UBM50","UBM10-50"))))),0)</f>
        <v>0</v>
      </c>
      <c r="AK165" t="s">
        <f>IF(Q165&lt;114,"down",IF(Q165=114,114,IF(Q165&gt;114,"up")))</f>
        <v>6</v>
      </c>
    </row>
    <row r="166" spans="1:37">
      <c r="A166">
        <f>IF(X166=2891,2891,"Error")</f>
        <v>2891</v>
      </c>
      <c r="B166" t="s">
        <f>IF(K166&lt;19.350000000000001,"down",IF(K166=19.350000000000001,"low",IF(K166=19.5,"high",IF(AND(K166&gt;19.350000000000001,K166&lt;19.5),"normal","up"))))</f>
        <v>79</v>
      </c>
      <c r="C166" t="s">
        <f>IF(K166&lt;19.350000000000001,"down",IF(K166=19.350000000000001,"low",IF(K166=19.5,"high",IF(AND(K166&gt;19.350000000000001,K166&lt;19.5),"normal","up"))))</f>
        <v>79</v>
      </c>
      <c r="D166" t="s">
        <f>IF(K166&lt;19.350000000000001,"down",IF(K166=19.350000000000001,"low",IF(K166=19.5,"high",IF(AND(K166&gt;19.350000000000001,K166&lt;19.5),"normal","up"))))</f>
        <v>79</v>
      </c>
      <c r="E166" t="s">
        <f>IF(K166&lt;19.300000000000001,"down",IF(K166=19.300000000000001,"low",IF(K166=19.5,"high",IF(AND(K166&gt;19.300000000000001,K166&lt;19.5),"normal","up"))))</f>
        <v>79</v>
      </c>
      <c r="F166" t="s">
        <f>IF(P166&lt;19.449999999999999,"PVP-down",IF(P166=19.449999999999999,19.449999999999999,IF(P166&gt;19.449999999999999,"PVP-up")))</f>
        <v>80</v>
      </c>
      <c r="G166" t="s">
        <f>IF(R166&lt;15190,"PVV-down",IF(R166=15190,15190,IF(R166&gt;15190,"PVV-up")))</f>
        <v>81</v>
      </c>
      <c r="H166" s="40">
        <f>R166/(Y166/10000)</f>
        <v>0.0012757926721868324</v>
      </c>
      <c r="I166">
        <v>19.399999999999999</v>
      </c>
      <c r="J166">
        <v>19.399999999999999</v>
      </c>
      <c r="K166">
        <v>19.449999999999999</v>
      </c>
      <c r="L166">
        <v>0</v>
      </c>
      <c r="M166">
        <v>0</v>
      </c>
      <c r="N166">
        <v>19.399999999999999</v>
      </c>
      <c r="O166">
        <v>19.449999999999999</v>
      </c>
      <c r="P166">
        <v>19.399999999999999</v>
      </c>
      <c r="Q166">
        <v>4038</v>
      </c>
      <c r="R166">
        <v>25512</v>
      </c>
      <c r="S166">
        <v>29853</v>
      </c>
      <c r="T166" s="40">
        <f>((P166-K166)/K166)</f>
        <v>-0.0025706940874036356</v>
      </c>
      <c r="U166" s="40">
        <f>((T166*AB166)*D4)</f>
        <v>-0.35739346407260797</v>
      </c>
      <c r="V166" s="3">
        <f>IF(P166&lt;=N166,(P166*Q166*1000),0)</f>
        <v>78337200</v>
      </c>
      <c r="W166" s="3">
        <f>IF(P166&gt;=O166,(P166*Q166*1000),0)</f>
        <v>0</v>
      </c>
      <c r="X166">
        <v>2891</v>
      </c>
      <c r="Y166" s="3">
        <v>199969795690</v>
      </c>
      <c r="Z166" s="40">
        <f>((C4*AB166)/P166)/10</f>
        <v>0.65766079421254164</v>
      </c>
      <c r="AA166" s="40">
        <f>((M166*AB166)*C4)</f>
        <v>0</v>
      </c>
      <c r="AB166" s="40">
        <f>AE166/AE323</f>
        <v>0.010878246530313126</v>
      </c>
      <c r="AC166" s="40">
        <f>AF166/AF323</f>
        <v>0.010777177064559936</v>
      </c>
      <c r="AD166" s="3">
        <f>IF(ISNA(J166),(I166*Y166)/10,(J166*Y166)/10)</f>
        <v>387941403638.59998</v>
      </c>
      <c r="AE166" s="3">
        <f>IF(ISNA(P166),(I166*Y166)/10,(P166*Y166)/10)</f>
        <v>387941403638.59998</v>
      </c>
      <c r="AF166" s="3">
        <f>(I166*Y166)/10</f>
        <v>387941403638.59998</v>
      </c>
      <c r="AG166">
        <f>IF(AND(P166&lt;=N166,L166&lt;0),IF(Q166&lt;10,"DBL10",IF(Q166&gt;=200,"DBM200",IF(Q166&gt;=150,"DBM150",IF(Q166&gt;=100,"DBM100",IF(Q166&gt;=50,"DBM50","DBM10-50"))))),0)</f>
        <v>0</v>
      </c>
      <c r="AH166">
        <f>IF(AND(P166&gt;=O166,L166&lt;0),IF(Q166&lt;10,"DAL10",IF(Q166&gt;=200,"DAM200",IF(Q166&gt;=150,"DAM150",IF(Q166&gt;=100,"DAM100",IF(Q166&gt;=50,"DAM50","DAM10-50"))))),0)</f>
        <v>0</v>
      </c>
      <c r="AI166">
        <f>IF(AND(P166&gt;=O166,L166&gt;0),IF(Q166&lt;10,"UAL10",IF(Q166&gt;=200,"UAM200",IF(Q166&gt;=150,"UAM150",IF(Q166&gt;=100,"UAM100",IF(Q166&gt;=50,"UAM50","UAM10-50"))))),0)</f>
        <v>0</v>
      </c>
      <c r="AJ166">
        <f>IF(AND(P166&lt;=N166,L166&gt;0),IF(Q166&lt;10,"UBL10",IF(Q166&gt;=200,"UBM200",IF(Q166&gt;=150,"UBM150",IF(Q166&gt;=100,"UBM100",IF(Q166&gt;=50,"UBM50","UBM10-50"))))),0)</f>
        <v>0</v>
      </c>
      <c r="AK166" t="s">
        <f>IF(Q166&lt;472,"down",IF(Q166=472,472,IF(Q166&gt;472,"up")))</f>
        <v>6</v>
      </c>
    </row>
    <row r="167" spans="1:37">
      <c r="A167">
        <f>IF(X167=2884,2884,"Error")</f>
        <v>2884</v>
      </c>
      <c r="B167" t="s">
        <f>IF(K167&lt;26.850000000000001,"down",IF(K167=26.850000000000001,"low",IF(K167=27,"high",IF(AND(K167&gt;26.850000000000001,K167&lt;27),"normal","up"))))</f>
        <v>82</v>
      </c>
      <c r="C167" t="s">
        <f>IF(K167&lt;26.850000000000001,"down",IF(K167=26.850000000000001,"low",IF(K167=27,"high",IF(AND(K167&gt;26.850000000000001,K167&lt;27),"normal","up"))))</f>
        <v>82</v>
      </c>
      <c r="D167" t="s">
        <f>IF(K167&lt;26.850000000000001,"down",IF(K167=26.850000000000001,"low",IF(K167=27,"high",IF(AND(K167&gt;26.850000000000001,K167&lt;27),"normal","up"))))</f>
        <v>82</v>
      </c>
      <c r="E167" t="s">
        <f>IF(K167&lt;26.800000000000001,"down",IF(K167=26.800000000000001,"low",IF(K167=27.100000000000001,"high",IF(AND(K167&gt;26.800000000000001,K167&lt;27.100000000000001),"normal","up"))))</f>
        <v>79</v>
      </c>
      <c r="F167">
        <f>IF(P167&lt;26.850000000000001,"PVP-down",IF(P167=26.850000000000001,26.850000000000001,IF(P167&gt;26.850000000000001,"PVP-up")))</f>
        <v>26.850000000000001</v>
      </c>
      <c r="G167" t="s">
        <f>IF(R167&lt;9887,"PVV-down",IF(R167=9887,9887,IF(R167&gt;9887,"PVV-up")))</f>
        <v>81</v>
      </c>
      <c r="H167" s="40">
        <f>R167/(Y167/10000)</f>
        <v>0.0013715736477473213</v>
      </c>
      <c r="I167">
        <v>26.850000000000001</v>
      </c>
      <c r="J167">
        <v>26.850000000000001</v>
      </c>
      <c r="K167">
        <v>26.850000000000001</v>
      </c>
      <c r="L167">
        <v>0</v>
      </c>
      <c r="M167">
        <v>0</v>
      </c>
      <c r="N167">
        <v>26.850000000000001</v>
      </c>
      <c r="O167">
        <v>26.899999999999999</v>
      </c>
      <c r="P167">
        <v>26.850000000000001</v>
      </c>
      <c r="Q167">
        <v>1924</v>
      </c>
      <c r="R167">
        <v>15937</v>
      </c>
      <c r="S167">
        <v>18934</v>
      </c>
      <c r="T167" s="40">
        <f>((P167-K167)/K167)</f>
        <v>0</v>
      </c>
      <c r="U167" s="40">
        <f>((T167*AB167)*D4)</f>
        <v>0</v>
      </c>
      <c r="V167" s="3">
        <f>IF(P167&lt;=N167,(P167*Q167*1000),0)</f>
        <v>51659400</v>
      </c>
      <c r="W167" s="3">
        <f>IF(P167&gt;=O167,(P167*Q167*1000),0)</f>
        <v>0</v>
      </c>
      <c r="X167">
        <v>2884</v>
      </c>
      <c r="Y167" s="3">
        <v>116195000000</v>
      </c>
      <c r="Z167" s="40">
        <f>((C4*AB167)/P167)/10</f>
        <v>0.38214219162373081</v>
      </c>
      <c r="AA167" s="40">
        <f>((M167*AB167)*C4)</f>
        <v>0</v>
      </c>
      <c r="AB167" s="40">
        <f>AE167/AE323</f>
        <v>0.0087483166540792256</v>
      </c>
      <c r="AC167" s="40">
        <f>AF167/AF323</f>
        <v>0.0086670363036106396</v>
      </c>
      <c r="AD167" s="3">
        <f>IF(ISNA(J167),(I167*Y167)/10,(J167*Y167)/10)</f>
        <v>311983575000</v>
      </c>
      <c r="AE167" s="3">
        <f>IF(ISNA(P167),(I167*Y167)/10,(P167*Y167)/10)</f>
        <v>311983575000</v>
      </c>
      <c r="AF167" s="3">
        <f>(I167*Y167)/10</f>
        <v>311983575000</v>
      </c>
      <c r="AG167">
        <f>IF(AND(P167&lt;=N167,L167&lt;0),IF(Q167&lt;10,"DBL10",IF(Q167&gt;=200,"DBM200",IF(Q167&gt;=150,"DBM150",IF(Q167&gt;=100,"DBM100",IF(Q167&gt;=50,"DBM50","DBM10-50"))))),0)</f>
        <v>0</v>
      </c>
      <c r="AH167">
        <f>IF(AND(P167&gt;=O167,L167&lt;0),IF(Q167&lt;10,"DAL10",IF(Q167&gt;=200,"DAM200",IF(Q167&gt;=150,"DAM150",IF(Q167&gt;=100,"DAM100",IF(Q167&gt;=50,"DAM50","DAM10-50"))))),0)</f>
        <v>0</v>
      </c>
      <c r="AI167">
        <f>IF(AND(P167&gt;=O167,L167&gt;0),IF(Q167&lt;10,"UAL10",IF(Q167&gt;=200,"UAM200",IF(Q167&gt;=150,"UAM150",IF(Q167&gt;=100,"UAM100",IF(Q167&gt;=50,"UAM50","UAM10-50"))))),0)</f>
        <v>0</v>
      </c>
      <c r="AJ167">
        <f>IF(AND(P167&lt;=N167,L167&gt;0),IF(Q167&lt;10,"UBL10",IF(Q167&gt;=200,"UBM200",IF(Q167&gt;=150,"UBM150",IF(Q167&gt;=100,"UBM100",IF(Q167&gt;=50,"UBM50","UBM10-50"))))),0)</f>
        <v>0</v>
      </c>
      <c r="AK167" t="s">
        <f>IF(Q167&lt;562,"down",IF(Q167=562,562,IF(Q167&gt;562,"up")))</f>
        <v>6</v>
      </c>
    </row>
    <row r="168" spans="1:37">
      <c r="A168">
        <f>IF(X168=2892,2892,"Error")</f>
        <v>2892</v>
      </c>
      <c r="B168" t="s">
        <f>IF(K168&lt;22.050000000000001,"down",IF(K168=22.050000000000001,"low",IF(K168=22.199999999999999,"high",IF(AND(K168&gt;22.050000000000001,K168&lt;22.199999999999999),"normal","up"))))</f>
        <v>82</v>
      </c>
      <c r="C168" t="s">
        <f>IF(K168&lt;22.050000000000001,"down",IF(K168=22.050000000000001,"low",IF(K168=22.199999999999999,"high",IF(AND(K168&gt;22.050000000000001,K168&lt;22.199999999999999),"normal","up"))))</f>
        <v>82</v>
      </c>
      <c r="D168" t="s">
        <f>IF(K168&lt;22.050000000000001,"down",IF(K168=22.050000000000001,"low",IF(K168=22.199999999999999,"high",IF(AND(K168&gt;22.050000000000001,K168&lt;22.199999999999999),"normal","up"))))</f>
        <v>82</v>
      </c>
      <c r="E168" t="s">
        <f>IF(K168&lt;22,"down",IF(K168=22,"low",IF(K168=23.899999999999999,"high",IF(AND(K168&gt;22,K168&lt;23.899999999999999),"normal","up"))))</f>
        <v>79</v>
      </c>
      <c r="F168" t="s">
        <f>IF(P168&lt;22.050000000000001,"PVP-down",IF(P168=22.050000000000001,22.050000000000001,IF(P168&gt;22.050000000000001,"PVP-up")))</f>
        <v>80</v>
      </c>
      <c r="G168" t="s">
        <f>IF(R168&lt;16087,"PVV-down",IF(R168=16087,16087,IF(R168&gt;16087,"PVV-up")))</f>
        <v>81</v>
      </c>
      <c r="H168" s="40">
        <f>R168/(Y168/10000)</f>
        <v>0.0019435974308691247</v>
      </c>
      <c r="I168">
        <v>22.050000000000001</v>
      </c>
      <c r="J168">
        <v>21.899999999999999</v>
      </c>
      <c r="K168">
        <v>22.050000000000001</v>
      </c>
      <c r="L168">
        <v>-0.14999999999999999</v>
      </c>
      <c r="M168">
        <v>-0.0067999999999999996</v>
      </c>
      <c r="N168">
        <v>21.899999999999999</v>
      </c>
      <c r="O168">
        <v>21.949999999999999</v>
      </c>
      <c r="P168">
        <v>21.899999999999999</v>
      </c>
      <c r="Q168">
        <v>2359</v>
      </c>
      <c r="R168">
        <v>24221</v>
      </c>
      <c r="S168">
        <v>23834</v>
      </c>
      <c r="T168" s="40">
        <f>((P168-K168)/K168)</f>
        <v>-0.0068027210884354702</v>
      </c>
      <c r="U168" s="40">
        <f>((T168*AB168)*D4)</f>
        <v>-0.66533842825972223</v>
      </c>
      <c r="V168" s="3">
        <f>IF(P168&lt;=N168,(P168*Q168*1000),0)</f>
        <v>51662100</v>
      </c>
      <c r="W168" s="3">
        <f>IF(P168&gt;=O168,(P168*Q168*1000),0)</f>
        <v>0</v>
      </c>
      <c r="X168">
        <v>2892</v>
      </c>
      <c r="Y168" s="3">
        <v>124619427950</v>
      </c>
      <c r="Z168" s="40">
        <f>((C4*AB168)/P168)/10</f>
        <v>0.40984845574860029</v>
      </c>
      <c r="AA168" s="40">
        <f>((M168*AB168)*C4)</f>
        <v>-0.61034632030081559</v>
      </c>
      <c r="AB168" s="40">
        <f>AE168/AE323</f>
        <v>0.0076528399776668249</v>
      </c>
      <c r="AC168" s="40">
        <f>AF168/AF323</f>
        <v>0.0076336673785539445</v>
      </c>
      <c r="AD168" s="3">
        <f>IF(ISNA(J168),(I168*Y168)/10,(J168*Y168)/10)</f>
        <v>272916547210.5</v>
      </c>
      <c r="AE168" s="3">
        <f>IF(ISNA(P168),(I168*Y168)/10,(P168*Y168)/10)</f>
        <v>272916547210.5</v>
      </c>
      <c r="AF168" s="3">
        <f>(I168*Y168)/10</f>
        <v>274785838629.75</v>
      </c>
      <c r="AG168" t="s">
        <f>IF(AND(P168&lt;=N168,L168&lt;0),IF(Q168&lt;10,"DBL10",IF(Q168&gt;=200,"DBM200",IF(Q168&gt;=150,"DBM150",IF(Q168&gt;=100,"DBM100",IF(Q168&gt;=50,"DBM50","DBM10-50"))))),0)</f>
        <v>16</v>
      </c>
      <c r="AH168">
        <f>IF(AND(P168&gt;=O168,L168&lt;0),IF(Q168&lt;10,"DAL10",IF(Q168&gt;=200,"DAM200",IF(Q168&gt;=150,"DAM150",IF(Q168&gt;=100,"DAM100",IF(Q168&gt;=50,"DAM50","DAM10-50"))))),0)</f>
        <v>0</v>
      </c>
      <c r="AI168">
        <f>IF(AND(P168&gt;=O168,L168&gt;0),IF(Q168&lt;10,"UAL10",IF(Q168&gt;=200,"UAM200",IF(Q168&gt;=150,"UAM150",IF(Q168&gt;=100,"UAM100",IF(Q168&gt;=50,"UAM50","UAM10-50"))))),0)</f>
        <v>0</v>
      </c>
      <c r="AJ168">
        <f>IF(AND(P168&lt;=N168,L168&gt;0),IF(Q168&lt;10,"UBL10",IF(Q168&gt;=200,"UBM200",IF(Q168&gt;=150,"UBM150",IF(Q168&gt;=100,"UBM100",IF(Q168&gt;=50,"UBM50","UBM10-50"))))),0)</f>
        <v>0</v>
      </c>
      <c r="AK168" t="s">
        <f>IF(Q168&lt;591,"down",IF(Q168=591,591,IF(Q168&gt;591,"up")))</f>
        <v>6</v>
      </c>
    </row>
    <row r="169" spans="1:37">
      <c r="A169">
        <f>IF(X169=5880,5880,"Error")</f>
        <v>5880</v>
      </c>
      <c r="B169" t="s">
        <f>IF(K169&lt;21.649999999999999,"down",IF(K169=21.649999999999999,"low",IF(K169=21.899999999999999,"high",IF(AND(K169&gt;21.649999999999999,K169&lt;21.899999999999999),"normal","up"))))</f>
        <v>6</v>
      </c>
      <c r="C169" t="s">
        <f>IF(K169&lt;21.649999999999999,"down",IF(K169=21.649999999999999,"low",IF(K169=21.899999999999999,"high",IF(AND(K169&gt;21.649999999999999,K169&lt;21.899999999999999),"normal","up"))))</f>
        <v>6</v>
      </c>
      <c r="D169" t="s">
        <f>IF(K169&lt;21.649999999999999,"down",IF(K169=21.649999999999999,"low",IF(K169=21.899999999999999,"high",IF(AND(K169&gt;21.649999999999999,K169&lt;21.899999999999999),"normal","up"))))</f>
        <v>6</v>
      </c>
      <c r="E169" t="s">
        <f>IF(K169&lt;21.149999999999999,"down",IF(K169=21.149999999999999,"low",IF(K169=21.899999999999999,"high",IF(AND(K169&gt;21.149999999999999,K169&lt;21.899999999999999),"normal","up"))))</f>
        <v>6</v>
      </c>
      <c r="F169" t="s">
        <f>IF(P169&lt;21.800000000000001,"PVP-down",IF(P169=21.800000000000001,21.800000000000001,IF(P169&gt;21.800000000000001,"PVP-up")))</f>
        <v>83</v>
      </c>
      <c r="G169" t="s">
        <f>IF(R169&lt;8708,"PVV-down",IF(R169=8708,8708,IF(R169&gt;8708,"PVV-up")))</f>
        <v>81</v>
      </c>
      <c r="H169" s="40">
        <f>R169/(Y169/10000)</f>
        <v>0.0030286157506286817</v>
      </c>
      <c r="I169">
        <v>21.899999999999999</v>
      </c>
      <c r="J169">
        <v>21.850000000000001</v>
      </c>
      <c r="K169">
        <v>21.949999999999999</v>
      </c>
      <c r="L169">
        <v>-0.050000000000000003</v>
      </c>
      <c r="M169">
        <v>-0.0023</v>
      </c>
      <c r="N169">
        <v>21.800000000000001</v>
      </c>
      <c r="O169">
        <v>21.850000000000001</v>
      </c>
      <c r="P169">
        <v>21.850000000000001</v>
      </c>
      <c r="Q169">
        <v>4458</v>
      </c>
      <c r="R169">
        <v>39208</v>
      </c>
      <c r="S169">
        <v>29339</v>
      </c>
      <c r="T169" s="40">
        <f>((P169-K169)/K169)</f>
        <v>-0.0045558086560363491</v>
      </c>
      <c r="U169" s="40">
        <f>((T169*AB169)*D4)</f>
        <v>-0.46182506932465134</v>
      </c>
      <c r="V169" s="3">
        <f>IF(P169&lt;=N169,(P169*Q169*1000),0)</f>
        <v>0</v>
      </c>
      <c r="W169" s="3">
        <f>IF(P169&gt;=O169,(P169*Q169*1000),0)</f>
        <v>97407300</v>
      </c>
      <c r="X169">
        <v>5880</v>
      </c>
      <c r="Y169" s="3">
        <v>129458482780</v>
      </c>
      <c r="Z169" s="40">
        <f>((C4*AB169)/P169)/10</f>
        <v>0.42576314242292879</v>
      </c>
      <c r="AA169" s="40">
        <f>((M169*AB169)*C4)</f>
        <v>-0.21396726722464288</v>
      </c>
      <c r="AB169" s="40">
        <f>AE169/AE323</f>
        <v>0.0079318541208513432</v>
      </c>
      <c r="AC169" s="40">
        <f>AF169/AF323</f>
        <v>0.0078761415579057387</v>
      </c>
      <c r="AD169" s="3">
        <f>IF(ISNA(J169),(I169*Y169)/10,(J169*Y169)/10)</f>
        <v>282866784874.29999</v>
      </c>
      <c r="AE169" s="3">
        <f>IF(ISNA(P169),(I169*Y169)/10,(P169*Y169)/10)</f>
        <v>282866784874.29999</v>
      </c>
      <c r="AF169" s="3">
        <f>(I169*Y169)/10</f>
        <v>283514077288.20001</v>
      </c>
      <c r="AG169">
        <f>IF(AND(P169&lt;=N169,L169&lt;0),IF(Q169&lt;10,"DBL10",IF(Q169&gt;=200,"DBM200",IF(Q169&gt;=150,"DBM150",IF(Q169&gt;=100,"DBM100",IF(Q169&gt;=50,"DBM50","DBM10-50"))))),0)</f>
        <v>0</v>
      </c>
      <c r="AH169" t="s">
        <f>IF(AND(P169&gt;=O169,L169&lt;0),IF(Q169&lt;10,"DAL10",IF(Q169&gt;=200,"DAM200",IF(Q169&gt;=150,"DAM150",IF(Q169&gt;=100,"DAM100",IF(Q169&gt;=50,"DAM50","DAM10-50"))))),0)</f>
        <v>26</v>
      </c>
      <c r="AI169">
        <f>IF(AND(P169&gt;=O169,L169&gt;0),IF(Q169&lt;10,"UAL10",IF(Q169&gt;=200,"UAM200",IF(Q169&gt;=150,"UAM150",IF(Q169&gt;=100,"UAM100",IF(Q169&gt;=50,"UAM50","UAM10-50"))))),0)</f>
        <v>0</v>
      </c>
      <c r="AJ169">
        <f>IF(AND(P169&lt;=N169,L169&gt;0),IF(Q169&lt;10,"UBL10",IF(Q169&gt;=200,"UBM200",IF(Q169&gt;=150,"UBM150",IF(Q169&gt;=100,"UBM100",IF(Q169&gt;=50,"UBM50","UBM10-50"))))),0)</f>
        <v>0</v>
      </c>
      <c r="AK169" t="s">
        <f>IF(Q169&lt;4829,"down",IF(Q169=4829,4829,IF(Q169&gt;4829,"up")))</f>
        <v>7</v>
      </c>
    </row>
    <row r="170" spans="1:37">
      <c r="A170">
        <f>IF(X170=2880,2880,"Error")</f>
        <v>2880</v>
      </c>
      <c r="B170" t="s">
        <f>IF(K170&lt;20.25,"down",IF(K170=20.25,"low",IF(K170=20.399999999999999,"high",IF(AND(K170&gt;20.25,K170&lt;20.399999999999999),"normal","up"))))</f>
        <v>79</v>
      </c>
      <c r="C170" t="s">
        <f>IF(K170&lt;20.25,"down",IF(K170=20.25,"low",IF(K170=20.399999999999999,"high",IF(AND(K170&gt;20.25,K170&lt;20.399999999999999),"normal","up"))))</f>
        <v>79</v>
      </c>
      <c r="D170" t="s">
        <f>IF(K170&lt;20.25,"down",IF(K170=20.25,"low",IF(K170=20.399999999999999,"high",IF(AND(K170&gt;20.25,K170&lt;20.399999999999999),"normal","up"))))</f>
        <v>79</v>
      </c>
      <c r="E170" t="s">
        <f>IF(K170&lt;19.949999999999999,"down",IF(K170=19.949999999999999,"low",IF(K170=20.449999999999999,"high",IF(AND(K170&gt;19.949999999999999,K170&lt;20.449999999999999),"normal","up"))))</f>
        <v>79</v>
      </c>
      <c r="F170" t="s">
        <f>IF(P170&lt;20.300000000000001,"PVP-down",IF(P170=20.300000000000001,20.300000000000001,IF(P170&gt;20.300000000000001,"PVP-up")))</f>
        <v>80</v>
      </c>
      <c r="G170" t="s">
        <f>IF(R170&lt;10370,"PVV-down",IF(R170=10370,10370,IF(R170&gt;10370,"PVV-up")))</f>
        <v>81</v>
      </c>
      <c r="H170" s="40">
        <f>R170/(Y170/10000)</f>
        <v>0.0022215211698080493</v>
      </c>
      <c r="I170">
        <v>20.300000000000001</v>
      </c>
      <c r="J170">
        <v>20.149999999999999</v>
      </c>
      <c r="K170">
        <v>20.300000000000001</v>
      </c>
      <c r="L170">
        <v>-0.14999999999999999</v>
      </c>
      <c r="M170">
        <v>-0.0074000000000000003</v>
      </c>
      <c r="N170">
        <v>20.149999999999999</v>
      </c>
      <c r="O170">
        <v>20.199999999999999</v>
      </c>
      <c r="P170">
        <v>20.149999999999999</v>
      </c>
      <c r="Q170">
        <v>1679</v>
      </c>
      <c r="R170">
        <v>27042</v>
      </c>
      <c r="S170">
        <v>17268</v>
      </c>
      <c r="T170" s="40">
        <f>((P170-K170)/K170)</f>
        <v>-0.0073891625615764593</v>
      </c>
      <c r="U170" s="40">
        <f>((T170*AB170)*D4)</f>
        <v>-0.64951427194783495</v>
      </c>
      <c r="V170" s="3">
        <f>IF(P170&lt;=N170,(P170*Q170*1000),0)</f>
        <v>33831850</v>
      </c>
      <c r="W170" s="3">
        <f>IF(P170&gt;=O170,(P170*Q170*1000),0)</f>
        <v>0</v>
      </c>
      <c r="X170">
        <v>2880</v>
      </c>
      <c r="Y170" s="3">
        <v>121727401780</v>
      </c>
      <c r="Z170" s="40">
        <f>((C4*AB170)/P170)/10</f>
        <v>0.40033715819847354</v>
      </c>
      <c r="AA170" s="40">
        <f>((M170*AB170)*C4)</f>
        <v>-0.59694273658974395</v>
      </c>
      <c r="AB170" s="40">
        <f>AE170/AE323</f>
        <v>0.0068779049036260349</v>
      </c>
      <c r="AC170" s="40">
        <f>AF170/AF323</f>
        <v>0.0068647270775522729</v>
      </c>
      <c r="AD170" s="3">
        <f>IF(ISNA(J170),(I170*Y170)/10,(J170*Y170)/10)</f>
        <v>245280714586.70001</v>
      </c>
      <c r="AE170" s="3">
        <f>IF(ISNA(P170),(I170*Y170)/10,(P170*Y170)/10)</f>
        <v>245280714586.70001</v>
      </c>
      <c r="AF170" s="3">
        <f>(I170*Y170)/10</f>
        <v>247106625613.39999</v>
      </c>
      <c r="AG170" t="s">
        <f>IF(AND(P170&lt;=N170,L170&lt;0),IF(Q170&lt;10,"DBL10",IF(Q170&gt;=200,"DBM200",IF(Q170&gt;=150,"DBM150",IF(Q170&gt;=100,"DBM100",IF(Q170&gt;=50,"DBM50","DBM10-50"))))),0)</f>
        <v>16</v>
      </c>
      <c r="AH170">
        <f>IF(AND(P170&gt;=O170,L170&lt;0),IF(Q170&lt;10,"DAL10",IF(Q170&gt;=200,"DAM200",IF(Q170&gt;=150,"DAM150",IF(Q170&gt;=100,"DAM100",IF(Q170&gt;=50,"DAM50","DAM10-50"))))),0)</f>
        <v>0</v>
      </c>
      <c r="AI170">
        <f>IF(AND(P170&gt;=O170,L170&gt;0),IF(Q170&lt;10,"UAL10",IF(Q170&gt;=200,"UAM200",IF(Q170&gt;=150,"UAM150",IF(Q170&gt;=100,"UAM100",IF(Q170&gt;=50,"UAM50","UAM10-50"))))),0)</f>
        <v>0</v>
      </c>
      <c r="AJ170">
        <f>IF(AND(P170&lt;=N170,L170&gt;0),IF(Q170&lt;10,"UBL10",IF(Q170&gt;=200,"UBM200",IF(Q170&gt;=150,"UBM150",IF(Q170&gt;=100,"UBM100",IF(Q170&gt;=50,"UBM50","UBM10-50"))))),0)</f>
        <v>0</v>
      </c>
      <c r="AK170" t="s">
        <f>IF(Q170&lt;622,"down",IF(Q170=622,622,IF(Q170&gt;622,"up")))</f>
        <v>6</v>
      </c>
    </row>
    <row r="171" spans="1:37">
      <c r="A171">
        <f>IF(X171=2885,2885,"Error")</f>
        <v>2885</v>
      </c>
      <c r="B171" t="s">
        <f>IF(K171&lt;19,"down",IF(K171=19,"low",IF(K171=19.399999999999999,"high",IF(AND(K171&gt;19,K171&lt;19.399999999999999),"normal","up"))))</f>
        <v>79</v>
      </c>
      <c r="C171" t="s">
        <f>IF(K171&lt;19,"down",IF(K171=19,"low",IF(K171=19.399999999999999,"high",IF(AND(K171&gt;19,K171&lt;19.399999999999999),"normal","up"))))</f>
        <v>79</v>
      </c>
      <c r="D171" t="s">
        <f>IF(K171&lt;19,"down",IF(K171=19,"low",IF(K171=19.399999999999999,"high",IF(AND(K171&gt;19,K171&lt;19.399999999999999),"normal","up"))))</f>
        <v>79</v>
      </c>
      <c r="E171" t="s">
        <f>IF(K171&lt;17.899999999999999,"down",IF(K171=17.899999999999999,"low",IF(K171=19.399999999999999,"high",IF(AND(K171&gt;17.899999999999999,K171&lt;19.399999999999999),"normal","up"))))</f>
        <v>79</v>
      </c>
      <c r="F171">
        <f>IF(P171&lt;19.149999999999999,"PVP-down",IF(P171=19.149999999999999,19.149999999999999,IF(P171&gt;19.149999999999999,"PVP-up")))</f>
        <v>19.149999999999999</v>
      </c>
      <c r="G171" t="s">
        <f>IF(R171&lt;15019,"PVV-down",IF(R171=15019,15019,IF(R171&gt;15019,"PVV-up")))</f>
        <v>81</v>
      </c>
      <c r="H171" s="40">
        <f>R171/(Y171/10000)</f>
        <v>0.0025140927800244299</v>
      </c>
      <c r="I171">
        <v>19.149999999999999</v>
      </c>
      <c r="J171">
        <v>19.149999999999999</v>
      </c>
      <c r="K171">
        <v>19.300000000000001</v>
      </c>
      <c r="L171">
        <v>0</v>
      </c>
      <c r="M171">
        <v>0</v>
      </c>
      <c r="N171">
        <v>19.149999999999999</v>
      </c>
      <c r="O171">
        <v>19.199999999999999</v>
      </c>
      <c r="P171">
        <v>19.149999999999999</v>
      </c>
      <c r="Q171">
        <v>2182</v>
      </c>
      <c r="R171">
        <v>29341</v>
      </c>
      <c r="S171">
        <v>66511</v>
      </c>
      <c r="T171" s="40">
        <f>((P171-K171)/K171)</f>
        <v>-0.007772020725388711</v>
      </c>
      <c r="U171" s="40">
        <f>((T171*AB171)*D4)</f>
        <v>-0.62248144917850934</v>
      </c>
      <c r="V171" s="3">
        <f>IF(P171&lt;=N171,(P171*Q171*1000),0)</f>
        <v>41785299.999999993</v>
      </c>
      <c r="W171" s="3">
        <f>IF(P171&gt;=O171,(P171*Q171*1000),0)</f>
        <v>0</v>
      </c>
      <c r="X171">
        <v>2885</v>
      </c>
      <c r="Y171" s="3">
        <v>116706114560</v>
      </c>
      <c r="Z171" s="40">
        <f>((C4*AB171)/P171)/10</f>
        <v>0.38382314552130981</v>
      </c>
      <c r="AA171" s="40">
        <f>((M171*AB171)*C4)</f>
        <v>0</v>
      </c>
      <c r="AB171" s="40">
        <f>AE171/AE323</f>
        <v>0.0062669344608831121</v>
      </c>
      <c r="AC171" s="40">
        <f>AF171/AF323</f>
        <v>0.0062087085587483604</v>
      </c>
      <c r="AD171" s="3">
        <f>IF(ISNA(J171),(I171*Y171)/10,(J171*Y171)/10)</f>
        <v>223492209382.39999</v>
      </c>
      <c r="AE171" s="3">
        <f>IF(ISNA(P171),(I171*Y171)/10,(P171*Y171)/10)</f>
        <v>223492209382.39999</v>
      </c>
      <c r="AF171" s="3">
        <f>(I171*Y171)/10</f>
        <v>223492209382.39999</v>
      </c>
      <c r="AG171">
        <f>IF(AND(P171&lt;=N171,L171&lt;0),IF(Q171&lt;10,"DBL10",IF(Q171&gt;=200,"DBM200",IF(Q171&gt;=150,"DBM150",IF(Q171&gt;=100,"DBM100",IF(Q171&gt;=50,"DBM50","DBM10-50"))))),0)</f>
        <v>0</v>
      </c>
      <c r="AH171">
        <f>IF(AND(P171&gt;=O171,L171&lt;0),IF(Q171&lt;10,"DAL10",IF(Q171&gt;=200,"DAM200",IF(Q171&gt;=150,"DAM150",IF(Q171&gt;=100,"DAM100",IF(Q171&gt;=50,"DAM50","DAM10-50"))))),0)</f>
        <v>0</v>
      </c>
      <c r="AI171">
        <f>IF(AND(P171&gt;=O171,L171&gt;0),IF(Q171&lt;10,"UAL10",IF(Q171&gt;=200,"UAM200",IF(Q171&gt;=150,"UAM150",IF(Q171&gt;=100,"UAM100",IF(Q171&gt;=50,"UAM50","UAM10-50"))))),0)</f>
        <v>0</v>
      </c>
      <c r="AJ171">
        <f>IF(AND(P171&lt;=N171,L171&gt;0),IF(Q171&lt;10,"UBL10",IF(Q171&gt;=200,"UBM200",IF(Q171&gt;=150,"UBM150",IF(Q171&gt;=100,"UBM100",IF(Q171&gt;=50,"UBM50","UBM10-50"))))),0)</f>
        <v>0</v>
      </c>
      <c r="AK171" t="s">
        <f>IF(Q171&lt;4402,"down",IF(Q171=4402,4402,IF(Q171&gt;4402,"up")))</f>
        <v>7</v>
      </c>
    </row>
    <row r="172" spans="1:37">
      <c r="A172">
        <f>IF(X172=5876,5876,"Error")</f>
        <v>5876</v>
      </c>
      <c r="B172" t="s">
        <f>IF(K172&lt;42.649999999999999,"down",IF(K172=42.649999999999999,"low",IF(K172=43.950000000000003,"high",IF(AND(K172&gt;42.649999999999999,K172&lt;43.950000000000003),"normal","up"))))</f>
        <v>79</v>
      </c>
      <c r="C172" t="s">
        <f>IF(K172&lt;42.649999999999999,"down",IF(K172=42.649999999999999,"low",IF(K172=43.950000000000003,"high",IF(AND(K172&gt;42.649999999999999,K172&lt;43.950000000000003),"normal","up"))))</f>
        <v>79</v>
      </c>
      <c r="D172" t="s">
        <f>IF(K172&lt;42.649999999999999,"down",IF(K172=42.649999999999999,"low",IF(K172=43.950000000000003,"high",IF(AND(K172&gt;42.649999999999999,K172&lt;43.950000000000003),"normal","up"))))</f>
        <v>79</v>
      </c>
      <c r="E172" t="s">
        <f>IF(K172&lt;41.399999999999999,"down",IF(K172=41.399999999999999,"low",IF(K172=43.950000000000003,"high",IF(AND(K172&gt;41.399999999999999,K172&lt;43.950000000000003),"normal","up"))))</f>
        <v>79</v>
      </c>
      <c r="F172" t="s">
        <f>IF(P172&lt;43.700000000000003,"PVP-down",IF(P172=43.700000000000003,43.700000000000003,IF(P172&gt;43.700000000000003,"PVP-up")))</f>
        <v>80</v>
      </c>
      <c r="G172" t="s">
        <f>IF(R172&lt;715,"PVV-down",IF(R172=715,715,IF(R172&gt;715,"PVV-up")))</f>
        <v>81</v>
      </c>
      <c r="H172" s="40">
        <f>R172/(Y172/10000)</f>
        <v>0.0010224019969782511</v>
      </c>
      <c r="I172">
        <v>43.700000000000003</v>
      </c>
      <c r="J172">
        <v>43.399999999999999</v>
      </c>
      <c r="K172">
        <v>43.450000000000003</v>
      </c>
      <c r="L172">
        <v>-0.29999999999999999</v>
      </c>
      <c r="M172">
        <v>-0.0068999999999999999</v>
      </c>
      <c r="N172">
        <v>43.399999999999999</v>
      </c>
      <c r="O172">
        <v>43.549999999999997</v>
      </c>
      <c r="P172">
        <v>43.399999999999999</v>
      </c>
      <c r="Q172">
        <v>452</v>
      </c>
      <c r="R172">
        <v>4582</v>
      </c>
      <c r="S172">
        <v>4076</v>
      </c>
      <c r="T172" s="40">
        <f>((P172-K172)/K172)</f>
        <v>-0.0011507479861911222</v>
      </c>
      <c r="U172" s="40">
        <f>((T172*AB172)*D4)</f>
        <v>-0.080210906274386817</v>
      </c>
      <c r="V172" s="3">
        <f>IF(P172&lt;=N172,(P172*Q172*1000),0)</f>
        <v>19616800</v>
      </c>
      <c r="W172" s="3">
        <f>IF(P172&gt;=O172,(P172*Q172*1000),0)</f>
        <v>0</v>
      </c>
      <c r="X172">
        <v>5876</v>
      </c>
      <c r="Y172" s="3">
        <v>44816031400</v>
      </c>
      <c r="Z172" s="40">
        <f>((C4*AB172)/P172)/10</f>
        <v>0.1473909932361456</v>
      </c>
      <c r="AA172" s="40">
        <f>((M172*AB172)*C4)</f>
        <v>-0.4413770683449616</v>
      </c>
      <c r="AB172" s="40">
        <f>AE172/AE323</f>
        <v>0.0054540094906598575</v>
      </c>
      <c r="AC172" s="40">
        <f>AF172/AF323</f>
        <v>0.0054406867022644143</v>
      </c>
      <c r="AD172" s="3">
        <f>IF(ISNA(J172),(I172*Y172)/10,(J172*Y172)/10)</f>
        <v>194501576276</v>
      </c>
      <c r="AE172" s="3">
        <f>IF(ISNA(P172),(I172*Y172)/10,(P172*Y172)/10)</f>
        <v>194501576276</v>
      </c>
      <c r="AF172" s="3">
        <f>(I172*Y172)/10</f>
        <v>195846057218.00003</v>
      </c>
      <c r="AG172" t="s">
        <f>IF(AND(P172&lt;=N172,L172&lt;0),IF(Q172&lt;10,"DBL10",IF(Q172&gt;=200,"DBM200",IF(Q172&gt;=150,"DBM150",IF(Q172&gt;=100,"DBM100",IF(Q172&gt;=50,"DBM50","DBM10-50"))))),0)</f>
        <v>16</v>
      </c>
      <c r="AH172">
        <f>IF(AND(P172&gt;=O172,L172&lt;0),IF(Q172&lt;10,"DAL10",IF(Q172&gt;=200,"DAM200",IF(Q172&gt;=150,"DAM150",IF(Q172&gt;=100,"DAM100",IF(Q172&gt;=50,"DAM50","DAM10-50"))))),0)</f>
        <v>0</v>
      </c>
      <c r="AI172">
        <f>IF(AND(P172&gt;=O172,L172&gt;0),IF(Q172&lt;10,"UAL10",IF(Q172&gt;=200,"UAM200",IF(Q172&gt;=150,"UAM150",IF(Q172&gt;=100,"UAM100",IF(Q172&gt;=50,"UAM50","UAM10-50"))))),0)</f>
        <v>0</v>
      </c>
      <c r="AJ172">
        <f>IF(AND(P172&lt;=N172,L172&gt;0),IF(Q172&lt;10,"UBL10",IF(Q172&gt;=200,"UBM200",IF(Q172&gt;=150,"UBM150",IF(Q172&gt;=100,"UBM100",IF(Q172&gt;=50,"UBM50","UBM10-50"))))),0)</f>
        <v>0</v>
      </c>
      <c r="AK172" t="s">
        <f>IF(Q172&lt;31,"down",IF(Q172=31,31,IF(Q172&gt;31,"up")))</f>
        <v>6</v>
      </c>
    </row>
    <row r="173" spans="1:37">
      <c r="A173">
        <f>IF(X173=2801,2801,"Error")</f>
        <v>2801</v>
      </c>
      <c r="B173" t="s">
        <f>IF(K173&lt;19.199999999999999,"down",IF(K173=19.199999999999999,"low",IF(K173=19.399999999999999,"high",IF(AND(K173&gt;19.199999999999999,K173&lt;19.399999999999999),"normal","up"))))</f>
        <v>7</v>
      </c>
      <c r="C173" t="s">
        <f>IF(K173&lt;19.199999999999999,"down",IF(K173=19.199999999999999,"low",IF(K173=19.399999999999999,"high",IF(AND(K173&gt;19.199999999999999,K173&lt;19.399999999999999),"normal","up"))))</f>
        <v>7</v>
      </c>
      <c r="D173" t="s">
        <f>IF(K173&lt;19.199999999999999,"down",IF(K173=19.199999999999999,"low",IF(K173=19.399999999999999,"high",IF(AND(K173&gt;19.199999999999999,K173&lt;19.399999999999999),"normal","up"))))</f>
        <v>7</v>
      </c>
      <c r="E173" t="s">
        <f>IF(K173&lt;18.800000000000001,"down",IF(K173=18.800000000000001,"low",IF(K173=19.399999999999999,"high",IF(AND(K173&gt;18.800000000000001,K173&lt;19.399999999999999),"normal","up"))))</f>
        <v>7</v>
      </c>
      <c r="F173" t="s">
        <f>IF(P173&lt;19.300000000000001,"PVP-down",IF(P173=19.300000000000001,19.300000000000001,IF(P173&gt;19.300000000000001,"PVP-up")))</f>
        <v>80</v>
      </c>
      <c r="G173" t="s">
        <f>IF(R173&lt;4175,"PVV-down",IF(R173=4175,4175,IF(R173&gt;4175,"PVV-up")))</f>
        <v>81</v>
      </c>
      <c r="H173" s="40">
        <f>R173/(Y173/10000)</f>
        <v>0.0012548432191270842</v>
      </c>
      <c r="I173">
        <v>19.399999999999999</v>
      </c>
      <c r="J173">
        <v>18.300000000000001</v>
      </c>
      <c r="K173">
        <v>18.449999999999999</v>
      </c>
      <c r="L173">
        <v>0.050000000000000003</v>
      </c>
      <c r="M173">
        <v>0.0027000000000000001</v>
      </c>
      <c r="N173">
        <v>18.300000000000001</v>
      </c>
      <c r="O173">
        <v>18.350000000000001</v>
      </c>
      <c r="P173">
        <v>18.300000000000001</v>
      </c>
      <c r="Q173">
        <v>851</v>
      </c>
      <c r="R173">
        <v>12530</v>
      </c>
      <c r="S173">
        <v>11064</v>
      </c>
      <c r="T173" s="40">
        <f>((P173-K173)/K173)</f>
        <v>-0.0081300813008129309</v>
      </c>
      <c r="U173" s="40">
        <f>((T173*AB173)*D4)</f>
        <v>-0.53239952039234073</v>
      </c>
      <c r="V173" s="3">
        <f>IF(P173&lt;=N173,(P173*Q173*1000),0)</f>
        <v>15573300.000000002</v>
      </c>
      <c r="W173" s="3">
        <f>IF(P173&gt;=O173,(P173*Q173*1000),0)</f>
        <v>0</v>
      </c>
      <c r="X173">
        <v>2801</v>
      </c>
      <c r="Y173" s="3">
        <v>99853111600</v>
      </c>
      <c r="Z173" s="40">
        <f>((C4*AB173)/P173)/10</f>
        <v>0.3283969784179438</v>
      </c>
      <c r="AA173" s="40">
        <f>((M173*AB173)*C4)</f>
        <v>0.16226094703630603</v>
      </c>
      <c r="AB173" s="40">
        <f>AE173/AE323</f>
        <v>0.0051239567649822527</v>
      </c>
      <c r="AC173" s="40">
        <f>AF173/AF323</f>
        <v>0.0053814860411655575</v>
      </c>
      <c r="AD173" s="3">
        <f>IF(ISNA(J173),(I173*Y173)/10,(J173*Y173)/10)</f>
        <v>182731194228</v>
      </c>
      <c r="AE173" s="3">
        <f>IF(ISNA(P173),(I173*Y173)/10,(P173*Y173)/10)</f>
        <v>182731194228</v>
      </c>
      <c r="AF173" s="3">
        <f>(I173*Y173)/10</f>
        <v>193715036503.99997</v>
      </c>
      <c r="AG173">
        <f>IF(AND(P173&lt;=N173,L173&lt;0),IF(Q173&lt;10,"DBL10",IF(Q173&gt;=200,"DBM200",IF(Q173&gt;=150,"DBM150",IF(Q173&gt;=100,"DBM100",IF(Q173&gt;=50,"DBM50","DBM10-50"))))),0)</f>
        <v>0</v>
      </c>
      <c r="AH173">
        <f>IF(AND(P173&gt;=O173,L173&lt;0),IF(Q173&lt;10,"DAL10",IF(Q173&gt;=200,"DAM200",IF(Q173&gt;=150,"DAM150",IF(Q173&gt;=100,"DAM100",IF(Q173&gt;=50,"DAM50","DAM10-50"))))),0)</f>
        <v>0</v>
      </c>
      <c r="AI173">
        <f>IF(AND(P173&gt;=O173,L173&gt;0),IF(Q173&lt;10,"UAL10",IF(Q173&gt;=200,"UAM200",IF(Q173&gt;=150,"UAM150",IF(Q173&gt;=100,"UAM100",IF(Q173&gt;=50,"UAM50","UAM10-50"))))),0)</f>
        <v>0</v>
      </c>
      <c r="AJ173" t="s">
        <f>IF(AND(P173&lt;=N173,L173&gt;0),IF(Q173&lt;10,"UBL10",IF(Q173&gt;=200,"UBM200",IF(Q173&gt;=150,"UBM150",IF(Q173&gt;=100,"UBM100",IF(Q173&gt;=50,"UBM50","UBM10-50"))))),0)</f>
        <v>21</v>
      </c>
      <c r="AK173" t="s">
        <f>IF(Q173&lt;320,"down",IF(Q173=320,320,IF(Q173&gt;320,"up")))</f>
        <v>6</v>
      </c>
    </row>
    <row r="174" spans="1:37">
      <c r="A174">
        <f>IF(X174=2887,2887,"Error")</f>
        <v>2887</v>
      </c>
      <c r="B174" t="s">
        <f>IF(K174&lt;13.800000000000001,"down",IF(K174=13.800000000000001,"low",IF(K174=13.949999999999999,"high",IF(AND(K174&gt;13.800000000000001,K174&lt;13.949999999999999),"normal","up"))))</f>
        <v>7</v>
      </c>
      <c r="C174" t="s">
        <f>IF(K174&lt;13.800000000000001,"down",IF(K174=13.800000000000001,"low",IF(K174=13.949999999999999,"high",IF(AND(K174&gt;13.800000000000001,K174&lt;13.949999999999999),"normal","up"))))</f>
        <v>7</v>
      </c>
      <c r="D174" t="s">
        <f>IF(K174&lt;13.800000000000001,"down",IF(K174=13.800000000000001,"low",IF(K174=13.949999999999999,"high",IF(AND(K174&gt;13.800000000000001,K174&lt;13.949999999999999),"normal","up"))))</f>
        <v>7</v>
      </c>
      <c r="E174" t="s">
        <f>IF(K174&lt;13.300000000000001,"down",IF(K174=13.300000000000001,"low",IF(K174=13.949999999999999,"high",IF(AND(K174&gt;13.300000000000001,K174&lt;13.949999999999999),"normal","up"))))</f>
        <v>7</v>
      </c>
      <c r="F174" t="s">
        <f>IF(P174&lt;13.9,"PVP-down",IF(P174=13.9,13.9,IF(P174&gt;13.9,"PVP-up")))</f>
        <v>80</v>
      </c>
      <c r="G174" t="s">
        <f>IF(R174&lt;30408,"PVV-down",IF(R174=30408,30408,IF(R174&gt;30408,"PVV-up")))</f>
        <v>81</v>
      </c>
      <c r="H174" s="40">
        <f>R174/(Y174/10000)</f>
        <v>0.0045403697522397816</v>
      </c>
      <c r="I174">
        <v>13.85</v>
      </c>
      <c r="J174">
        <v>13.1</v>
      </c>
      <c r="K174">
        <v>13.1</v>
      </c>
      <c r="L174">
        <v>0.10000000000000001</v>
      </c>
      <c r="M174">
        <v>0.0077000000000000002</v>
      </c>
      <c r="N174">
        <v>13.1</v>
      </c>
      <c r="O174">
        <v>13.15</v>
      </c>
      <c r="P174">
        <v>13.1</v>
      </c>
      <c r="Q174">
        <v>2693</v>
      </c>
      <c r="R174">
        <v>52033</v>
      </c>
      <c r="S174">
        <v>56414</v>
      </c>
      <c r="T174" s="40">
        <f>((P174-K174)/K174)</f>
        <v>0</v>
      </c>
      <c r="U174" s="40">
        <f>((T174*AB174)*D4)</f>
        <v>0</v>
      </c>
      <c r="V174" s="3">
        <f>IF(P174&lt;=N174,(P174*Q174*1000),0)</f>
        <v>35278299.999999993</v>
      </c>
      <c r="W174" s="3">
        <f>IF(P174&gt;=O174,(P174*Q174*1000),0)</f>
        <v>0</v>
      </c>
      <c r="X174">
        <v>2887</v>
      </c>
      <c r="Y174" s="3">
        <v>114600798700</v>
      </c>
      <c r="Z174" s="40">
        <f>((C4*AB174)/P174)/10</f>
        <v>0.37689918135072936</v>
      </c>
      <c r="AA174" s="40">
        <f>((M174*AB174)*C4)</f>
        <v>0.38017820422848075</v>
      </c>
      <c r="AB174" s="40">
        <f>AE174/AE323</f>
        <v>0.0042097053966631669</v>
      </c>
      <c r="AC174" s="40">
        <f>AF174/AF323</f>
        <v>0.0044093675656374214</v>
      </c>
      <c r="AD174" s="3">
        <f>IF(ISNA(J174),(I174*Y174)/10,(J174*Y174)/10)</f>
        <v>150127046297</v>
      </c>
      <c r="AE174" s="3">
        <f>IF(ISNA(P174),(I174*Y174)/10,(P174*Y174)/10)</f>
        <v>150127046297</v>
      </c>
      <c r="AF174" s="3">
        <f>(I174*Y174)/10</f>
        <v>158722106199.5</v>
      </c>
      <c r="AG174">
        <f>IF(AND(P174&lt;=N174,L174&lt;0),IF(Q174&lt;10,"DBL10",IF(Q174&gt;=200,"DBM200",IF(Q174&gt;=150,"DBM150",IF(Q174&gt;=100,"DBM100",IF(Q174&gt;=50,"DBM50","DBM10-50"))))),0)</f>
        <v>0</v>
      </c>
      <c r="AH174">
        <f>IF(AND(P174&gt;=O174,L174&lt;0),IF(Q174&lt;10,"DAL10",IF(Q174&gt;=200,"DAM200",IF(Q174&gt;=150,"DAM150",IF(Q174&gt;=100,"DAM100",IF(Q174&gt;=50,"DAM50","DAM10-50"))))),0)</f>
        <v>0</v>
      </c>
      <c r="AI174">
        <f>IF(AND(P174&gt;=O174,L174&gt;0),IF(Q174&lt;10,"UAL10",IF(Q174&gt;=200,"UAM200",IF(Q174&gt;=150,"UAM150",IF(Q174&gt;=100,"UAM100",IF(Q174&gt;=50,"UAM50","UAM10-50"))))),0)</f>
        <v>0</v>
      </c>
      <c r="AJ174" t="s">
        <f>IF(AND(P174&lt;=N174,L174&gt;0),IF(Q174&lt;10,"UBL10",IF(Q174&gt;=200,"UBM200",IF(Q174&gt;=150,"UBM150",IF(Q174&gt;=100,"UBM100",IF(Q174&gt;=50,"UBM50","UBM10-50"))))),0)</f>
        <v>21</v>
      </c>
      <c r="AK174" t="s">
        <f>IF(Q174&lt;11417,"down",IF(Q174=11417,11417,IF(Q174&gt;11417,"up")))</f>
        <v>7</v>
      </c>
    </row>
    <row r="175" spans="1:37">
      <c r="A175">
        <f>IF(X175=2883,2883,"Error")</f>
        <v>2883</v>
      </c>
      <c r="B175" t="s">
        <f>IF(K175&lt;8.6600000000000001,"down",IF(K175=8.6600000000000001,"low",IF(K175=8.7599999999999998,"high",IF(AND(K175&gt;8.6600000000000001,K175&lt;8.7599999999999998),"normal","up"))))</f>
        <v>79</v>
      </c>
      <c r="C175" t="s">
        <f>IF(K175&lt;8.6600000000000001,"down",IF(K175=8.6600000000000001,"low",IF(K175=8.7599999999999998,"high",IF(AND(K175&gt;8.6600000000000001,K175&lt;8.7599999999999998),"normal","up"))))</f>
        <v>79</v>
      </c>
      <c r="D175" t="s">
        <f>IF(K175&lt;8.6600000000000001,"down",IF(K175=8.6600000000000001,"low",IF(K175=8.7599999999999998,"high",IF(AND(K175&gt;8.6600000000000001,K175&lt;8.7599999999999998),"normal","up"))))</f>
        <v>79</v>
      </c>
      <c r="E175" t="s">
        <f>IF(K175&lt;8.5199999999999996,"down",IF(K175=8.5199999999999996,"low",IF(K175=8.7799999999999994,"high",IF(AND(K175&gt;8.5199999999999996,K175&lt;8.7799999999999994),"normal","up"))))</f>
        <v>79</v>
      </c>
      <c r="F175" t="s">
        <f>IF(P175&lt;8.7200000000000006,"PVP-down",IF(P175=8.7200000000000006,8.7200000000000006,IF(P175&gt;8.7200000000000006,"PVP-up")))</f>
        <v>80</v>
      </c>
      <c r="G175" t="s">
        <f>IF(R175&lt;6217,"PVV-down",IF(R175=6217,6217,IF(R175&gt;6217,"PVV-up")))</f>
        <v>81</v>
      </c>
      <c r="H175" s="40">
        <f>R175/(Y175/10000)</f>
        <v>0.0010294502389076303</v>
      </c>
      <c r="I175">
        <v>8.7200000000000006</v>
      </c>
      <c r="J175">
        <v>8.6799999999999997</v>
      </c>
      <c r="K175">
        <v>8.7300000000000004</v>
      </c>
      <c r="L175">
        <v>-0.040000000000000001</v>
      </c>
      <c r="M175">
        <v>-0.0045999999999999999</v>
      </c>
      <c r="N175">
        <v>8.6799999999999997</v>
      </c>
      <c r="O175">
        <v>8.6899999999999995</v>
      </c>
      <c r="P175">
        <v>8.6799999999999997</v>
      </c>
      <c r="Q175">
        <v>1507</v>
      </c>
      <c r="R175">
        <v>15412</v>
      </c>
      <c r="S175">
        <v>21869</v>
      </c>
      <c r="T175" s="40">
        <f>((P175-K175)/K175)</f>
        <v>-0.0057273768613975611</v>
      </c>
      <c r="U175" s="40">
        <f>((T175*AB175)*D4)</f>
        <v>-0.26672222285186342</v>
      </c>
      <c r="V175" s="3">
        <f>IF(P175&lt;=N175,(P175*Q175*1000),0)</f>
        <v>13080760</v>
      </c>
      <c r="W175" s="3">
        <f>IF(P175&gt;=O175,(P175*Q175*1000),0)</f>
        <v>0</v>
      </c>
      <c r="X175">
        <v>2883</v>
      </c>
      <c r="Y175" s="3">
        <v>149710975990</v>
      </c>
      <c r="Z175" s="40">
        <f>((C4*AB175)/P175)/10</f>
        <v>0.49236955527300097</v>
      </c>
      <c r="AA175" s="40">
        <f>((M175*AB175)*C4)</f>
        <v>-0.1965933160294038</v>
      </c>
      <c r="AB175" s="40">
        <f>AE175/AE323</f>
        <v>0.0036438973215527069</v>
      </c>
      <c r="AC175" s="40">
        <f>AF175/AF323</f>
        <v>0.0036266781178084743</v>
      </c>
      <c r="AD175" s="3">
        <f>IF(ISNA(J175),(I175*Y175)/10,(J175*Y175)/10)</f>
        <v>129949127159.31999</v>
      </c>
      <c r="AE175" s="3">
        <f>IF(ISNA(P175),(I175*Y175)/10,(P175*Y175)/10)</f>
        <v>129949127159.31999</v>
      </c>
      <c r="AF175" s="3">
        <f>(I175*Y175)/10</f>
        <v>130547971063.28</v>
      </c>
      <c r="AG175" t="s">
        <f>IF(AND(P175&lt;=N175,L175&lt;0),IF(Q175&lt;10,"DBL10",IF(Q175&gt;=200,"DBM200",IF(Q175&gt;=150,"DBM150",IF(Q175&gt;=100,"DBM100",IF(Q175&gt;=50,"DBM50","DBM10-50"))))),0)</f>
        <v>16</v>
      </c>
      <c r="AH175">
        <f>IF(AND(P175&gt;=O175,L175&lt;0),IF(Q175&lt;10,"DAL10",IF(Q175&gt;=200,"DAM200",IF(Q175&gt;=150,"DAM150",IF(Q175&gt;=100,"DAM100",IF(Q175&gt;=50,"DAM50","DAM10-50"))))),0)</f>
        <v>0</v>
      </c>
      <c r="AI175">
        <f>IF(AND(P175&gt;=O175,L175&gt;0),IF(Q175&lt;10,"UAL10",IF(Q175&gt;=200,"UAM200",IF(Q175&gt;=150,"UAM150",IF(Q175&gt;=100,"UAM100",IF(Q175&gt;=50,"UAM50","UAM10-50"))))),0)</f>
        <v>0</v>
      </c>
      <c r="AJ175">
        <f>IF(AND(P175&lt;=N175,L175&gt;0),IF(Q175&lt;10,"UBL10",IF(Q175&gt;=200,"UBM200",IF(Q175&gt;=150,"UBM150",IF(Q175&gt;=100,"UBM100",IF(Q175&gt;=50,"UBM50","UBM10-50"))))),0)</f>
        <v>0</v>
      </c>
      <c r="AK175" t="s">
        <f>IF(Q175&lt;442,"down",IF(Q175=442,442,IF(Q175&gt;442,"up")))</f>
        <v>6</v>
      </c>
    </row>
    <row r="176" spans="1:37">
      <c r="A176">
        <f>IF(X176=2890,2890,"Error")</f>
        <v>2890</v>
      </c>
      <c r="B176" t="s">
        <f>IF(K176&lt;10.85,"down",IF(K176=10.85,"low",IF(K176=11,"high",IF(AND(K176&gt;10.85,K176&lt;11),"normal","up"))))</f>
        <v>84</v>
      </c>
      <c r="C176" t="s">
        <f>IF(K176&lt;10.85,"down",IF(K176=10.85,"low",IF(K176=11,"high",IF(AND(K176&gt;10.85,K176&lt;11),"normal","up"))))</f>
        <v>84</v>
      </c>
      <c r="D176" t="s">
        <f>IF(K176&lt;10.85,"down",IF(K176=10.85,"low",IF(K176=11,"high",IF(AND(K176&gt;10.85,K176&lt;11),"normal","up"))))</f>
        <v>84</v>
      </c>
      <c r="E176" t="s">
        <f>IF(K176&lt;10.65,"down",IF(K176=10.65,"low",IF(K176=11,"high",IF(AND(K176&gt;10.65,K176&lt;11),"normal","up"))))</f>
        <v>84</v>
      </c>
      <c r="F176" t="s">
        <f>IF(P176&lt;11,"PVP-down",IF(P176=11,11,IF(P176&gt;11,"PVP-up")))</f>
        <v>80</v>
      </c>
      <c r="G176" t="s">
        <f>IF(R176&lt;9246,"PVV-down",IF(R176=9246,9246,IF(R176&gt;9246,"PVV-up")))</f>
        <v>81</v>
      </c>
      <c r="H176" s="40">
        <f>R176/(Y176/10000)</f>
        <v>0.0019876688640358517</v>
      </c>
      <c r="I176">
        <v>10.949999999999999</v>
      </c>
      <c r="J176">
        <v>10.9</v>
      </c>
      <c r="K176">
        <v>11</v>
      </c>
      <c r="L176">
        <v>-0.050000000000000003</v>
      </c>
      <c r="M176">
        <v>-0.0045999999999999999</v>
      </c>
      <c r="N176">
        <v>10.9</v>
      </c>
      <c r="O176">
        <v>10.949999999999999</v>
      </c>
      <c r="P176">
        <v>10.9</v>
      </c>
      <c r="Q176">
        <v>1626</v>
      </c>
      <c r="R176">
        <v>22423</v>
      </c>
      <c r="S176">
        <v>18839</v>
      </c>
      <c r="T176" s="40">
        <f>((P176-K176)/K176)</f>
        <v>-0.0090909090909090592</v>
      </c>
      <c r="U176" s="40">
        <f>((T176*AB176)*D4)</f>
        <v>-0.40060242087584902</v>
      </c>
      <c r="V176" s="3">
        <f>IF(P176&lt;=N176,(P176*Q176*1000),0)</f>
        <v>17723400</v>
      </c>
      <c r="W176" s="3">
        <f>IF(P176&gt;=O176,(P176*Q176*1000),0)</f>
        <v>0</v>
      </c>
      <c r="X176">
        <v>2890</v>
      </c>
      <c r="Y176" s="3">
        <v>112810541060</v>
      </c>
      <c r="Z176" s="40">
        <f>((C4*AB176)/P176)/10</f>
        <v>0.37101138085913565</v>
      </c>
      <c r="AA176" s="40">
        <f>((M176*AB176)*C4)</f>
        <v>-0.18602510636277061</v>
      </c>
      <c r="AB176" s="40">
        <f>AE176/AE323</f>
        <v>0.0034480133938809628</v>
      </c>
      <c r="AC176" s="40">
        <f>AF176/AF323</f>
        <v>0.0034316476276120998</v>
      </c>
      <c r="AD176" s="3">
        <f>IF(ISNA(J176),(I176*Y176)/10,(J176*Y176)/10)</f>
        <v>122963489755.39999</v>
      </c>
      <c r="AE176" s="3">
        <f>IF(ISNA(P176),(I176*Y176)/10,(P176*Y176)/10)</f>
        <v>122963489755.39999</v>
      </c>
      <c r="AF176" s="3">
        <f>(I176*Y176)/10</f>
        <v>123527542460.7</v>
      </c>
      <c r="AG176" t="s">
        <f>IF(AND(P176&lt;=N176,L176&lt;0),IF(Q176&lt;10,"DBL10",IF(Q176&gt;=200,"DBM200",IF(Q176&gt;=150,"DBM150",IF(Q176&gt;=100,"DBM100",IF(Q176&gt;=50,"DBM50","DBM10-50"))))),0)</f>
        <v>16</v>
      </c>
      <c r="AH176">
        <f>IF(AND(P176&gt;=O176,L176&lt;0),IF(Q176&lt;10,"DAL10",IF(Q176&gt;=200,"DAM200",IF(Q176&gt;=150,"DAM150",IF(Q176&gt;=100,"DAM100",IF(Q176&gt;=50,"DAM50","DAM10-50"))))),0)</f>
        <v>0</v>
      </c>
      <c r="AI176">
        <f>IF(AND(P176&gt;=O176,L176&gt;0),IF(Q176&lt;10,"UAL10",IF(Q176&gt;=200,"UAM200",IF(Q176&gt;=150,"UAM150",IF(Q176&gt;=100,"UAM100",IF(Q176&gt;=50,"UAM50","UAM10-50"))))),0)</f>
        <v>0</v>
      </c>
      <c r="AJ176">
        <f>IF(AND(P176&lt;=N176,L176&gt;0),IF(Q176&lt;10,"UBL10",IF(Q176&gt;=200,"UBM200",IF(Q176&gt;=150,"UBM150",IF(Q176&gt;=100,"UBM100",IF(Q176&gt;=50,"UBM50","UBM10-50"))))),0)</f>
        <v>0</v>
      </c>
      <c r="AK176" t="s">
        <f>IF(Q176&lt;311,"down",IF(Q176=311,311,IF(Q176&gt;311,"up")))</f>
        <v>6</v>
      </c>
    </row>
    <row r="177" spans="1:37">
      <c r="A177">
        <f>IF(X177=2888,2888,"Error")</f>
        <v>2888</v>
      </c>
      <c r="B177" t="s">
        <f>IF(K177&lt;8.4000000000000004,"down",IF(K177=8.4000000000000004,"low",IF(K177=8.5999999999999996,"high",IF(AND(K177&gt;8.4000000000000004,K177&lt;8.5999999999999996),"normal","up"))))</f>
        <v>79</v>
      </c>
      <c r="C177" t="s">
        <f>IF(K177&lt;8.4000000000000004,"down",IF(K177=8.4000000000000004,"low",IF(K177=8.5999999999999996,"high",IF(AND(K177&gt;8.4000000000000004,K177&lt;8.5999999999999996),"normal","up"))))</f>
        <v>79</v>
      </c>
      <c r="D177" t="s">
        <f>IF(K177&lt;8.4000000000000004,"down",IF(K177=8.4000000000000004,"low",IF(K177=8.5999999999999996,"high",IF(AND(K177&gt;8.4000000000000004,K177&lt;8.5999999999999996),"normal","up"))))</f>
        <v>79</v>
      </c>
      <c r="E177" t="s">
        <f>IF(K177&lt;8.1300000000000008,"down",IF(K177=8.1300000000000008,"low",IF(K177=8.5999999999999996,"high",IF(AND(K177&gt;8.1300000000000008,K177&lt;8.5999999999999996),"normal","up"))))</f>
        <v>79</v>
      </c>
      <c r="F177" t="s">
        <f>IF(P177&lt;8.5099999999999998,"PVP-down",IF(P177=8.5099999999999998,8.5099999999999998,IF(P177&gt;8.5099999999999998,"PVP-up")))</f>
        <v>80</v>
      </c>
      <c r="G177" t="s">
        <f>IF(R177&lt;21084,"PVV-down",IF(R177=21084,21084,IF(R177&gt;21084,"PVV-up")))</f>
        <v>81</v>
      </c>
      <c r="H177" s="40">
        <f>R177/(Y177/10000)</f>
        <v>0.0047615978335603599</v>
      </c>
      <c r="I177">
        <v>8.5299999999999994</v>
      </c>
      <c r="J177">
        <v>8.5</v>
      </c>
      <c r="K177">
        <v>8.5899999999999999</v>
      </c>
      <c r="L177">
        <v>-0.029999999999999999</v>
      </c>
      <c r="M177">
        <v>-0.0035000000000000001</v>
      </c>
      <c r="N177">
        <v>8.5</v>
      </c>
      <c r="O177">
        <v>8.5099999999999998</v>
      </c>
      <c r="P177">
        <v>8.5</v>
      </c>
      <c r="Q177">
        <v>3393</v>
      </c>
      <c r="R177">
        <v>62355</v>
      </c>
      <c r="S177">
        <v>115569</v>
      </c>
      <c r="T177" s="40">
        <f>((P177-K177)/K177)</f>
        <v>-0.010477299185098935</v>
      </c>
      <c r="U177" s="40">
        <f>((T177*AB177)*D4)</f>
        <v>-0.41794286687443716</v>
      </c>
      <c r="V177" s="3">
        <f>IF(P177&lt;=N177,(P177*Q177*1000),0)</f>
        <v>28840500</v>
      </c>
      <c r="W177" s="3">
        <f>IF(P177&gt;=O177,(P177*Q177*1000),0)</f>
        <v>0</v>
      </c>
      <c r="X177">
        <v>2888</v>
      </c>
      <c r="Y177" s="3">
        <v>130953940630</v>
      </c>
      <c r="Z177" s="40">
        <f>((C4*AB177)/P177)/10</f>
        <v>0.43068140517330467</v>
      </c>
      <c r="AA177" s="40">
        <f>((M177*AB177)*C4)</f>
        <v>-0.12812771803905812</v>
      </c>
      <c r="AB177" s="40">
        <f>AE177/AE323</f>
        <v>0.0031212622612300069</v>
      </c>
      <c r="AC177" s="40">
        <f>AF177/AF323</f>
        <v>0.0031031765745441666</v>
      </c>
      <c r="AD177" s="3">
        <f>IF(ISNA(J177),(I177*Y177)/10,(J177*Y177)/10)</f>
        <v>111310849535.5</v>
      </c>
      <c r="AE177" s="3">
        <f>IF(ISNA(P177),(I177*Y177)/10,(P177*Y177)/10)</f>
        <v>111310849535.5</v>
      </c>
      <c r="AF177" s="3">
        <f>(I177*Y177)/10</f>
        <v>111703711357.38998</v>
      </c>
      <c r="AG177" t="s">
        <f>IF(AND(P177&lt;=N177,L177&lt;0),IF(Q177&lt;10,"DBL10",IF(Q177&gt;=200,"DBM200",IF(Q177&gt;=150,"DBM150",IF(Q177&gt;=100,"DBM100",IF(Q177&gt;=50,"DBM50","DBM10-50"))))),0)</f>
        <v>16</v>
      </c>
      <c r="AH177">
        <f>IF(AND(P177&gt;=O177,L177&lt;0),IF(Q177&lt;10,"DAL10",IF(Q177&gt;=200,"DAM200",IF(Q177&gt;=150,"DAM150",IF(Q177&gt;=100,"DAM100",IF(Q177&gt;=50,"DAM50","DAM10-50"))))),0)</f>
        <v>0</v>
      </c>
      <c r="AI177">
        <f>IF(AND(P177&gt;=O177,L177&gt;0),IF(Q177&lt;10,"UAL10",IF(Q177&gt;=200,"UAM200",IF(Q177&gt;=150,"UAM150",IF(Q177&gt;=100,"UAM100",IF(Q177&gt;=50,"UAM50","UAM10-50"))))),0)</f>
        <v>0</v>
      </c>
      <c r="AJ177">
        <f>IF(AND(P177&lt;=N177,L177&gt;0),IF(Q177&lt;10,"UBL10",IF(Q177&gt;=200,"UBM200",IF(Q177&gt;=150,"UBM150",IF(Q177&gt;=100,"UBM100",IF(Q177&gt;=50,"UBM50","UBM10-50"))))),0)</f>
        <v>0</v>
      </c>
      <c r="AK177" t="s">
        <f>IF(Q177&lt;10810,"down",IF(Q177=10810,10810,IF(Q177&gt;10810,"up")))</f>
        <v>7</v>
      </c>
    </row>
    <row r="178" spans="1:37">
      <c r="A178">
        <f>IF(X178=2823,2823,"Error")</f>
        <v>2823</v>
      </c>
      <c r="B178" t="s">
        <f>IF(K178&lt;20.300000000000001,"down",IF(K178=20.300000000000001,"low",IF(K178=20.699999999999999,"high",IF(AND(K178&gt;20.300000000000001,K178&lt;20.699999999999999),"normal","up"))))</f>
        <v>6</v>
      </c>
      <c r="C178" t="s">
        <f>IF(K178&lt;20.300000000000001,"down",IF(K178=20.300000000000001,"low",IF(K178=20.699999999999999,"high",IF(AND(K178&gt;20.300000000000001,K178&lt;20.699999999999999),"normal","up"))))</f>
        <v>6</v>
      </c>
      <c r="D178" t="s">
        <f>IF(K178&lt;20.300000000000001,"down",IF(K178=20.300000000000001,"low",IF(K178=20.699999999999999,"high",IF(AND(K178&gt;20.300000000000001,K178&lt;20.699999999999999),"normal","up"))))</f>
        <v>6</v>
      </c>
      <c r="E178" t="s">
        <f>IF(K178&lt;20.050000000000001,"down",IF(K178=20.050000000000001,"low",IF(K178=20.699999999999999,"high",IF(AND(K178&gt;20.050000000000001,K178&lt;20.699999999999999),"normal","up"))))</f>
        <v>6</v>
      </c>
      <c r="F178" t="s">
        <f>IF(P178&lt;20.550000000000001,"PVP-down",IF(P178=20.550000000000001,20.550000000000001,IF(P178&gt;20.550000000000001,"PVP-up")))</f>
        <v>80</v>
      </c>
      <c r="G178" t="s">
        <f>IF(R178&lt;2568,"PVV-down",IF(R178=2568,2568,IF(R178&gt;2568,"PVV-up")))</f>
        <v>81</v>
      </c>
      <c r="H178" s="40">
        <f>R178/(Y178/10000)</f>
        <v>0.0021856883855949621</v>
      </c>
      <c r="I178">
        <v>20.550000000000001</v>
      </c>
      <c r="J178">
        <v>20.449999999999999</v>
      </c>
      <c r="K178">
        <v>20.75</v>
      </c>
      <c r="L178">
        <v>-0.10000000000000001</v>
      </c>
      <c r="M178">
        <v>-0.0048999999999999998</v>
      </c>
      <c r="N178">
        <v>20.449999999999999</v>
      </c>
      <c r="O178">
        <v>20.5</v>
      </c>
      <c r="P178">
        <v>20.449999999999999</v>
      </c>
      <c r="Q178">
        <v>1416</v>
      </c>
      <c r="R178">
        <v>9756</v>
      </c>
      <c r="S178">
        <v>8299</v>
      </c>
      <c r="T178" s="40">
        <f>((P178-K178)/K178)</f>
        <v>-0.01445783132530124</v>
      </c>
      <c r="U178" s="40">
        <f>((T178*AB178)*D4)</f>
        <v>-0.47294440016989536</v>
      </c>
      <c r="V178" s="3">
        <f>IF(P178&lt;=N178,(P178*Q178*1000),0)</f>
        <v>28957200</v>
      </c>
      <c r="W178" s="3">
        <f>IF(P178&gt;=O178,(P178*Q178*1000),0)</f>
        <v>0</v>
      </c>
      <c r="X178">
        <v>2823</v>
      </c>
      <c r="Y178" s="3">
        <v>44635823040</v>
      </c>
      <c r="Z178" s="40">
        <f>((C4*AB178)/P178)/10</f>
        <v>0.14679832386449176</v>
      </c>
      <c r="AA178" s="40">
        <f>((M178*AB178)*C4)</f>
        <v>-0.14709926042841395</v>
      </c>
      <c r="AB178" s="40">
        <f>AE178/AE323</f>
        <v>0.0025595853957114628</v>
      </c>
      <c r="AC178" s="40">
        <f>AF178/AF323</f>
        <v>0.0025482043850819629</v>
      </c>
      <c r="AD178" s="3">
        <f>IF(ISNA(J178),(I178*Y178)/10,(J178*Y178)/10)</f>
        <v>91280258116.800003</v>
      </c>
      <c r="AE178" s="3">
        <f>IF(ISNA(P178),(I178*Y178)/10,(P178*Y178)/10)</f>
        <v>91280258116.800003</v>
      </c>
      <c r="AF178" s="3">
        <f>(I178*Y178)/10</f>
        <v>91726616347.199997</v>
      </c>
      <c r="AG178" t="s">
        <f>IF(AND(P178&lt;=N178,L178&lt;0),IF(Q178&lt;10,"DBL10",IF(Q178&gt;=200,"DBM200",IF(Q178&gt;=150,"DBM150",IF(Q178&gt;=100,"DBM100",IF(Q178&gt;=50,"DBM50","DBM10-50"))))),0)</f>
        <v>16</v>
      </c>
      <c r="AH178">
        <f>IF(AND(P178&gt;=O178,L178&lt;0),IF(Q178&lt;10,"DAL10",IF(Q178&gt;=200,"DAM200",IF(Q178&gt;=150,"DAM150",IF(Q178&gt;=100,"DAM100",IF(Q178&gt;=50,"DAM50","DAM10-50"))))),0)</f>
        <v>0</v>
      </c>
      <c r="AI178">
        <f>IF(AND(P178&gt;=O178,L178&gt;0),IF(Q178&lt;10,"UAL10",IF(Q178&gt;=200,"UAM200",IF(Q178&gt;=150,"UAM150",IF(Q178&gt;=100,"UAM100",IF(Q178&gt;=50,"UAM50","UAM10-50"))))),0)</f>
        <v>0</v>
      </c>
      <c r="AJ178">
        <f>IF(AND(P178&lt;=N178,L178&gt;0),IF(Q178&lt;10,"UBL10",IF(Q178&gt;=200,"UBM200",IF(Q178&gt;=150,"UBM150",IF(Q178&gt;=100,"UBM100",IF(Q178&gt;=50,"UBM50","UBM10-50"))))),0)</f>
        <v>0</v>
      </c>
      <c r="AK178" t="s">
        <f>IF(Q178&lt;142,"down",IF(Q178=142,142,IF(Q178&gt;142,"up")))</f>
        <v>6</v>
      </c>
    </row>
    <row r="179" spans="1:37">
      <c r="A179">
        <f>IF(X179=2834,2834,"Error")</f>
        <v>2834</v>
      </c>
      <c r="B179" t="s">
        <f>IF(K179&lt;10.1,"down",IF(K179=10.1,"low",IF(K179=10.25,"high",IF(AND(K179&gt;10.1,K179&lt;10.25),"normal","up"))))</f>
        <v>79</v>
      </c>
      <c r="C179" t="s">
        <f>IF(K179&lt;10.1,"down",IF(K179=10.1,"low",IF(K179=10.25,"high",IF(AND(K179&gt;10.1,K179&lt;10.25),"normal","up"))))</f>
        <v>79</v>
      </c>
      <c r="D179" t="s">
        <f>IF(K179&lt;10.1,"down",IF(K179=10.1,"low",IF(K179=10.25,"high",IF(AND(K179&gt;10.1,K179&lt;10.25),"normal","up"))))</f>
        <v>79</v>
      </c>
      <c r="E179" t="s">
        <f>IF(K179&lt;10,"down",IF(K179=10,"low",IF(K179=10.25,"high",IF(AND(K179&gt;10,K179&lt;10.25),"normal","up"))))</f>
        <v>79</v>
      </c>
      <c r="F179" t="s">
        <f>IF(P179&lt;10.199999999999999,"PVP-down",IF(P179=10.199999999999999,10.199999999999999,IF(P179&gt;10.199999999999999,"PVP-up")))</f>
        <v>80</v>
      </c>
      <c r="G179" t="s">
        <f>IF(R179&lt;7816,"PVV-down",IF(R179=7816,7816,IF(R179&gt;7816,"PVV-up")))</f>
        <v>81</v>
      </c>
      <c r="H179" s="40">
        <f>R179/(Y179/10000)</f>
        <v>0.0016291398862490253</v>
      </c>
      <c r="I179">
        <v>10.199999999999999</v>
      </c>
      <c r="J179">
        <v>10.1</v>
      </c>
      <c r="K179">
        <v>10.15</v>
      </c>
      <c r="L179">
        <v>-0.10000000000000001</v>
      </c>
      <c r="M179">
        <v>-0.0097999999999999997</v>
      </c>
      <c r="N179">
        <v>10.1</v>
      </c>
      <c r="O179">
        <v>10.15</v>
      </c>
      <c r="P179">
        <v>10.1</v>
      </c>
      <c r="Q179">
        <v>1017</v>
      </c>
      <c r="R179">
        <v>11619</v>
      </c>
      <c r="S179">
        <v>13060</v>
      </c>
      <c r="T179" s="40">
        <f>((P179-K179)/K179)</f>
        <v>-0.0049261083743843059</v>
      </c>
      <c r="U179" s="40">
        <f>((T179*AB179)*D4)</f>
        <v>-0.12716446996132577</v>
      </c>
      <c r="V179" s="3">
        <f>IF(P179&lt;=N179,(P179*Q179*1000),0)</f>
        <v>10271699.999999998</v>
      </c>
      <c r="W179" s="3">
        <f>IF(P179&gt;=O179,(P179*Q179*1000),0)</f>
        <v>0</v>
      </c>
      <c r="X179">
        <v>2834</v>
      </c>
      <c r="Y179" s="3">
        <v>71319842440</v>
      </c>
      <c r="Z179" s="40">
        <f>((C4*AB179)/P179)/10</f>
        <v>0.23455674423409584</v>
      </c>
      <c r="AA179" s="40">
        <f>((M179*AB179)*C4)</f>
        <v>-0.23216426544290805</v>
      </c>
      <c r="AB179" s="40">
        <f>AE179/AE323</f>
        <v>0.0020198750880971853</v>
      </c>
      <c r="AC179" s="40">
        <f>AF179/AF323</f>
        <v>0.0020209214439163223</v>
      </c>
      <c r="AD179" s="3">
        <f>IF(ISNA(J179),(I179*Y179)/10,(J179*Y179)/10)</f>
        <v>72033040864.399994</v>
      </c>
      <c r="AE179" s="3">
        <f>IF(ISNA(P179),(I179*Y179)/10,(P179*Y179)/10)</f>
        <v>72033040864.399994</v>
      </c>
      <c r="AF179" s="3">
        <f>(I179*Y179)/10</f>
        <v>72746239288.800003</v>
      </c>
      <c r="AG179" t="s">
        <f>IF(AND(P179&lt;=N179,L179&lt;0),IF(Q179&lt;10,"DBL10",IF(Q179&gt;=200,"DBM200",IF(Q179&gt;=150,"DBM150",IF(Q179&gt;=100,"DBM100",IF(Q179&gt;=50,"DBM50","DBM10-50"))))),0)</f>
        <v>16</v>
      </c>
      <c r="AH179">
        <f>IF(AND(P179&gt;=O179,L179&lt;0),IF(Q179&lt;10,"DAL10",IF(Q179&gt;=200,"DAM200",IF(Q179&gt;=150,"DAM150",IF(Q179&gt;=100,"DAM100",IF(Q179&gt;=50,"DAM50","DAM10-50"))))),0)</f>
        <v>0</v>
      </c>
      <c r="AI179">
        <f>IF(AND(P179&gt;=O179,L179&gt;0),IF(Q179&lt;10,"UAL10",IF(Q179&gt;=200,"UAM200",IF(Q179&gt;=150,"UAM150",IF(Q179&gt;=100,"UAM100",IF(Q179&gt;=50,"UAM50","UAM10-50"))))),0)</f>
        <v>0</v>
      </c>
      <c r="AJ179">
        <f>IF(AND(P179&lt;=N179,L179&gt;0),IF(Q179&lt;10,"UBL10",IF(Q179&gt;=200,"UBM200",IF(Q179&gt;=150,"UBM150",IF(Q179&gt;=100,"UBM100",IF(Q179&gt;=50,"UBM50","UBM10-50"))))),0)</f>
        <v>0</v>
      </c>
      <c r="AK179" t="s">
        <f>IF(Q179&lt;183,"down",IF(Q179=183,183,IF(Q179&gt;183,"up")))</f>
        <v>6</v>
      </c>
    </row>
    <row r="180" spans="1:37">
      <c r="A180">
        <f>IF(X180=2812,2812,"Error")</f>
        <v>2812</v>
      </c>
      <c r="B180" t="s">
        <f>IF(K180&lt;11.9,"down",IF(K180=11.9,"low",IF(K180=12,"high",IF(AND(K180&gt;11.9,K180&lt;12),"normal","up"))))</f>
        <v>84</v>
      </c>
      <c r="C180" t="s">
        <f>IF(K180&lt;11.9,"down",IF(K180=11.9,"low",IF(K180=12,"high",IF(AND(K180&gt;11.9,K180&lt;12),"normal","up"))))</f>
        <v>84</v>
      </c>
      <c r="D180" t="s">
        <f>IF(K180&lt;11.9,"down",IF(K180=11.9,"low",IF(K180=12,"high",IF(AND(K180&gt;11.9,K180&lt;12),"normal","up"))))</f>
        <v>84</v>
      </c>
      <c r="E180" t="s">
        <f>IF(K180&lt;11.65,"down",IF(K180=11.65,"low",IF(K180=12,"high",IF(AND(K180&gt;11.65,K180&lt;12),"normal","up"))))</f>
        <v>84</v>
      </c>
      <c r="F180" t="s">
        <f>IF(P180&lt;12,"PVP-down",IF(P180=12,12,IF(P180&gt;12,"PVP-up")))</f>
        <v>80</v>
      </c>
      <c r="G180" t="s">
        <f>IF(R180&lt;3542,"PVV-down",IF(R180=3542,3542,IF(R180&gt;3542,"PVV-up")))</f>
        <v>81</v>
      </c>
      <c r="H180" s="40">
        <f>R180/(Y180/10000)</f>
        <v>0.0014333342265698233</v>
      </c>
      <c r="I180">
        <v>12</v>
      </c>
      <c r="J180">
        <v>11.949999999999999</v>
      </c>
      <c r="K180">
        <v>12</v>
      </c>
      <c r="L180">
        <v>-0.050000000000000003</v>
      </c>
      <c r="M180">
        <v>-0.0041999999999999997</v>
      </c>
      <c r="N180">
        <v>11.949999999999999</v>
      </c>
      <c r="O180">
        <v>12</v>
      </c>
      <c r="P180">
        <v>11.949999999999999</v>
      </c>
      <c r="Q180">
        <v>218</v>
      </c>
      <c r="R180">
        <v>5316</v>
      </c>
      <c r="S180">
        <v>7005</v>
      </c>
      <c r="T180" s="40">
        <f>((P180-K180)/K180)</f>
        <v>-0.0041666666666667256</v>
      </c>
      <c r="U180" s="40">
        <f>((T180*AB180)*D4)</f>
        <v>-0.066179615379637458</v>
      </c>
      <c r="V180" s="3">
        <f>IF(P180&lt;=N180,(P180*Q180*1000),0)</f>
        <v>2605100</v>
      </c>
      <c r="W180" s="3">
        <f>IF(P180&gt;=O180,(P180*Q180*1000),0)</f>
        <v>0</v>
      </c>
      <c r="X180">
        <v>2812</v>
      </c>
      <c r="Y180" s="3">
        <v>37088348980</v>
      </c>
      <c r="Z180" s="40">
        <f>((C4*AB180)/P180)/10</f>
        <v>0.12197618626380617</v>
      </c>
      <c r="AA180" s="40">
        <f>((M180*AB180)*C4)</f>
        <v>-0.06121984788580432</v>
      </c>
      <c r="AB180" s="40">
        <f>AE180/AE323</f>
        <v>0.0012427912019393112</v>
      </c>
      <c r="AC180" s="40">
        <f>AF180/AF323</f>
        <v>0.0012363961162403141</v>
      </c>
      <c r="AD180" s="3">
        <f>IF(ISNA(J180),(I180*Y180)/10,(J180*Y180)/10)</f>
        <v>44320577031.099998</v>
      </c>
      <c r="AE180" s="3">
        <f>IF(ISNA(P180),(I180*Y180)/10,(P180*Y180)/10)</f>
        <v>44320577031.099998</v>
      </c>
      <c r="AF180" s="3">
        <f>(I180*Y180)/10</f>
        <v>44506018776</v>
      </c>
      <c r="AG180" t="s">
        <f>IF(AND(P180&lt;=N180,L180&lt;0),IF(Q180&lt;10,"DBL10",IF(Q180&gt;=200,"DBM200",IF(Q180&gt;=150,"DBM150",IF(Q180&gt;=100,"DBM100",IF(Q180&gt;=50,"DBM50","DBM10-50"))))),0)</f>
        <v>16</v>
      </c>
      <c r="AH180">
        <f>IF(AND(P180&gt;=O180,L180&lt;0),IF(Q180&lt;10,"DAL10",IF(Q180&gt;=200,"DAM200",IF(Q180&gt;=150,"DAM150",IF(Q180&gt;=100,"DAM100",IF(Q180&gt;=50,"DAM50","DAM10-50"))))),0)</f>
        <v>0</v>
      </c>
      <c r="AI180">
        <f>IF(AND(P180&gt;=O180,L180&gt;0),IF(Q180&lt;10,"UAL10",IF(Q180&gt;=200,"UAM200",IF(Q180&gt;=150,"UAM150",IF(Q180&gt;=100,"UAM100",IF(Q180&gt;=50,"UAM50","UAM10-50"))))),0)</f>
        <v>0</v>
      </c>
      <c r="AJ180">
        <f>IF(AND(P180&lt;=N180,L180&gt;0),IF(Q180&lt;10,"UBL10",IF(Q180&gt;=200,"UBM200",IF(Q180&gt;=150,"UBM150",IF(Q180&gt;=100,"UBM100",IF(Q180&gt;=50,"UBM50","UBM10-50"))))),0)</f>
        <v>0</v>
      </c>
      <c r="AK180" t="s">
        <f>IF(Q180&lt;436,"down",IF(Q180=436,436,IF(Q180&gt;436,"up")))</f>
        <v>7</v>
      </c>
    </row>
    <row r="181" spans="1:37">
      <c r="A181">
        <f>IF(X181=2809,2809,"Error")</f>
        <v>2809</v>
      </c>
      <c r="B181" t="s">
        <f>IF(K181&lt;36,"down",IF(K181=36,"low",IF(K181=36.450000000000003,"high",IF(AND(K181&gt;36,K181&lt;36.450000000000003),"normal","up"))))</f>
        <v>79</v>
      </c>
      <c r="C181" t="s">
        <f>IF(K181&lt;36,"down",IF(K181=36,"low",IF(K181=36.450000000000003,"high",IF(AND(K181&gt;36,K181&lt;36.450000000000003),"normal","up"))))</f>
        <v>79</v>
      </c>
      <c r="D181" t="s">
        <f>IF(K181&lt;36,"down",IF(K181=36,"low",IF(K181=36.450000000000003,"high",IF(AND(K181&gt;36,K181&lt;36.450000000000003),"normal","up"))))</f>
        <v>79</v>
      </c>
      <c r="E181" t="s">
        <f>IF(K181&lt;35.799999999999997,"down",IF(K181=35.799999999999997,"low",IF(K181=37.200000000000003,"high",IF(AND(K181&gt;35.799999999999997,K181&lt;37.200000000000003),"normal","up"))))</f>
        <v>79</v>
      </c>
      <c r="F181" t="s">
        <f>IF(P181&lt;36.149999999999999,"PVP-down",IF(P181=36.149999999999999,36.149999999999999,IF(P181&gt;36.149999999999999,"PVP-up")))</f>
        <v>80</v>
      </c>
      <c r="G181" t="s">
        <f>IF(R181&lt;258,"PVV-down",IF(R181=258,258,IF(R181&gt;258,"PVV-up")))</f>
        <v>81</v>
      </c>
      <c r="H181" s="40">
        <f>R181/(Y181/10000)</f>
        <v>0.0013868645015054015</v>
      </c>
      <c r="I181">
        <v>36.25</v>
      </c>
      <c r="J181">
        <v>35.850000000000001</v>
      </c>
      <c r="K181">
        <v>36.25</v>
      </c>
      <c r="L181">
        <v>-0.40000000000000002</v>
      </c>
      <c r="M181">
        <v>-0.010999999999999999</v>
      </c>
      <c r="N181">
        <v>35.850000000000001</v>
      </c>
      <c r="O181">
        <v>35.899999999999999</v>
      </c>
      <c r="P181">
        <v>35.850000000000001</v>
      </c>
      <c r="Q181">
        <v>12</v>
      </c>
      <c r="R181">
        <v>1555</v>
      </c>
      <c r="S181">
        <v>1114</v>
      </c>
      <c r="T181" s="40">
        <f>((P181-K181)/K181)</f>
        <v>-0.011034482758620651</v>
      </c>
      <c r="U181" s="40">
        <f>((T181*AB181)*D4)</f>
        <v>-0.15895257810089275</v>
      </c>
      <c r="V181" s="3">
        <f>IF(P181&lt;=N181,(P181*Q181*1000),0)</f>
        <v>430200.00000000006</v>
      </c>
      <c r="W181" s="3">
        <f>IF(P181&gt;=O181,(P181*Q181*1000),0)</f>
        <v>0</v>
      </c>
      <c r="X181">
        <v>2809</v>
      </c>
      <c r="Y181" s="3">
        <v>11212342650</v>
      </c>
      <c r="Z181" s="40">
        <f>((C4*AB181)/P181)/10</f>
        <v>0.036875159804700977</v>
      </c>
      <c r="AA181" s="40">
        <f>((M181*AB181)*C4)</f>
        <v>-0.1454171926898383</v>
      </c>
      <c r="AB181" s="40">
        <f>AE181/AE323</f>
        <v>0.0011271410980895789</v>
      </c>
      <c r="AC181" s="40">
        <f>AF181/AF323</f>
        <v>0.0011291282093480745</v>
      </c>
      <c r="AD181" s="3">
        <f>IF(ISNA(J181),(I181*Y181)/10,(J181*Y181)/10)</f>
        <v>40196248400.25</v>
      </c>
      <c r="AE181" s="3">
        <f>IF(ISNA(P181),(I181*Y181)/10,(P181*Y181)/10)</f>
        <v>40196248400.25</v>
      </c>
      <c r="AF181" s="3">
        <f>(I181*Y181)/10</f>
        <v>40644742106.25</v>
      </c>
      <c r="AG181" t="s">
        <f>IF(AND(P181&lt;=N181,L181&lt;0),IF(Q181&lt;10,"DBL10",IF(Q181&gt;=200,"DBM200",IF(Q181&gt;=150,"DBM150",IF(Q181&gt;=100,"DBM100",IF(Q181&gt;=50,"DBM50","DBM10-50"))))),0)</f>
        <v>12</v>
      </c>
      <c r="AH181">
        <f>IF(AND(P181&gt;=O181,L181&lt;0),IF(Q181&lt;10,"DAL10",IF(Q181&gt;=200,"DAM200",IF(Q181&gt;=150,"DAM150",IF(Q181&gt;=100,"DAM100",IF(Q181&gt;=50,"DAM50","DAM10-50"))))),0)</f>
        <v>0</v>
      </c>
      <c r="AI181">
        <f>IF(AND(P181&gt;=O181,L181&gt;0),IF(Q181&lt;10,"UAL10",IF(Q181&gt;=200,"UAM200",IF(Q181&gt;=150,"UAM150",IF(Q181&gt;=100,"UAM100",IF(Q181&gt;=50,"UAM50","UAM10-50"))))),0)</f>
        <v>0</v>
      </c>
      <c r="AJ181">
        <f>IF(AND(P181&lt;=N181,L181&gt;0),IF(Q181&lt;10,"UBL10",IF(Q181&gt;=200,"UBM200",IF(Q181&gt;=150,"UBM150",IF(Q181&gt;=100,"UBM100",IF(Q181&gt;=50,"UBM50","UBM10-50"))))),0)</f>
        <v>0</v>
      </c>
      <c r="AK181" t="s">
        <f>IF(Q181&lt;5,"down",IF(Q181=5,5,IF(Q181&gt;5,"up")))</f>
        <v>6</v>
      </c>
    </row>
    <row r="182" spans="1:37">
      <c r="A182">
        <f>IF(X182=2845,2845,"Error")</f>
        <v>2845</v>
      </c>
      <c r="B182" t="s">
        <f>IF(K182&lt;11.25,"down",IF(K182=11.25,"low",IF(K182=11.35,"high",IF(AND(K182&gt;11.25,K182&lt;11.35),"normal","up"))))</f>
        <v>84</v>
      </c>
      <c r="C182" t="s">
        <f>IF(K182&lt;11.25,"down",IF(K182=11.25,"low",IF(K182=11.35,"high",IF(AND(K182&gt;11.25,K182&lt;11.35),"normal","up"))))</f>
        <v>84</v>
      </c>
      <c r="D182" t="s">
        <f>IF(K182&lt;11.25,"down",IF(K182=11.25,"low",IF(K182=11.35,"high",IF(AND(K182&gt;11.25,K182&lt;11.35),"normal","up"))))</f>
        <v>84</v>
      </c>
      <c r="E182" t="s">
        <f>IF(K182&lt;11,"down",IF(K182=11,"low",IF(K182=11.35,"high",IF(AND(K182&gt;11,K182&lt;11.35),"normal","up"))))</f>
        <v>84</v>
      </c>
      <c r="F182">
        <f>IF(P182&lt;11.300000000000001,"PVP-down",IF(P182=11.300000000000001,11.300000000000001,IF(P182&gt;11.300000000000001,"PVP-up")))</f>
        <v>11.300000000000001</v>
      </c>
      <c r="G182" t="s">
        <f>IF(R182&lt;1782,"PVV-down",IF(R182=1782,1782,IF(R182&gt;1782,"PVV-up")))</f>
        <v>81</v>
      </c>
      <c r="H182" s="40">
        <f>R182/(Y182/10000)</f>
        <v>0.00066839115219408465</v>
      </c>
      <c r="I182">
        <v>11.300000000000001</v>
      </c>
      <c r="J182">
        <v>11.300000000000001</v>
      </c>
      <c r="K182">
        <v>11.35</v>
      </c>
      <c r="L182">
        <v>0</v>
      </c>
      <c r="M182">
        <v>0</v>
      </c>
      <c r="N182">
        <v>11.300000000000001</v>
      </c>
      <c r="O182">
        <v>11.35</v>
      </c>
      <c r="P182">
        <v>11.300000000000001</v>
      </c>
      <c r="Q182">
        <v>130</v>
      </c>
      <c r="R182">
        <v>2243</v>
      </c>
      <c r="S182">
        <v>2226</v>
      </c>
      <c r="T182" s="40">
        <f>((P182-K182)/K182)</f>
        <v>-0.0044052863436122407</v>
      </c>
      <c r="U182" s="40">
        <f>((T182*AB182)*D4)</f>
        <v>-0.059866137944190392</v>
      </c>
      <c r="V182" s="3">
        <f>IF(P182&lt;=N182,(P182*Q182*1000),0)</f>
        <v>1469000</v>
      </c>
      <c r="W182" s="3">
        <f>IF(P182&gt;=O182,(P182*Q182*1000),0)</f>
        <v>0</v>
      </c>
      <c r="X182">
        <v>2845</v>
      </c>
      <c r="Y182" s="3">
        <v>33558194070</v>
      </c>
      <c r="Z182" s="40">
        <f>((C4*AB182)/P182)/10</f>
        <v>0.1103662104982511</v>
      </c>
      <c r="AA182" s="40">
        <f>((M182*AB182)*C4)</f>
        <v>0</v>
      </c>
      <c r="AB182" s="40">
        <f>AE182/AE323</f>
        <v>0.0010633342159491767</v>
      </c>
      <c r="AC182" s="40">
        <f>AF182/AF323</f>
        <v>0.0010534548092981512</v>
      </c>
      <c r="AD182" s="3">
        <f>IF(ISNA(J182),(I182*Y182)/10,(J182*Y182)/10)</f>
        <v>37920759299.099998</v>
      </c>
      <c r="AE182" s="3">
        <f>IF(ISNA(P182),(I182*Y182)/10,(P182*Y182)/10)</f>
        <v>37920759299.099998</v>
      </c>
      <c r="AF182" s="3">
        <f>(I182*Y182)/10</f>
        <v>37920759299.099998</v>
      </c>
      <c r="AG182">
        <f>IF(AND(P182&lt;=N182,L182&lt;0),IF(Q182&lt;10,"DBL10",IF(Q182&gt;=200,"DBM200",IF(Q182&gt;=150,"DBM150",IF(Q182&gt;=100,"DBM100",IF(Q182&gt;=50,"DBM50","DBM10-50"))))),0)</f>
        <v>0</v>
      </c>
      <c r="AH182">
        <f>IF(AND(P182&gt;=O182,L182&lt;0),IF(Q182&lt;10,"DAL10",IF(Q182&gt;=200,"DAM200",IF(Q182&gt;=150,"DAM150",IF(Q182&gt;=100,"DAM100",IF(Q182&gt;=50,"DAM50","DAM10-50"))))),0)</f>
        <v>0</v>
      </c>
      <c r="AI182">
        <f>IF(AND(P182&gt;=O182,L182&gt;0),IF(Q182&lt;10,"UAL10",IF(Q182&gt;=200,"UAM200",IF(Q182&gt;=150,"UAM150",IF(Q182&gt;=100,"UAM100",IF(Q182&gt;=50,"UAM50","UAM10-50"))))),0)</f>
        <v>0</v>
      </c>
      <c r="AJ182">
        <f>IF(AND(P182&lt;=N182,L182&gt;0),IF(Q182&lt;10,"UBL10",IF(Q182&gt;=200,"UBM200",IF(Q182&gt;=150,"UBM150",IF(Q182&gt;=100,"UBM100",IF(Q182&gt;=50,"UBM50","UBM10-50"))))),0)</f>
        <v>0</v>
      </c>
      <c r="AK182" t="s">
        <f>IF(Q182&lt;55,"down",IF(Q182=55,55,IF(Q182&gt;55,"up")))</f>
        <v>6</v>
      </c>
    </row>
    <row r="183" spans="1:37">
      <c r="A183">
        <f>IF(X183=2889,2889,"Error")</f>
        <v>2889</v>
      </c>
      <c r="B183" t="s">
        <f>IF(K183&lt;11.75,"down",IF(K183=11.75,"low",IF(K183=11.85,"high",IF(AND(K183&gt;11.75,K183&lt;11.85),"normal","up"))))</f>
        <v>6</v>
      </c>
      <c r="C183" t="s">
        <f>IF(K183&lt;11.75,"down",IF(K183=11.75,"low",IF(K183=11.85,"high",IF(AND(K183&gt;11.75,K183&lt;11.85),"normal","up"))))</f>
        <v>6</v>
      </c>
      <c r="D183" t="s">
        <f>IF(K183&lt;11.75,"down",IF(K183=11.75,"low",IF(K183=11.85,"high",IF(AND(K183&gt;11.75,K183&lt;11.85),"normal","up"))))</f>
        <v>6</v>
      </c>
      <c r="E183" t="s">
        <f>IF(K183&lt;11.35,"down",IF(K183=11.35,"low",IF(K183=11.85,"high",IF(AND(K183&gt;11.35,K183&lt;11.85),"normal","up"))))</f>
        <v>6</v>
      </c>
      <c r="F183" t="s">
        <f>IF(P183&lt;11.800000000000001,"PVP-down",IF(P183=11.800000000000001,11.800000000000001,IF(P183&gt;11.800000000000001,"PVP-up")))</f>
        <v>83</v>
      </c>
      <c r="G183" t="s">
        <f>IF(R183&lt;4452,"PVV-down",IF(R183=4452,4452,IF(R183&gt;4452,"PVV-up")))</f>
        <v>81</v>
      </c>
      <c r="H183" s="40">
        <f>R183/(Y183/10000)</f>
        <v>0.0026586475639051835</v>
      </c>
      <c r="I183">
        <v>11.800000000000001</v>
      </c>
      <c r="J183">
        <v>11.9</v>
      </c>
      <c r="K183">
        <v>11.9</v>
      </c>
      <c r="L183">
        <v>0.10000000000000001</v>
      </c>
      <c r="M183">
        <v>0.0085000000000000006</v>
      </c>
      <c r="N183">
        <v>11.85</v>
      </c>
      <c r="O183">
        <v>11.9</v>
      </c>
      <c r="P183">
        <v>11.9</v>
      </c>
      <c r="Q183">
        <v>1948</v>
      </c>
      <c r="R183">
        <v>7572</v>
      </c>
      <c r="S183">
        <v>6889</v>
      </c>
      <c r="T183" s="40">
        <f>((P183-K183)/K183)</f>
        <v>0</v>
      </c>
      <c r="U183" s="40">
        <f>((T183*AB183)*D4)</f>
        <v>0</v>
      </c>
      <c r="V183" s="3">
        <f>IF(P183&lt;=N183,(P183*Q183*1000),0)</f>
        <v>0</v>
      </c>
      <c r="W183" s="3">
        <f>IF(P183&gt;=O183,(P183*Q183*1000),0)</f>
        <v>23181200</v>
      </c>
      <c r="X183">
        <v>2889</v>
      </c>
      <c r="Y183" s="3">
        <v>28480645960</v>
      </c>
      <c r="Z183" s="40">
        <f>((C4*AB183)/P183)/10</f>
        <v>0.093667166969438914</v>
      </c>
      <c r="AA183" s="40">
        <f>((M183*AB183)*C4)</f>
        <v>0.09474433938958747</v>
      </c>
      <c r="AB183" s="40">
        <f>AE183/AE323</f>
        <v>0.00095036308931088634</v>
      </c>
      <c r="AC183" s="40">
        <f>AF183/AF323</f>
        <v>0.00093362124955780111</v>
      </c>
      <c r="AD183" s="3">
        <f>IF(ISNA(J183),(I183*Y183)/10,(J183*Y183)/10)</f>
        <v>33891968692.400002</v>
      </c>
      <c r="AE183" s="3">
        <f>IF(ISNA(P183),(I183*Y183)/10,(P183*Y183)/10)</f>
        <v>33891968692.400002</v>
      </c>
      <c r="AF183" s="3">
        <f>(I183*Y183)/10</f>
        <v>33607162232.799999</v>
      </c>
      <c r="AG183">
        <f>IF(AND(P183&lt;=N183,L183&lt;0),IF(Q183&lt;10,"DBL10",IF(Q183&gt;=200,"DBM200",IF(Q183&gt;=150,"DBM150",IF(Q183&gt;=100,"DBM100",IF(Q183&gt;=50,"DBM50","DBM10-50"))))),0)</f>
        <v>0</v>
      </c>
      <c r="AH183">
        <f>IF(AND(P183&gt;=O183,L183&lt;0),IF(Q183&lt;10,"DAL10",IF(Q183&gt;=200,"DAM200",IF(Q183&gt;=150,"DAM150",IF(Q183&gt;=100,"DAM100",IF(Q183&gt;=50,"DAM50","DAM10-50"))))),0)</f>
        <v>0</v>
      </c>
      <c r="AI183" t="s">
        <f>IF(AND(P183&gt;=O183,L183&gt;0),IF(Q183&lt;10,"UAL10",IF(Q183&gt;=200,"UAM200",IF(Q183&gt;=150,"UAM150",IF(Q183&gt;=100,"UAM100",IF(Q183&gt;=50,"UAM50","UAM10-50"))))),0)</f>
        <v>31</v>
      </c>
      <c r="AJ183">
        <f>IF(AND(P183&lt;=N183,L183&gt;0),IF(Q183&lt;10,"UBL10",IF(Q183&gt;=200,"UBM200",IF(Q183&gt;=150,"UBM150",IF(Q183&gt;=100,"UBM100",IF(Q183&gt;=50,"UBM50","UBM10-50"))))),0)</f>
        <v>0</v>
      </c>
      <c r="AK183" t="s">
        <f>IF(Q183&lt;312,"down",IF(Q183=312,312,IF(Q183&gt;312,"up")))</f>
        <v>6</v>
      </c>
    </row>
    <row r="184" spans="1:37">
      <c r="A184">
        <f>IF(X184=2838,2838,"Error")</f>
        <v>2838</v>
      </c>
      <c r="B184" t="s">
        <f>IF(K184&lt;10.35,"down",IF(K184=10.35,"low",IF(K184=10.449999999999999,"high",IF(AND(K184&gt;10.35,K184&lt;10.449999999999999),"normal","up"))))</f>
        <v>84</v>
      </c>
      <c r="C184" t="s">
        <f>IF(K184&lt;10.35,"down",IF(K184=10.35,"low",IF(K184=10.449999999999999,"high",IF(AND(K184&gt;10.35,K184&lt;10.449999999999999),"normal","up"))))</f>
        <v>84</v>
      </c>
      <c r="D184" t="s">
        <f>IF(K184&lt;10.35,"down",IF(K184=10.35,"low",IF(K184=10.449999999999999,"high",IF(AND(K184&gt;10.35,K184&lt;10.449999999999999),"normal","up"))))</f>
        <v>84</v>
      </c>
      <c r="E184" t="s">
        <f>IF(K184&lt;10.25,"down",IF(K184=10.25,"low",IF(K184=10.449999999999999,"high",IF(AND(K184&gt;10.25,K184&lt;10.449999999999999),"normal","up"))))</f>
        <v>84</v>
      </c>
      <c r="F184" t="s">
        <f>IF(P184&lt;10.449999999999999,"PVP-down",IF(P184=10.449999999999999,10.449999999999999,IF(P184&gt;10.449999999999999,"PVP-up")))</f>
        <v>80</v>
      </c>
      <c r="G184" t="s">
        <f>IF(R184&lt;448,"PVV-down",IF(R184=448,448,IF(R184&gt;448,"PVV-up")))</f>
        <v>81</v>
      </c>
      <c r="H184" s="40">
        <f>R184/(Y184/10000)</f>
        <v>0.00044156905225131726</v>
      </c>
      <c r="I184">
        <v>10.449999999999999</v>
      </c>
      <c r="J184">
        <v>10.35</v>
      </c>
      <c r="K184">
        <v>10.449999999999999</v>
      </c>
      <c r="L184">
        <v>-0.10000000000000001</v>
      </c>
      <c r="M184">
        <v>-0.0095999999999999992</v>
      </c>
      <c r="N184">
        <v>10.35</v>
      </c>
      <c r="O184">
        <v>10.4</v>
      </c>
      <c r="P184">
        <v>10.35</v>
      </c>
      <c r="Q184">
        <v>60</v>
      </c>
      <c r="R184">
        <v>1362</v>
      </c>
      <c r="S184">
        <v>834</v>
      </c>
      <c r="T184" s="40">
        <f>((P184-K184)/K184)</f>
        <v>-0.0095693779904305887</v>
      </c>
      <c r="U184" s="40">
        <f>((T184*AB184)*D4)</f>
        <v>-0.10947945165628099</v>
      </c>
      <c r="V184" s="3">
        <f>IF(P184&lt;=N184,(P184*Q184*1000),0)</f>
        <v>621000</v>
      </c>
      <c r="W184" s="3">
        <f>IF(P184&gt;=O184,(P184*Q184*1000),0)</f>
        <v>0</v>
      </c>
      <c r="X184">
        <v>2838</v>
      </c>
      <c r="Y184" s="3">
        <v>30844552920</v>
      </c>
      <c r="Z184" s="40">
        <f>((C4*AB184)/P184)/10</f>
        <v>0.10144158571799944</v>
      </c>
      <c r="AA184" s="40">
        <f>((M184*AB184)*C4)</f>
        <v>-0.10079235956940424</v>
      </c>
      <c r="AB184" s="40">
        <f>AE184/AE323</f>
        <v>0.00089518252061052323</v>
      </c>
      <c r="AC184" s="40">
        <f>AF184/AF323</f>
        <v>0.00089543415425944177</v>
      </c>
      <c r="AD184" s="3">
        <f>IF(ISNA(J184),(I184*Y184)/10,(J184*Y184)/10)</f>
        <v>31924112272.200001</v>
      </c>
      <c r="AE184" s="3">
        <f>IF(ISNA(P184),(I184*Y184)/10,(P184*Y184)/10)</f>
        <v>31924112272.200001</v>
      </c>
      <c r="AF184" s="3">
        <f>(I184*Y184)/10</f>
        <v>32232557801.400002</v>
      </c>
      <c r="AG184" t="s">
        <f>IF(AND(P184&lt;=N184,L184&lt;0),IF(Q184&lt;10,"DBL10",IF(Q184&gt;=200,"DBM200",IF(Q184&gt;=150,"DBM150",IF(Q184&gt;=100,"DBM100",IF(Q184&gt;=50,"DBM50","DBM10-50"))))),0)</f>
        <v>13</v>
      </c>
      <c r="AH184">
        <f>IF(AND(P184&gt;=O184,L184&lt;0),IF(Q184&lt;10,"DAL10",IF(Q184&gt;=200,"DAM200",IF(Q184&gt;=150,"DAM150",IF(Q184&gt;=100,"DAM100",IF(Q184&gt;=50,"DAM50","DAM10-50"))))),0)</f>
        <v>0</v>
      </c>
      <c r="AI184">
        <f>IF(AND(P184&gt;=O184,L184&gt;0),IF(Q184&lt;10,"UAL10",IF(Q184&gt;=200,"UAM200",IF(Q184&gt;=150,"UAM150",IF(Q184&gt;=100,"UAM100",IF(Q184&gt;=50,"UAM50","UAM10-50"))))),0)</f>
        <v>0</v>
      </c>
      <c r="AJ184">
        <f>IF(AND(P184&lt;=N184,L184&gt;0),IF(Q184&lt;10,"UBL10",IF(Q184&gt;=200,"UBM200",IF(Q184&gt;=150,"UBM150",IF(Q184&gt;=100,"UBM100",IF(Q184&gt;=50,"UBM50","UBM10-50"))))),0)</f>
        <v>0</v>
      </c>
      <c r="AK184" t="s">
        <f>IF(Q184&lt;0,"down",IF(Q184=0,0,IF(Q184&gt;0,"up")))</f>
        <v>6</v>
      </c>
    </row>
    <row r="185" spans="1:37">
      <c r="A185">
        <f>IF(X185=6005,6005,"Error")</f>
        <v>6005</v>
      </c>
      <c r="B185" t="s">
        <f>IF(K185&lt;11.75,"down",IF(K185=11.75,"low",IF(K185=11.949999999999999,"high",IF(AND(K185&gt;11.75,K185&lt;11.949999999999999),"normal","up"))))</f>
        <v>79</v>
      </c>
      <c r="C185" t="s">
        <f>IF(K185&lt;11.75,"down",IF(K185=11.75,"low",IF(K185=11.949999999999999,"high",IF(AND(K185&gt;11.75,K185&lt;11.949999999999999),"normal","up"))))</f>
        <v>79</v>
      </c>
      <c r="D185" t="s">
        <f>IF(K185&lt;11.75,"down",IF(K185=11.75,"low",IF(K185=11.949999999999999,"high",IF(AND(K185&gt;11.75,K185&lt;11.949999999999999),"normal","up"))))</f>
        <v>79</v>
      </c>
      <c r="E185" t="s">
        <f>IF(K185&lt;11.6,"down",IF(K185=11.6,"low",IF(K185=11.949999999999999,"high",IF(AND(K185&gt;11.6,K185&lt;11.949999999999999),"normal","up"))))</f>
        <v>79</v>
      </c>
      <c r="F185" t="s">
        <f>IF(P185&lt;11.9,"PVP-down",IF(P185=11.9,11.9,IF(P185&gt;11.9,"PVP-up")))</f>
        <v>80</v>
      </c>
      <c r="G185" t="s">
        <f>IF(R185&lt;7501,"PVV-down",IF(R185=7501,7501,IF(R185&gt;7501,"PVV-up")))</f>
        <v>81</v>
      </c>
      <c r="H185" s="40">
        <f>R185/(Y185/10000)</f>
        <v>0.0070546514710429029</v>
      </c>
      <c r="I185">
        <v>11.85</v>
      </c>
      <c r="J185">
        <v>11.800000000000001</v>
      </c>
      <c r="K185">
        <v>11.85</v>
      </c>
      <c r="L185">
        <v>-0.050000000000000003</v>
      </c>
      <c r="M185">
        <v>-0.0041999999999999997</v>
      </c>
      <c r="N185">
        <v>11.75</v>
      </c>
      <c r="O185">
        <v>11.800000000000001</v>
      </c>
      <c r="P185">
        <v>11.800000000000001</v>
      </c>
      <c r="Q185">
        <v>474</v>
      </c>
      <c r="R185">
        <v>15315</v>
      </c>
      <c r="S185">
        <v>20240</v>
      </c>
      <c r="T185" s="40">
        <f>((P185-K185)/K185)</f>
        <v>-0.0042194092827003322</v>
      </c>
      <c r="U185" s="40">
        <f>((T185*AB185)*D4)</f>
        <v>-0.038735143948286602</v>
      </c>
      <c r="V185" s="3">
        <f>IF(P185&lt;=N185,(P185*Q185*1000),0)</f>
        <v>0</v>
      </c>
      <c r="W185" s="3">
        <f>IF(P185&gt;=O185,(P185*Q185*1000),0)</f>
        <v>5593200.0000000009</v>
      </c>
      <c r="X185">
        <v>6005</v>
      </c>
      <c r="Y185" s="3">
        <v>21709080970</v>
      </c>
      <c r="Z185" s="40">
        <f>((C4*AB185)/P185)/10</f>
        <v>0.071396839623157876</v>
      </c>
      <c r="AA185" s="40">
        <f>((M185*AB185)*C4)</f>
        <v>-0.035384273717237041</v>
      </c>
      <c r="AB185" s="40">
        <f>AE185/AE323</f>
        <v>0.00071831710762861273</v>
      </c>
      <c r="AC185" s="40">
        <f>AF185/AF323</f>
        <v>0.00071465868217177855</v>
      </c>
      <c r="AD185" s="3">
        <f>IF(ISNA(J185),(I185*Y185)/10,(J185*Y185)/10)</f>
        <v>25616715544.600002</v>
      </c>
      <c r="AE185" s="3">
        <f>IF(ISNA(P185),(I185*Y185)/10,(P185*Y185)/10)</f>
        <v>25616715544.600002</v>
      </c>
      <c r="AF185" s="3">
        <f>(I185*Y185)/10</f>
        <v>25725260949.450001</v>
      </c>
      <c r="AG185">
        <f>IF(AND(P185&lt;=N185,L185&lt;0),IF(Q185&lt;10,"DBL10",IF(Q185&gt;=200,"DBM200",IF(Q185&gt;=150,"DBM150",IF(Q185&gt;=100,"DBM100",IF(Q185&gt;=50,"DBM50","DBM10-50"))))),0)</f>
        <v>0</v>
      </c>
      <c r="AH185" t="s">
        <f>IF(AND(P185&gt;=O185,L185&lt;0),IF(Q185&lt;10,"DAL10",IF(Q185&gt;=200,"DAM200",IF(Q185&gt;=150,"DAM150",IF(Q185&gt;=100,"DAM100",IF(Q185&gt;=50,"DAM50","DAM10-50"))))),0)</f>
        <v>26</v>
      </c>
      <c r="AI185">
        <f>IF(AND(P185&gt;=O185,L185&gt;0),IF(Q185&lt;10,"UAL10",IF(Q185&gt;=200,"UAM200",IF(Q185&gt;=150,"UAM150",IF(Q185&gt;=100,"UAM100",IF(Q185&gt;=50,"UAM50","UAM10-50"))))),0)</f>
        <v>0</v>
      </c>
      <c r="AJ185">
        <f>IF(AND(P185&lt;=N185,L185&gt;0),IF(Q185&lt;10,"UBL10",IF(Q185&gt;=200,"UBM200",IF(Q185&gt;=150,"UBM150",IF(Q185&gt;=100,"UBM100",IF(Q185&gt;=50,"UBM50","UBM10-50"))))),0)</f>
        <v>0</v>
      </c>
      <c r="AK185" t="s">
        <f>IF(Q185&lt;4027,"down",IF(Q185=4027,4027,IF(Q185&gt;4027,"up")))</f>
        <v>7</v>
      </c>
    </row>
    <row r="186" spans="1:37">
      <c r="A186">
        <f>IF(X186=2855,2855,"Error")</f>
        <v>2855</v>
      </c>
      <c r="B186" t="s">
        <f>IF(K186&lt;15.949999999999999,"down",IF(K186=15.949999999999999,"low",IF(K186=16.300000000000001,"high",IF(AND(K186&gt;15.949999999999999,K186&lt;16.300000000000001),"normal","up"))))</f>
        <v>79</v>
      </c>
      <c r="C186" t="s">
        <f>IF(K186&lt;15.949999999999999,"down",IF(K186=15.949999999999999,"low",IF(K186=16.300000000000001,"high",IF(AND(K186&gt;15.949999999999999,K186&lt;16.300000000000001),"normal","up"))))</f>
        <v>79</v>
      </c>
      <c r="D186" t="s">
        <f>IF(K186&lt;15.949999999999999,"down",IF(K186=15.949999999999999,"low",IF(K186=16.300000000000001,"high",IF(AND(K186&gt;15.949999999999999,K186&lt;16.300000000000001),"normal","up"))))</f>
        <v>79</v>
      </c>
      <c r="E186" t="s">
        <f>IF(K186&lt;14.949999999999999,"down",IF(K186=14.949999999999999,"low",IF(K186=16.5,"high",IF(AND(K186&gt;14.949999999999999,K186&lt;16.5),"normal","up"))))</f>
        <v>79</v>
      </c>
      <c r="F186" t="s">
        <f>IF(P186&lt;16.050000000000001,"PVP-down",IF(P186=16.050000000000001,16.050000000000001,IF(P186&gt;16.050000000000001,"PVP-up")))</f>
        <v>80</v>
      </c>
      <c r="G186" t="s">
        <f>IF(R186&lt;2832,"PVV-down",IF(R186=2832,2832,IF(R186&gt;2832,"PVV-up")))</f>
        <v>81</v>
      </c>
      <c r="H186" s="40">
        <f>R186/(Y186/10000)</f>
        <v>0.0051851149125370938</v>
      </c>
      <c r="I186">
        <v>16.050000000000001</v>
      </c>
      <c r="J186">
        <v>15.85</v>
      </c>
      <c r="K186">
        <v>16.25</v>
      </c>
      <c r="L186">
        <v>-0.20000000000000001</v>
      </c>
      <c r="M186">
        <v>-0.012500000000000001</v>
      </c>
      <c r="N186">
        <v>15.800000000000001</v>
      </c>
      <c r="O186">
        <v>15.9</v>
      </c>
      <c r="P186">
        <v>15.85</v>
      </c>
      <c r="Q186">
        <v>135</v>
      </c>
      <c r="R186">
        <v>7116</v>
      </c>
      <c r="S186">
        <v>13065</v>
      </c>
      <c r="T186" s="40">
        <f>((P186-K186)/K186)</f>
        <v>-0.024615384615384636</v>
      </c>
      <c r="U186" s="40">
        <f>((T186*AB186)*D4)</f>
        <v>-0.19188610207108864</v>
      </c>
      <c r="V186" s="3">
        <f>IF(P186&lt;=N186,(P186*Q186*1000),0)</f>
        <v>0</v>
      </c>
      <c r="W186" s="3">
        <f>IF(P186&gt;=O186,(P186*Q186*1000),0)</f>
        <v>0</v>
      </c>
      <c r="X186">
        <v>2855</v>
      </c>
      <c r="Y186" s="3">
        <v>13723900280</v>
      </c>
      <c r="Z186" s="40">
        <f>((C4*AB186)/P186)/10</f>
        <v>0.04513517217285367</v>
      </c>
      <c r="AA186" s="40">
        <f>((M186*AB186)*C4)</f>
        <v>-0.089424059867466335</v>
      </c>
      <c r="AB186" s="40">
        <f>AE186/AE323</f>
        <v>0.00060995751210568615</v>
      </c>
      <c r="AC186" s="40">
        <f>AF186/AF323</f>
        <v>0.00061191553060444611</v>
      </c>
      <c r="AD186" s="3">
        <f>IF(ISNA(J186),(I186*Y186)/10,(J186*Y186)/10)</f>
        <v>21752381943.799999</v>
      </c>
      <c r="AE186" s="3">
        <f>IF(ISNA(P186),(I186*Y186)/10,(P186*Y186)/10)</f>
        <v>21752381943.799999</v>
      </c>
      <c r="AF186" s="3">
        <f>(I186*Y186)/10</f>
        <v>22026859949.400002</v>
      </c>
      <c r="AG186">
        <f>IF(AND(P186&lt;=N186,L186&lt;0),IF(Q186&lt;10,"DBL10",IF(Q186&gt;=200,"DBM200",IF(Q186&gt;=150,"DBM150",IF(Q186&gt;=100,"DBM100",IF(Q186&gt;=50,"DBM50","DBM10-50"))))),0)</f>
        <v>0</v>
      </c>
      <c r="AH186">
        <f>IF(AND(P186&gt;=O186,L186&lt;0),IF(Q186&lt;10,"DAL10",IF(Q186&gt;=200,"DAM200",IF(Q186&gt;=150,"DAM150",IF(Q186&gt;=100,"DAM100",IF(Q186&gt;=50,"DAM50","DAM10-50"))))),0)</f>
        <v>0</v>
      </c>
      <c r="AI186">
        <f>IF(AND(P186&gt;=O186,L186&gt;0),IF(Q186&lt;10,"UAL10",IF(Q186&gt;=200,"UAM200",IF(Q186&gt;=150,"UAM150",IF(Q186&gt;=100,"UAM100",IF(Q186&gt;=50,"UAM50","UAM10-50"))))),0)</f>
        <v>0</v>
      </c>
      <c r="AJ186">
        <f>IF(AND(P186&lt;=N186,L186&gt;0),IF(Q186&lt;10,"UBL10",IF(Q186&gt;=200,"UBM200",IF(Q186&gt;=150,"UBM150",IF(Q186&gt;=100,"UBM100",IF(Q186&gt;=50,"UBM50","UBM10-50"))))),0)</f>
        <v>0</v>
      </c>
      <c r="AK186" t="s">
        <f>IF(Q186&lt;953,"down",IF(Q186=953,953,IF(Q186&gt;953,"up")))</f>
        <v>7</v>
      </c>
    </row>
    <row r="187" spans="1:37">
      <c r="A187">
        <f>IF(X187=2867,2867,"Error")</f>
        <v>2867</v>
      </c>
      <c r="B187" t="s">
        <f>IF(K187&lt;9.5099999999999998,"down",IF(K187=9.5099999999999998,"low",IF(K187=9.6600000000000001,"high",IF(AND(K187&gt;9.5099999999999998,K187&lt;9.6600000000000001),"normal","up"))))</f>
        <v>79</v>
      </c>
      <c r="C187" t="s">
        <f>IF(K187&lt;9.5099999999999998,"down",IF(K187=9.5099999999999998,"low",IF(K187=9.6600000000000001,"high",IF(AND(K187&gt;9.5099999999999998,K187&lt;9.6600000000000001),"normal","up"))))</f>
        <v>79</v>
      </c>
      <c r="D187" t="s">
        <f>IF(K187&lt;9.5099999999999998,"down",IF(K187=9.5099999999999998,"low",IF(K187=9.6600000000000001,"high",IF(AND(K187&gt;9.5099999999999998,K187&lt;9.6600000000000001),"normal","up"))))</f>
        <v>79</v>
      </c>
      <c r="E187" t="s">
        <f>IF(K187&lt;9.3100000000000005,"down",IF(K187=9.3100000000000005,"low",IF(K187=9.6600000000000001,"high",IF(AND(K187&gt;9.3100000000000005,K187&lt;9.6600000000000001),"normal","up"))))</f>
        <v>79</v>
      </c>
      <c r="F187" t="s">
        <f>IF(P187&lt;9.6400000000000006,"PVP-down",IF(P187=9.6400000000000006,9.6400000000000006,IF(P187&gt;9.6400000000000006,"PVP-up")))</f>
        <v>83</v>
      </c>
      <c r="G187" t="s">
        <f>IF(R187&lt;400,"PVV-down",IF(R187=400,400,IF(R187&gt;400,"PVV-up")))</f>
        <v>81</v>
      </c>
      <c r="H187" s="40">
        <f>R187/(Y187/10000)</f>
        <v>0.0010295233437063545</v>
      </c>
      <c r="I187">
        <v>9.6400000000000006</v>
      </c>
      <c r="J187">
        <v>9.7400000000000002</v>
      </c>
      <c r="K187">
        <v>9.6500000000000004</v>
      </c>
      <c r="L187">
        <v>0.10000000000000001</v>
      </c>
      <c r="M187">
        <v>0.0104</v>
      </c>
      <c r="N187">
        <v>9.7400000000000002</v>
      </c>
      <c r="O187">
        <v>9.75</v>
      </c>
      <c r="P187">
        <v>9.7400000000000002</v>
      </c>
      <c r="Q187">
        <v>58</v>
      </c>
      <c r="R187">
        <v>2442</v>
      </c>
      <c r="S187">
        <v>1770</v>
      </c>
      <c r="T187" s="40">
        <f>((P187-K187)/K187)</f>
        <v>0.0093264248704663065</v>
      </c>
      <c r="U187" s="40">
        <f>((T187*AB187)*D4)</f>
        <v>0.077217135851667382</v>
      </c>
      <c r="V187" s="3">
        <f>IF(P187&lt;=N187,(P187*Q187*1000),0)</f>
        <v>564920</v>
      </c>
      <c r="W187" s="3">
        <f>IF(P187&gt;=O187,(P187*Q187*1000),0)</f>
        <v>0</v>
      </c>
      <c r="X187">
        <v>2867</v>
      </c>
      <c r="Y187" s="3">
        <v>23719714710</v>
      </c>
      <c r="Z187" s="40">
        <f>((C4*AB187)/P187)/10</f>
        <v>0.078009413175859937</v>
      </c>
      <c r="AA187" s="40">
        <f>((M187*AB187)*C4)</f>
        <v>0.079020415170619099</v>
      </c>
      <c r="AB187" s="40">
        <f>AE187/AE323</f>
        <v>0.00064783018872575568</v>
      </c>
      <c r="AC187" s="40">
        <f>AF187/AF323</f>
        <v>0.00063522178011055379</v>
      </c>
      <c r="AD187" s="3">
        <f>IF(ISNA(J187),(I187*Y187)/10,(J187*Y187)/10)</f>
        <v>23103002127.540001</v>
      </c>
      <c r="AE187" s="3">
        <f>IF(ISNA(P187),(I187*Y187)/10,(P187*Y187)/10)</f>
        <v>23103002127.540001</v>
      </c>
      <c r="AF187" s="3">
        <f>(I187*Y187)/10</f>
        <v>22865804980.440002</v>
      </c>
      <c r="AG187">
        <f>IF(AND(P187&lt;=N187,L187&lt;0),IF(Q187&lt;10,"DBL10",IF(Q187&gt;=200,"DBM200",IF(Q187&gt;=150,"DBM150",IF(Q187&gt;=100,"DBM100",IF(Q187&gt;=50,"DBM50","DBM10-50"))))),0)</f>
        <v>0</v>
      </c>
      <c r="AH187">
        <f>IF(AND(P187&gt;=O187,L187&lt;0),IF(Q187&lt;10,"DAL10",IF(Q187&gt;=200,"DAM200",IF(Q187&gt;=150,"DAM150",IF(Q187&gt;=100,"DAM100",IF(Q187&gt;=50,"DAM50","DAM10-50"))))),0)</f>
        <v>0</v>
      </c>
      <c r="AI187">
        <f>IF(AND(P187&gt;=O187,L187&gt;0),IF(Q187&lt;10,"UAL10",IF(Q187&gt;=200,"UAM200",IF(Q187&gt;=150,"UAM150",IF(Q187&gt;=100,"UAM100",IF(Q187&gt;=50,"UAM50","UAM10-50"))))),0)</f>
        <v>0</v>
      </c>
      <c r="AJ187" t="s">
        <f>IF(AND(P187&lt;=N187,L187&gt;0),IF(Q187&lt;10,"UBL10",IF(Q187&gt;=200,"UBM200",IF(Q187&gt;=150,"UBM150",IF(Q187&gt;=100,"UBM100",IF(Q187&gt;=50,"UBM50","UBM10-50"))))),0)</f>
        <v>18</v>
      </c>
      <c r="AK187" t="s">
        <f>IF(Q187&lt;10,"down",IF(Q187=10,10,IF(Q187&gt;10,"up")))</f>
        <v>6</v>
      </c>
    </row>
    <row r="188" spans="1:37">
      <c r="A188">
        <f>IF(X188=2849,2849,"Error")</f>
        <v>2849</v>
      </c>
      <c r="B188" t="s">
        <f>IF(K188&lt;13.85,"down",IF(K188=13.85,"low",IF(K188=14.050000000000001,"high",IF(AND(K188&gt;13.85,K188&lt;14.050000000000001),"normal","up"))))</f>
        <v>79</v>
      </c>
      <c r="C188" t="s">
        <f>IF(K188&lt;13.85,"down",IF(K188=13.85,"low",IF(K188=14.050000000000001,"high",IF(AND(K188&gt;13.85,K188&lt;14.050000000000001),"normal","up"))))</f>
        <v>79</v>
      </c>
      <c r="D188" t="s">
        <f>IF(K188&lt;13.85,"down",IF(K188=13.85,"low",IF(K188=14.050000000000001,"high",IF(AND(K188&gt;13.85,K188&lt;14.050000000000001),"normal","up"))))</f>
        <v>79</v>
      </c>
      <c r="E188" t="s">
        <f>IF(K188&lt;13.699999999999999,"down",IF(K188=13.699999999999999,"low",IF(K188=14.15,"high",IF(AND(K188&gt;13.699999999999999,K188&lt;14.15),"normal","up"))))</f>
        <v>79</v>
      </c>
      <c r="F188" t="s">
        <f>IF(P188&lt;14,"PVP-down",IF(P188=14,14,IF(P188&gt;14,"PVP-up")))</f>
        <v>80</v>
      </c>
      <c r="G188" t="s">
        <f>IF(R188&lt;22,"PVV-down",IF(R188=22,22,IF(R188&gt;22,"PVV-up")))</f>
        <v>87</v>
      </c>
      <c r="H188" s="40">
        <f>R188/(Y188/10000)</f>
        <v>7.1504817087996454e-06</v>
      </c>
      <c r="I188">
        <v>13.949999999999999</v>
      </c>
      <c r="J188">
        <v>13.949999999999999</v>
      </c>
      <c r="K188">
        <v>14</v>
      </c>
      <c r="L188">
        <v>0</v>
      </c>
      <c r="M188">
        <v>0</v>
      </c>
      <c r="N188">
        <v>13.9</v>
      </c>
      <c r="O188">
        <v>13.949999999999999</v>
      </c>
      <c r="P188">
        <v>13.949999999999999</v>
      </c>
      <c r="Q188">
        <v>1</v>
      </c>
      <c r="R188">
        <v>14</v>
      </c>
      <c r="S188">
        <v>39</v>
      </c>
      <c r="T188" s="40">
        <f>((P188-K188)/K188)</f>
        <v>-0.0035714285714286221</v>
      </c>
      <c r="U188" s="40">
        <f>((T188*AB188)*D4)</f>
        <v>-0.034957388924899045</v>
      </c>
      <c r="V188" s="3">
        <f>IF(P188&lt;=N188,(P188*Q188*1000),0)</f>
        <v>0</v>
      </c>
      <c r="W188" s="3">
        <f>IF(P188&gt;=O188,(P188*Q188*1000),0)</f>
        <v>13950</v>
      </c>
      <c r="X188">
        <v>2849</v>
      </c>
      <c r="Y188" s="3">
        <v>19579100500</v>
      </c>
      <c r="Z188" s="40">
        <f>((C4*AB188)/P188)/10</f>
        <v>0.064391758467156793</v>
      </c>
      <c r="AA188" s="40">
        <f>((M188*AB188)*C4)</f>
        <v>0</v>
      </c>
      <c r="AB188" s="40">
        <f>AE188/AE323</f>
        <v>0.0007658781989134429</v>
      </c>
      <c r="AC188" s="40">
        <f>AF188/AF323</f>
        <v>0.00075876244729111133</v>
      </c>
      <c r="AD188" s="3">
        <f>IF(ISNA(J188),(I188*Y188)/10,(J188*Y188)/10)</f>
        <v>27312845197.5</v>
      </c>
      <c r="AE188" s="3">
        <f>IF(ISNA(P188),(I188*Y188)/10,(P188*Y188)/10)</f>
        <v>27312845197.5</v>
      </c>
      <c r="AF188" s="3">
        <f>(I188*Y188)/10</f>
        <v>27312845197.5</v>
      </c>
      <c r="AG188">
        <f>IF(AND(P188&lt;=N188,L188&lt;0),IF(Q188&lt;10,"DBL10",IF(Q188&gt;=200,"DBM200",IF(Q188&gt;=150,"DBM150",IF(Q188&gt;=100,"DBM100",IF(Q188&gt;=50,"DBM50","DBM10-50"))))),0)</f>
        <v>0</v>
      </c>
      <c r="AH188">
        <f>IF(AND(P188&gt;=O188,L188&lt;0),IF(Q188&lt;10,"DAL10",IF(Q188&gt;=200,"DAM200",IF(Q188&gt;=150,"DAM150",IF(Q188&gt;=100,"DAM100",IF(Q188&gt;=50,"DAM50","DAM10-50"))))),0)</f>
        <v>0</v>
      </c>
      <c r="AI188">
        <f>IF(AND(P188&gt;=O188,L188&gt;0),IF(Q188&lt;10,"UAL10",IF(Q188&gt;=200,"UAM200",IF(Q188&gt;=150,"UAM150",IF(Q188&gt;=100,"UAM100",IF(Q188&gt;=50,"UAM50","UAM10-50"))))),0)</f>
        <v>0</v>
      </c>
      <c r="AJ188">
        <f>IF(AND(P188&lt;=N188,L188&gt;0),IF(Q188&lt;10,"UBL10",IF(Q188&gt;=200,"UBM200",IF(Q188&gt;=150,"UBM150",IF(Q188&gt;=100,"UBM100",IF(Q188&gt;=50,"UBM50","UBM10-50"))))),0)</f>
        <v>0</v>
      </c>
      <c r="AK188">
        <f>IF(Q188&lt;1,"down",IF(Q188=1,1,IF(Q188&gt;1,"up")))</f>
        <v>1</v>
      </c>
    </row>
    <row r="189" spans="1:37">
      <c r="A189">
        <f>IF(X189=2820,2820,"Error")</f>
        <v>2820</v>
      </c>
      <c r="B189" t="s">
        <f>IF(K189&lt;14.699999999999999,"down",IF(K189=14.699999999999999,"low",IF(K189=14.800000000000001,"high",IF(AND(K189&gt;14.699999999999999,K189&lt;14.800000000000001),"normal","up"))))</f>
        <v>84</v>
      </c>
      <c r="C189" t="s">
        <f>IF(K189&lt;14.699999999999999,"down",IF(K189=14.699999999999999,"low",IF(K189=14.800000000000001,"high",IF(AND(K189&gt;14.699999999999999,K189&lt;14.800000000000001),"normal","up"))))</f>
        <v>84</v>
      </c>
      <c r="D189" t="s">
        <f>IF(K189&lt;14.699999999999999,"down",IF(K189=14.699999999999999,"low",IF(K189=14.800000000000001,"high",IF(AND(K189&gt;14.699999999999999,K189&lt;14.800000000000001),"normal","up"))))</f>
        <v>84</v>
      </c>
      <c r="E189" t="s">
        <f>IF(K189&lt;14.550000000000001,"down",IF(K189=14.550000000000001,"low",IF(K189=14.85,"high",IF(AND(K189&gt;14.550000000000001,K189&lt;14.85),"normal","up"))))</f>
        <v>79</v>
      </c>
      <c r="F189" t="s">
        <f>IF(P189&lt;14.75,"PVP-down",IF(P189=14.75,14.75,IF(P189&gt;14.75,"PVP-up")))</f>
        <v>83</v>
      </c>
      <c r="G189" t="s">
        <f>IF(R189&lt;240,"PVV-down",IF(R189=240,240,IF(R189&gt;240,"PVV-up")))</f>
        <v>81</v>
      </c>
      <c r="H189" s="40">
        <f>R189/(Y189/10000)</f>
        <v>0.00071632811103830346</v>
      </c>
      <c r="I189">
        <v>14.800000000000001</v>
      </c>
      <c r="J189">
        <v>14.85</v>
      </c>
      <c r="K189">
        <v>14.800000000000001</v>
      </c>
      <c r="L189">
        <v>0.050000000000000003</v>
      </c>
      <c r="M189">
        <v>0.0033999999999999998</v>
      </c>
      <c r="N189">
        <v>14.800000000000001</v>
      </c>
      <c r="O189">
        <v>14.85</v>
      </c>
      <c r="P189">
        <v>14.85</v>
      </c>
      <c r="Q189">
        <v>25</v>
      </c>
      <c r="R189">
        <v>962</v>
      </c>
      <c r="S189">
        <v>452</v>
      </c>
      <c r="T189" s="40">
        <f>((P189-K189)/K189)</f>
        <v>0.0033783783783783061</v>
      </c>
      <c r="U189" s="40">
        <f>((T189*AB189)*D4)</f>
        <v>0.024145038069682496</v>
      </c>
      <c r="V189" s="3">
        <f>IF(P189&lt;=N189,(P189*Q189*1000),0)</f>
        <v>0</v>
      </c>
      <c r="W189" s="3">
        <f>IF(P189&gt;=O189,(P189*Q189*1000),0)</f>
        <v>371250</v>
      </c>
      <c r="X189">
        <v>2820</v>
      </c>
      <c r="Y189" s="3">
        <v>13429600000</v>
      </c>
      <c r="Z189" s="40">
        <f>((C4*AB189)/P189)/10</f>
        <v>0.044167277220448858</v>
      </c>
      <c r="AA189" s="40">
        <f>((M189*AB189)*C4)</f>
        <v>0.022300058268604626</v>
      </c>
      <c r="AB189" s="40">
        <f>AE189/AE323</f>
        <v>0.00055921948489233507</v>
      </c>
      <c r="AC189" s="40">
        <f>AF189/AF323</f>
        <v>0.0005521583932730906</v>
      </c>
      <c r="AD189" s="3">
        <f>IF(ISNA(J189),(I189*Y189)/10,(J189*Y189)/10)</f>
        <v>19942956000</v>
      </c>
      <c r="AE189" s="3">
        <f>IF(ISNA(P189),(I189*Y189)/10,(P189*Y189)/10)</f>
        <v>19942956000</v>
      </c>
      <c r="AF189" s="3">
        <f>(I189*Y189)/10</f>
        <v>19875808000</v>
      </c>
      <c r="AG189">
        <f>IF(AND(P189&lt;=N189,L189&lt;0),IF(Q189&lt;10,"DBL10",IF(Q189&gt;=200,"DBM200",IF(Q189&gt;=150,"DBM150",IF(Q189&gt;=100,"DBM100",IF(Q189&gt;=50,"DBM50","DBM10-50"))))),0)</f>
        <v>0</v>
      </c>
      <c r="AH189">
        <f>IF(AND(P189&gt;=O189,L189&lt;0),IF(Q189&lt;10,"DAL10",IF(Q189&gt;=200,"DAM200",IF(Q189&gt;=150,"DAM150",IF(Q189&gt;=100,"DAM100",IF(Q189&gt;=50,"DAM50","DAM10-50"))))),0)</f>
        <v>0</v>
      </c>
      <c r="AI189" t="s">
        <f>IF(AND(P189&gt;=O189,L189&gt;0),IF(Q189&lt;10,"UAL10",IF(Q189&gt;=200,"UAM200",IF(Q189&gt;=150,"UAM150",IF(Q189&gt;=100,"UAM100",IF(Q189&gt;=50,"UAM50","UAM10-50"))))),0)</f>
        <v>27</v>
      </c>
      <c r="AJ189">
        <f>IF(AND(P189&lt;=N189,L189&gt;0),IF(Q189&lt;10,"UBL10",IF(Q189&gt;=200,"UBM200",IF(Q189&gt;=150,"UBM150",IF(Q189&gt;=100,"UBM100",IF(Q189&gt;=50,"UBM50","UBM10-50"))))),0)</f>
        <v>0</v>
      </c>
      <c r="AK189" t="s">
        <f>IF(Q189&lt;8,"down",IF(Q189=8,8,IF(Q189&gt;8,"up")))</f>
        <v>6</v>
      </c>
    </row>
    <row r="190" spans="1:37">
      <c r="A190">
        <f>IF(X190=2897,2897,"Error")</f>
        <v>2897</v>
      </c>
      <c r="B190" t="s">
        <f>IF(K190&lt;6.6799999999999997,"down",IF(K190=6.6799999999999997,"low",IF(K190=6.7699999999999996,"high",IF(AND(K190&gt;6.6799999999999997,K190&lt;6.7699999999999996),"normal","up"))))</f>
        <v>79</v>
      </c>
      <c r="C190" t="s">
        <f>IF(K190&lt;6.6799999999999997,"down",IF(K190=6.6799999999999997,"low",IF(K190=6.7699999999999996,"high",IF(AND(K190&gt;6.6799999999999997,K190&lt;6.7699999999999996),"normal","up"))))</f>
        <v>79</v>
      </c>
      <c r="D190" t="s">
        <f>IF(K190&lt;6.6799999999999997,"down",IF(K190=6.6799999999999997,"low",IF(K190=6.7699999999999996,"high",IF(AND(K190&gt;6.6799999999999997,K190&lt;6.7699999999999996),"normal","up"))))</f>
        <v>79</v>
      </c>
      <c r="E190" t="s">
        <f>IF(K190&lt;6.6399999999999997,"down",IF(K190=6.6399999999999997,"low",IF(K190=6.9199999999999999,"high",IF(AND(K190&gt;6.6399999999999997,K190&lt;6.9199999999999999),"normal","up"))))</f>
        <v>79</v>
      </c>
      <c r="F190" t="s">
        <f>IF(P190&lt;6.75,"PVP-down",IF(P190=6.75,6.75,IF(P190&gt;6.75,"PVP-up")))</f>
        <v>83</v>
      </c>
      <c r="G190" t="s">
        <f>IF(R190&lt;644,"PVV-down",IF(R190=644,644,IF(R190&gt;644,"PVV-up")))</f>
        <v>81</v>
      </c>
      <c r="H190" s="40">
        <f>R190/(Y190/10000)</f>
        <v>0.00085808868160089098</v>
      </c>
      <c r="I190">
        <v>6.7599999999999998</v>
      </c>
      <c r="J190">
        <v>6.8300000000000001</v>
      </c>
      <c r="K190">
        <v>6.7599999999999998</v>
      </c>
      <c r="L190">
        <v>0.070000000000000007</v>
      </c>
      <c r="M190">
        <v>0.0104</v>
      </c>
      <c r="N190">
        <v>6.8200000000000003</v>
      </c>
      <c r="O190">
        <v>6.8300000000000001</v>
      </c>
      <c r="P190">
        <v>6.8300000000000001</v>
      </c>
      <c r="Q190">
        <v>13</v>
      </c>
      <c r="R190">
        <v>2328</v>
      </c>
      <c r="S190">
        <v>1718</v>
      </c>
      <c r="T190" s="40">
        <f>((P190-K190)/K190)</f>
        <v>0.010355029585798859</v>
      </c>
      <c r="U190" s="40">
        <f>((T190*AB190)*D4)</f>
        <v>0.068762700557620196</v>
      </c>
      <c r="V190" s="3">
        <f>IF(P190&lt;=N190,(P190*Q190*1000),0)</f>
        <v>0</v>
      </c>
      <c r="W190" s="3">
        <f>IF(P190&gt;=O190,(P190*Q190*1000),0)</f>
        <v>88790</v>
      </c>
      <c r="X190">
        <v>2897</v>
      </c>
      <c r="Y190" s="3">
        <v>27130063010</v>
      </c>
      <c r="Z190" s="40">
        <f>((C4*AB190)/P190)/10</f>
        <v>0.089225368884472731</v>
      </c>
      <c r="AA190" s="40">
        <f>((M190*AB190)*C4)</f>
        <v>0.063378564026018672</v>
      </c>
      <c r="AB190" s="40">
        <f>AE190/AE323</f>
        <v>0.00051959417076574937</v>
      </c>
      <c r="AC190" s="40">
        <f>AF190/AF323</f>
        <v>0.00050949084397854593</v>
      </c>
      <c r="AD190" s="3">
        <f>IF(ISNA(J190),(I190*Y190)/10,(J190*Y190)/10)</f>
        <v>18529833035.829998</v>
      </c>
      <c r="AE190" s="3">
        <f>IF(ISNA(P190),(I190*Y190)/10,(P190*Y190)/10)</f>
        <v>18529833035.829998</v>
      </c>
      <c r="AF190" s="3">
        <f>(I190*Y190)/10</f>
        <v>18339922594.760002</v>
      </c>
      <c r="AG190">
        <f>IF(AND(P190&lt;=N190,L190&lt;0),IF(Q190&lt;10,"DBL10",IF(Q190&gt;=200,"DBM200",IF(Q190&gt;=150,"DBM150",IF(Q190&gt;=100,"DBM100",IF(Q190&gt;=50,"DBM50","DBM10-50"))))),0)</f>
        <v>0</v>
      </c>
      <c r="AH190">
        <f>IF(AND(P190&gt;=O190,L190&lt;0),IF(Q190&lt;10,"DAL10",IF(Q190&gt;=200,"DAM200",IF(Q190&gt;=150,"DAM150",IF(Q190&gt;=100,"DAM100",IF(Q190&gt;=50,"DAM50","DAM10-50"))))),0)</f>
        <v>0</v>
      </c>
      <c r="AI190" t="s">
        <f>IF(AND(P190&gt;=O190,L190&gt;0),IF(Q190&lt;10,"UAL10",IF(Q190&gt;=200,"UAM200",IF(Q190&gt;=150,"UAM150",IF(Q190&gt;=100,"UAM100",IF(Q190&gt;=50,"UAM50","UAM10-50"))))),0)</f>
        <v>27</v>
      </c>
      <c r="AJ190">
        <f>IF(AND(P190&lt;=N190,L190&gt;0),IF(Q190&lt;10,"UBL10",IF(Q190&gt;=200,"UBM200",IF(Q190&gt;=150,"UBM150",IF(Q190&gt;=100,"UBM100",IF(Q190&gt;=50,"UBM50","UBM10-50"))))),0)</f>
        <v>0</v>
      </c>
      <c r="AK190" t="s">
        <f>IF(Q190&lt;9,"down",IF(Q190=9,9,IF(Q190&gt;9,"up")))</f>
        <v>6</v>
      </c>
    </row>
    <row r="191" spans="1:37">
      <c r="A191">
        <f>IF(X191=2851,2851,"Error")</f>
        <v>2851</v>
      </c>
      <c r="B191" t="s">
        <f>IF(K191&lt;18.75,"down",IF(K191=18.75,"low",IF(K191=19.100000000000001,"high",IF(AND(K191&gt;18.75,K191&lt;19.100000000000001),"normal","up"))))</f>
        <v>84</v>
      </c>
      <c r="C191" t="s">
        <f>IF(K191&lt;18.75,"down",IF(K191=18.75,"low",IF(K191=19.100000000000001,"high",IF(AND(K191&gt;18.75,K191&lt;19.100000000000001),"normal","up"))))</f>
        <v>84</v>
      </c>
      <c r="D191" t="s">
        <f>IF(K191&lt;18.75,"down",IF(K191=18.75,"low",IF(K191=19.100000000000001,"high",IF(AND(K191&gt;18.75,K191&lt;19.100000000000001),"normal","up"))))</f>
        <v>84</v>
      </c>
      <c r="E191" t="s">
        <f>IF(K191&lt;18.399999999999999,"down",IF(K191=18.399999999999999,"low",IF(K191=19.100000000000001,"high",IF(AND(K191&gt;18.399999999999999,K191&lt;19.100000000000001),"normal","up"))))</f>
        <v>84</v>
      </c>
      <c r="F191">
        <f>IF(P191&lt;19,"PVP-down",IF(P191=19,19,IF(P191&gt;19,"PVP-up")))</f>
        <v>19</v>
      </c>
      <c r="G191" t="s">
        <f>IF(R191&lt;199,"PVV-down",IF(R191=199,199,IF(R191&gt;199,"PVV-up")))</f>
        <v>87</v>
      </c>
      <c r="H191" s="40">
        <f>R191/(Y191/10000)</f>
        <v>0.00020664350396243153</v>
      </c>
      <c r="I191">
        <v>19.050000000000001</v>
      </c>
      <c r="J191">
        <v>19</v>
      </c>
      <c r="K191">
        <v>19.100000000000001</v>
      </c>
      <c r="L191">
        <v>-0.050000000000000003</v>
      </c>
      <c r="M191">
        <v>-0.0025999999999999999</v>
      </c>
      <c r="N191">
        <v>19</v>
      </c>
      <c r="O191">
        <v>19.050000000000001</v>
      </c>
      <c r="P191">
        <v>19</v>
      </c>
      <c r="Q191">
        <v>8</v>
      </c>
      <c r="R191">
        <v>122</v>
      </c>
      <c r="S191">
        <v>704</v>
      </c>
      <c r="T191" s="40">
        <f>((P191-K191)/K191)</f>
        <v>-0.0052356020942409117</v>
      </c>
      <c r="U191" s="40">
        <f>((T191*AB191)*D4)</f>
        <v>-0.021046911819268776</v>
      </c>
      <c r="V191" s="3">
        <f>IF(P191&lt;=N191,(P191*Q191*1000),0)</f>
        <v>152000</v>
      </c>
      <c r="W191" s="3">
        <f>IF(P191&gt;=O191,(P191*Q191*1000),0)</f>
        <v>0</v>
      </c>
      <c r="X191">
        <v>2851</v>
      </c>
      <c r="Y191" s="3">
        <v>5903887500</v>
      </c>
      <c r="Z191" s="40">
        <f>((C4*AB191)/P191)/10</f>
        <v>0.019416709052454486</v>
      </c>
      <c r="AA191" s="40">
        <f>((M191*AB191)*C4)</f>
        <v>-0.0095918542719125154</v>
      </c>
      <c r="AB191" s="40">
        <f>AE191/AE323</f>
        <v>0.00031454619669036839</v>
      </c>
      <c r="AC191" s="40">
        <f>AF191/AF323</f>
        <v>0.00031244381982880822</v>
      </c>
      <c r="AD191" s="3">
        <f>IF(ISNA(J191),(I191*Y191)/10,(J191*Y191)/10)</f>
        <v>11217386250</v>
      </c>
      <c r="AE191" s="3">
        <f>IF(ISNA(P191),(I191*Y191)/10,(P191*Y191)/10)</f>
        <v>11217386250</v>
      </c>
      <c r="AF191" s="3">
        <f>(I191*Y191)/10</f>
        <v>11246905687.5</v>
      </c>
      <c r="AG191" t="s">
        <f>IF(AND(P191&lt;=N191,L191&lt;0),IF(Q191&lt;10,"DBL10",IF(Q191&gt;=200,"DBM200",IF(Q191&gt;=150,"DBM150",IF(Q191&gt;=100,"DBM100",IF(Q191&gt;=50,"DBM50","DBM10-50"))))),0)</f>
        <v>85</v>
      </c>
      <c r="AH191">
        <f>IF(AND(P191&gt;=O191,L191&lt;0),IF(Q191&lt;10,"DAL10",IF(Q191&gt;=200,"DAM200",IF(Q191&gt;=150,"DAM150",IF(Q191&gt;=100,"DAM100",IF(Q191&gt;=50,"DAM50","DAM10-50"))))),0)</f>
        <v>0</v>
      </c>
      <c r="AI191">
        <f>IF(AND(P191&gt;=O191,L191&gt;0),IF(Q191&lt;10,"UAL10",IF(Q191&gt;=200,"UAM200",IF(Q191&gt;=150,"UAM150",IF(Q191&gt;=100,"UAM100",IF(Q191&gt;=50,"UAM50","UAM10-50"))))),0)</f>
        <v>0</v>
      </c>
      <c r="AJ191">
        <f>IF(AND(P191&lt;=N191,L191&gt;0),IF(Q191&lt;10,"UBL10",IF(Q191&gt;=200,"UBM200",IF(Q191&gt;=150,"UBM150",IF(Q191&gt;=100,"UBM100",IF(Q191&gt;=50,"UBM50","UBM10-50"))))),0)</f>
        <v>0</v>
      </c>
      <c r="AK191" t="s">
        <f>IF(Q191&lt;3,"down",IF(Q191=3,3,IF(Q191&gt;3,"up")))</f>
        <v>6</v>
      </c>
    </row>
    <row r="192" spans="1:37">
      <c r="A192">
        <f>IF(X192=2850,2850,"Error")</f>
        <v>2850</v>
      </c>
      <c r="B192" t="s">
        <f>IF(K192&lt;34.049999999999997,"down",IF(K192=34.049999999999997,"low",IF(K192=34.350000000000001,"high",IF(AND(K192&gt;34.049999999999997,K192&lt;34.350000000000001),"normal","up"))))</f>
        <v>79</v>
      </c>
      <c r="C192" t="s">
        <f>IF(K192&lt;34.049999999999997,"down",IF(K192=34.049999999999997,"low",IF(K192=34.350000000000001,"high",IF(AND(K192&gt;34.049999999999997,K192&lt;34.350000000000001),"normal","up"))))</f>
        <v>79</v>
      </c>
      <c r="D192" t="s">
        <f>IF(K192&lt;34.049999999999997,"down",IF(K192=34.049999999999997,"low",IF(K192=34.350000000000001,"high",IF(AND(K192&gt;34.049999999999997,K192&lt;34.350000000000001),"normal","up"))))</f>
        <v>79</v>
      </c>
      <c r="E192" t="s">
        <f>IF(K192&lt;33.850000000000001,"down",IF(K192=33.850000000000001,"low",IF(K192=34.350000000000001,"high",IF(AND(K192&gt;33.850000000000001,K192&lt;34.350000000000001),"normal","up"))))</f>
        <v>79</v>
      </c>
      <c r="F192" t="s">
        <f>IF(P192&lt;34.25,"PVP-down",IF(P192=34.25,34.25,IF(P192&gt;34.25,"PVP-up")))</f>
        <v>80</v>
      </c>
      <c r="G192" t="s">
        <f>IF(R192&lt;27,"PVV-down",IF(R192=27,27,IF(R192&gt;27,"PVV-up")))</f>
        <v>81</v>
      </c>
      <c r="H192" s="40">
        <f>R192/(Y192/10000)</f>
        <v>0.00027218350992029772</v>
      </c>
      <c r="I192">
        <v>34.25</v>
      </c>
      <c r="J192">
        <v>34.200000000000003</v>
      </c>
      <c r="K192">
        <v>34.299999999999997</v>
      </c>
      <c r="L192">
        <v>-0.050000000000000003</v>
      </c>
      <c r="M192">
        <v>-0.0015</v>
      </c>
      <c r="N192">
        <v>34.200000000000003</v>
      </c>
      <c r="O192">
        <v>34.350000000000001</v>
      </c>
      <c r="P192">
        <v>34.200000000000003</v>
      </c>
      <c r="Q192">
        <v>2</v>
      </c>
      <c r="R192">
        <v>86</v>
      </c>
      <c r="S192">
        <v>116</v>
      </c>
      <c r="T192" s="40">
        <f>((P192-K192)/K192)</f>
        <v>-0.0029154518950435665</v>
      </c>
      <c r="U192" s="40">
        <f>((T192*AB192)*D4)</f>
        <v>-0.011290123732744338</v>
      </c>
      <c r="V192" s="3">
        <f>IF(P192&lt;=N192,(P192*Q192*1000),0)</f>
        <v>68400</v>
      </c>
      <c r="W192" s="3">
        <f>IF(P192&gt;=O192,(P192*Q192*1000),0)</f>
        <v>0</v>
      </c>
      <c r="X192">
        <v>2850</v>
      </c>
      <c r="Y192" s="3">
        <v>3159633000</v>
      </c>
      <c r="Z192" s="40">
        <f>((C4*AB192)/P192)/10</f>
        <v>0.0103914030667986</v>
      </c>
      <c r="AA192" s="40">
        <f>((M192*AB192)*C4)</f>
        <v>-0.0053307897732676832</v>
      </c>
      <c r="AB192" s="40">
        <f>AE192/AE323</f>
        <v>0.00030300898815522519</v>
      </c>
      <c r="AC192" s="40">
        <f>AF192/AF323</f>
        <v>0.00030063262037439059</v>
      </c>
      <c r="AD192" s="3">
        <f>IF(ISNA(J192),(I192*Y192)/10,(J192*Y192)/10)</f>
        <v>10805944860.000002</v>
      </c>
      <c r="AE192" s="3">
        <f>IF(ISNA(P192),(I192*Y192)/10,(P192*Y192)/10)</f>
        <v>10805944860.000002</v>
      </c>
      <c r="AF192" s="3">
        <f>(I192*Y192)/10</f>
        <v>10821743025</v>
      </c>
      <c r="AG192" t="s">
        <f>IF(AND(P192&lt;=N192,L192&lt;0),IF(Q192&lt;10,"DBL10",IF(Q192&gt;=200,"DBM200",IF(Q192&gt;=150,"DBM150",IF(Q192&gt;=100,"DBM100",IF(Q192&gt;=50,"DBM50","DBM10-50"))))),0)</f>
        <v>85</v>
      </c>
      <c r="AH192">
        <f>IF(AND(P192&gt;=O192,L192&lt;0),IF(Q192&lt;10,"DAL10",IF(Q192&gt;=200,"DAM200",IF(Q192&gt;=150,"DAM150",IF(Q192&gt;=100,"DAM100",IF(Q192&gt;=50,"DAM50","DAM10-50"))))),0)</f>
        <v>0</v>
      </c>
      <c r="AI192">
        <f>IF(AND(P192&gt;=O192,L192&gt;0),IF(Q192&lt;10,"UAL10",IF(Q192&gt;=200,"UAM200",IF(Q192&gt;=150,"UAM150",IF(Q192&gt;=100,"UAM100",IF(Q192&gt;=50,"UAM50","UAM10-50"))))),0)</f>
        <v>0</v>
      </c>
      <c r="AJ192">
        <f>IF(AND(P192&lt;=N192,L192&gt;0),IF(Q192&lt;10,"UBL10",IF(Q192&gt;=200,"UBM200",IF(Q192&gt;=150,"UBM150",IF(Q192&gt;=100,"UBM100",IF(Q192&gt;=50,"UBM50","UBM10-50"))))),0)</f>
        <v>0</v>
      </c>
      <c r="AK192" t="s">
        <f>IF(Q192&lt;1,"down",IF(Q192=1,1,IF(Q192&gt;1,"up")))</f>
        <v>6</v>
      </c>
    </row>
    <row r="193" spans="1:37">
      <c r="A193">
        <f>IF(X193=2836,2836,"Error")</f>
        <v>2836</v>
      </c>
      <c r="B193" t="s">
        <f>IF(K193&lt;9.8399999999999999,"down",IF(K193=9.8399999999999999,"low",IF(K193=9.9800000000000004,"high",IF(AND(K193&gt;9.8399999999999999,K193&lt;9.9800000000000004),"normal","up"))))</f>
        <v>84</v>
      </c>
      <c r="C193" t="s">
        <f>IF(K193&lt;9.8399999999999999,"down",IF(K193=9.8399999999999999,"low",IF(K193=9.9800000000000004,"high",IF(AND(K193&gt;9.8399999999999999,K193&lt;9.9800000000000004),"normal","up"))))</f>
        <v>84</v>
      </c>
      <c r="D193" t="s">
        <f>IF(K193&lt;9.8399999999999999,"down",IF(K193=9.8399999999999999,"low",IF(K193=9.9800000000000004,"high",IF(AND(K193&gt;9.8399999999999999,K193&lt;9.9800000000000004),"normal","up"))))</f>
        <v>84</v>
      </c>
      <c r="E193" t="s">
        <f>IF(K193&lt;9.7899999999999991,"down",IF(K193=9.7899999999999991,"low",IF(K193=9.9800000000000004,"high",IF(AND(K193&gt;9.7899999999999991,K193&lt;9.9800000000000004),"normal","up"))))</f>
        <v>84</v>
      </c>
      <c r="F193" t="s">
        <f>IF(P193&lt;9.9700000000000006,"PVP-down",IF(P193=9.9700000000000006,9.9700000000000006,IF(P193&gt;9.9700000000000006,"PVP-up")))</f>
        <v>83</v>
      </c>
      <c r="G193" t="s">
        <f>IF(R193&lt;148,"PVV-down",IF(R193=148,148,IF(R193&gt;148,"PVV-up")))</f>
        <v>81</v>
      </c>
      <c r="H193" s="40">
        <f>R193/(Y193/10000)</f>
        <v>0.0010222806426878756</v>
      </c>
      <c r="I193">
        <v>9.9499999999999993</v>
      </c>
      <c r="J193">
        <v>10</v>
      </c>
      <c r="K193">
        <v>9.9800000000000004</v>
      </c>
      <c r="L193">
        <v>0.050000000000000003</v>
      </c>
      <c r="M193">
        <v>0.0050000000000000001</v>
      </c>
      <c r="N193">
        <v>10</v>
      </c>
      <c r="O193">
        <v>10.050000000000001</v>
      </c>
      <c r="P193">
        <v>10</v>
      </c>
      <c r="Q193">
        <v>45</v>
      </c>
      <c r="R193">
        <v>1105</v>
      </c>
      <c r="S193">
        <v>817</v>
      </c>
      <c r="T193" s="40">
        <f>((P193-K193)/K193)</f>
        <v>0.0020040080160320215</v>
      </c>
      <c r="U193" s="40">
        <f>((T193*AB193)*D4)</f>
        <v>0.0077628584920921076</v>
      </c>
      <c r="V193" s="3">
        <f>IF(P193&lt;=N193,(P193*Q193*1000),0)</f>
        <v>450000</v>
      </c>
      <c r="W193" s="3">
        <f>IF(P193&gt;=O193,(P193*Q193*1000),0)</f>
        <v>0</v>
      </c>
      <c r="X193">
        <v>2836</v>
      </c>
      <c r="Y193" s="3">
        <v>10809164860</v>
      </c>
      <c r="Z193" s="40">
        <f>((C4*AB193)/P193)/10</f>
        <v>0.035549188426546904</v>
      </c>
      <c r="AA193" s="40">
        <f>((M193*AB193)*C4)</f>
        <v>0.017774594213273452</v>
      </c>
      <c r="AB193" s="40">
        <f>AE193/AE323</f>
        <v>0.0003030992800227574</v>
      </c>
      <c r="AC193" s="40">
        <f>AF193/AF323</f>
        <v>0.00029878177763706224</v>
      </c>
      <c r="AD193" s="3">
        <f>IF(ISNA(J193),(I193*Y193)/10,(J193*Y193)/10)</f>
        <v>10809164860</v>
      </c>
      <c r="AE193" s="3">
        <f>IF(ISNA(P193),(I193*Y193)/10,(P193*Y193)/10)</f>
        <v>10809164860</v>
      </c>
      <c r="AF193" s="3">
        <f>(I193*Y193)/10</f>
        <v>10755119035.699999</v>
      </c>
      <c r="AG193">
        <f>IF(AND(P193&lt;=N193,L193&lt;0),IF(Q193&lt;10,"DBL10",IF(Q193&gt;=200,"DBM200",IF(Q193&gt;=150,"DBM150",IF(Q193&gt;=100,"DBM100",IF(Q193&gt;=50,"DBM50","DBM10-50"))))),0)</f>
        <v>0</v>
      </c>
      <c r="AH193">
        <f>IF(AND(P193&gt;=O193,L193&lt;0),IF(Q193&lt;10,"DAL10",IF(Q193&gt;=200,"DAM200",IF(Q193&gt;=150,"DAM150",IF(Q193&gt;=100,"DAM100",IF(Q193&gt;=50,"DAM50","DAM10-50"))))),0)</f>
        <v>0</v>
      </c>
      <c r="AI193">
        <f>IF(AND(P193&gt;=O193,L193&gt;0),IF(Q193&lt;10,"UAL10",IF(Q193&gt;=200,"UAM200",IF(Q193&gt;=150,"UAM150",IF(Q193&gt;=100,"UAM100",IF(Q193&gt;=50,"UAM50","UAM10-50"))))),0)</f>
        <v>0</v>
      </c>
      <c r="AJ193" t="s">
        <f>IF(AND(P193&lt;=N193,L193&gt;0),IF(Q193&lt;10,"UBL10",IF(Q193&gt;=200,"UBM200",IF(Q193&gt;=150,"UBM150",IF(Q193&gt;=100,"UBM100",IF(Q193&gt;=50,"UBM50","UBM10-50"))))),0)</f>
        <v>17</v>
      </c>
      <c r="AK193" t="s">
        <f>IF(Q193&lt;40,"down",IF(Q193=40,40,IF(Q193&gt;40,"up")))</f>
        <v>6</v>
      </c>
    </row>
    <row r="194" spans="1:37">
      <c r="A194">
        <f>IF(X194=6024,6024,"Error")</f>
        <v>6024</v>
      </c>
      <c r="B194" t="s">
        <f>IF(K194&lt;38.549999999999997,"down",IF(K194=38.549999999999997,"low",IF(K194=39.149999999999999,"high",IF(AND(K194&gt;38.549999999999997,K194&lt;39.149999999999999),"normal","up"))))</f>
        <v>79</v>
      </c>
      <c r="C194" t="s">
        <f>IF(K194&lt;38.549999999999997,"down",IF(K194=38.549999999999997,"low",IF(K194=39.149999999999999,"high",IF(AND(K194&gt;38.549999999999997,K194&lt;39.149999999999999),"normal","up"))))</f>
        <v>79</v>
      </c>
      <c r="D194" t="s">
        <f>IF(K194&lt;38.549999999999997,"down",IF(K194=38.549999999999997,"low",IF(K194=39.149999999999999,"high",IF(AND(K194&gt;38.549999999999997,K194&lt;39.149999999999999),"normal","up"))))</f>
        <v>79</v>
      </c>
      <c r="E194" t="s">
        <f>IF(K194&lt;37.350000000000001,"down",IF(K194=37.350000000000001,"low",IF(K194=39.149999999999999,"high",IF(AND(K194&gt;37.350000000000001,K194&lt;39.149999999999999),"normal","up"))))</f>
        <v>79</v>
      </c>
      <c r="F194" t="s">
        <f>IF(P194&lt;39,"PVP-down",IF(P194=39,39,IF(P194&gt;39,"PVP-up")))</f>
        <v>80</v>
      </c>
      <c r="G194" t="s">
        <f>IF(R194&lt;145,"PVV-down",IF(R194=145,145,IF(R194&gt;145,"PVV-up")))</f>
        <v>81</v>
      </c>
      <c r="H194" s="40">
        <f>R194/(Y194/10000)</f>
        <v>0.00082684849679703605</v>
      </c>
      <c r="I194">
        <v>39</v>
      </c>
      <c r="J194">
        <v>38.75</v>
      </c>
      <c r="K194">
        <v>39</v>
      </c>
      <c r="L194">
        <v>-0.25</v>
      </c>
      <c r="M194">
        <v>-0.0064000000000000003</v>
      </c>
      <c r="N194">
        <v>38.700000000000003</v>
      </c>
      <c r="O194">
        <v>38.75</v>
      </c>
      <c r="P194">
        <v>38.75</v>
      </c>
      <c r="Q194">
        <v>4</v>
      </c>
      <c r="R194">
        <v>174</v>
      </c>
      <c r="S194">
        <v>683</v>
      </c>
      <c r="T194" s="40">
        <f>((P194-K194)/K194)</f>
        <v>-0.00641025641025641</v>
      </c>
      <c r="U194" s="40">
        <f>((T194*AB194)*D4)</f>
        <v>-0.018732704831255022</v>
      </c>
      <c r="V194" s="3">
        <f>IF(P194&lt;=N194,(P194*Q194*1000),0)</f>
        <v>0</v>
      </c>
      <c r="W194" s="3">
        <f>IF(P194&gt;=O194,(P194*Q194*1000),0)</f>
        <v>155000</v>
      </c>
      <c r="X194">
        <v>6024</v>
      </c>
      <c r="Y194" s="3">
        <v>2104375840</v>
      </c>
      <c r="Z194" s="40">
        <f>((C4*AB194)/P194)/10</f>
        <v>0.0069208726321926886</v>
      </c>
      <c r="AA194" s="40">
        <f>((M194*AB194)*C4)</f>
        <v>-0.01716376412783787</v>
      </c>
      <c r="AB194" s="40">
        <f>AE194/AE323</f>
        <v>0.00022865872523614934</v>
      </c>
      <c r="AC194" s="40">
        <f>AF194/AF323</f>
        <v>0.00022799577518371736</v>
      </c>
      <c r="AD194" s="3">
        <f>IF(ISNA(J194),(I194*Y194)/10,(J194*Y194)/10)</f>
        <v>8154456380</v>
      </c>
      <c r="AE194" s="3">
        <f>IF(ISNA(P194),(I194*Y194)/10,(P194*Y194)/10)</f>
        <v>8154456380</v>
      </c>
      <c r="AF194" s="3">
        <f>(I194*Y194)/10</f>
        <v>8207065776</v>
      </c>
      <c r="AG194">
        <f>IF(AND(P194&lt;=N194,L194&lt;0),IF(Q194&lt;10,"DBL10",IF(Q194&gt;=200,"DBM200",IF(Q194&gt;=150,"DBM150",IF(Q194&gt;=100,"DBM100",IF(Q194&gt;=50,"DBM50","DBM10-50"))))),0)</f>
        <v>0</v>
      </c>
      <c r="AH194" t="s">
        <f>IF(AND(P194&gt;=O194,L194&lt;0),IF(Q194&lt;10,"DAL10",IF(Q194&gt;=200,"DAM200",IF(Q194&gt;=150,"DAM150",IF(Q194&gt;=100,"DAM100",IF(Q194&gt;=50,"DAM50","DAM10-50"))))),0)</f>
        <v>88</v>
      </c>
      <c r="AI194">
        <f>IF(AND(P194&gt;=O194,L194&gt;0),IF(Q194&lt;10,"UAL10",IF(Q194&gt;=200,"UAM200",IF(Q194&gt;=150,"UAM150",IF(Q194&gt;=100,"UAM100",IF(Q194&gt;=50,"UAM50","UAM10-50"))))),0)</f>
        <v>0</v>
      </c>
      <c r="AJ194">
        <f>IF(AND(P194&lt;=N194,L194&gt;0),IF(Q194&lt;10,"UBL10",IF(Q194&gt;=200,"UBM200",IF(Q194&gt;=150,"UBM150",IF(Q194&gt;=100,"UBM100",IF(Q194&gt;=50,"UBM50","UBM10-50"))))),0)</f>
        <v>0</v>
      </c>
      <c r="AK194" t="s">
        <f>IF(Q194&lt;26,"down",IF(Q194=26,26,IF(Q194&gt;26,"up")))</f>
        <v>7</v>
      </c>
    </row>
    <row r="195" spans="1:37">
      <c r="A195">
        <f>IF(X195=2832,2832,"Error")</f>
        <v>2832</v>
      </c>
      <c r="B195" t="s">
        <f>IF(K195&lt;19.699999999999999,"down",IF(K195=19.699999999999999,"low",IF(K195=19.850000000000001,"high",IF(AND(K195&gt;19.699999999999999,K195&lt;19.850000000000001),"normal","up"))))</f>
        <v>84</v>
      </c>
      <c r="C195" t="s">
        <f>IF(K195&lt;19.699999999999999,"down",IF(K195=19.699999999999999,"low",IF(K195=19.850000000000001,"high",IF(AND(K195&gt;19.699999999999999,K195&lt;19.850000000000001),"normal","up"))))</f>
        <v>84</v>
      </c>
      <c r="D195" t="s">
        <f>IF(K195&lt;19.699999999999999,"down",IF(K195=19.699999999999999,"low",IF(K195=19.850000000000001,"high",IF(AND(K195&gt;19.699999999999999,K195&lt;19.850000000000001),"normal","up"))))</f>
        <v>84</v>
      </c>
      <c r="E195" t="s">
        <f>IF(K195&lt;19.5,"down",IF(K195=19.5,"low",IF(K195=19.850000000000001,"high",IF(AND(K195&gt;19.5,K195&lt;19.850000000000001),"normal","up"))))</f>
        <v>84</v>
      </c>
      <c r="F195">
        <f>IF(P195&lt;19.800000000000001,"PVP-down",IF(P195=19.800000000000001,19.800000000000001,IF(P195&gt;19.800000000000001,"PVP-up")))</f>
        <v>19.800000000000001</v>
      </c>
      <c r="G195" t="s">
        <f>IF(R195&lt;140,"PVV-down",IF(R195=140,140,IF(R195&gt;140,"PVV-up")))</f>
        <v>87</v>
      </c>
      <c r="H195" s="40">
        <f>R195/(Y195/10000)</f>
        <v>0.00031198198566318531</v>
      </c>
      <c r="I195">
        <v>19.800000000000001</v>
      </c>
      <c r="J195">
        <v>19.850000000000001</v>
      </c>
      <c r="K195">
        <v>19.850000000000001</v>
      </c>
      <c r="L195">
        <v>0</v>
      </c>
      <c r="M195">
        <v>0</v>
      </c>
      <c r="N195">
        <v>19.800000000000001</v>
      </c>
      <c r="O195">
        <v>19.850000000000001</v>
      </c>
      <c r="P195">
        <v>19.800000000000001</v>
      </c>
      <c r="Q195">
        <v>8</v>
      </c>
      <c r="R195">
        <v>113</v>
      </c>
      <c r="S195">
        <v>251</v>
      </c>
      <c r="T195" s="40">
        <f>((P195-K195)/K195)</f>
        <v>-0.0025188916876574662</v>
      </c>
      <c r="U195" s="40">
        <f>((T195*AB195)*D4)</f>
        <v>-0.0064737166030752772</v>
      </c>
      <c r="V195" s="3">
        <f>IF(P195&lt;=N195,(P195*Q195*1000),0)</f>
        <v>158400</v>
      </c>
      <c r="W195" s="3">
        <f>IF(P195&gt;=O195,(P195*Q195*1000),0)</f>
        <v>0</v>
      </c>
      <c r="X195">
        <v>2832</v>
      </c>
      <c r="Y195" s="3">
        <v>3622004000</v>
      </c>
      <c r="Z195" s="40">
        <f>((C4*AB195)/P195)/10</f>
        <v>0.011912049112525663</v>
      </c>
      <c r="AA195" s="40">
        <f>((M195*AB195)*C4)</f>
        <v>0</v>
      </c>
      <c r="AB195" s="40">
        <f>AE195/AE323</f>
        <v>0.00020109759646928948</v>
      </c>
      <c r="AC195" s="40">
        <f>AF195/AF323</f>
        <v>0.00019922920466710286</v>
      </c>
      <c r="AD195" s="3">
        <f>IF(ISNA(J195),(I195*Y195)/10,(J195*Y195)/10)</f>
        <v>7189677940</v>
      </c>
      <c r="AE195" s="3">
        <f>IF(ISNA(P195),(I195*Y195)/10,(P195*Y195)/10)</f>
        <v>7171567920</v>
      </c>
      <c r="AF195" s="3">
        <f>(I195*Y195)/10</f>
        <v>7171567920</v>
      </c>
      <c r="AG195">
        <f>IF(AND(P195&lt;=N195,L195&lt;0),IF(Q195&lt;10,"DBL10",IF(Q195&gt;=200,"DBM200",IF(Q195&gt;=150,"DBM150",IF(Q195&gt;=100,"DBM100",IF(Q195&gt;=50,"DBM50","DBM10-50"))))),0)</f>
        <v>0</v>
      </c>
      <c r="AH195">
        <f>IF(AND(P195&gt;=O195,L195&lt;0),IF(Q195&lt;10,"DAL10",IF(Q195&gt;=200,"DAM200",IF(Q195&gt;=150,"DAM150",IF(Q195&gt;=100,"DAM100",IF(Q195&gt;=50,"DAM50","DAM10-50"))))),0)</f>
        <v>0</v>
      </c>
      <c r="AI195">
        <f>IF(AND(P195&gt;=O195,L195&gt;0),IF(Q195&lt;10,"UAL10",IF(Q195&gt;=200,"UAM200",IF(Q195&gt;=150,"UAM150",IF(Q195&gt;=100,"UAM100",IF(Q195&gt;=50,"UAM50","UAM10-50"))))),0)</f>
        <v>0</v>
      </c>
      <c r="AJ195">
        <f>IF(AND(P195&lt;=N195,L195&gt;0),IF(Q195&lt;10,"UBL10",IF(Q195&gt;=200,"UBM200",IF(Q195&gt;=150,"UBM150",IF(Q195&gt;=100,"UBM100",IF(Q195&gt;=50,"UBM50","UBM10-50"))))),0)</f>
        <v>0</v>
      </c>
      <c r="AK195" t="s">
        <f>IF(Q195&lt;0,"down",IF(Q195=0,0,IF(Q195&gt;0,"up")))</f>
        <v>6</v>
      </c>
    </row>
    <row r="196" spans="1:37">
      <c r="A196">
        <f>IF(X196=2852,2852,"Error")</f>
        <v>2852</v>
      </c>
      <c r="B196" t="s">
        <f>IF(K196&lt;12.85,"down",IF(K196=12.85,"low",IF(K196=13.050000000000001,"high",IF(AND(K196&gt;12.85,K196&lt;13.050000000000001),"normal","up"))))</f>
        <v>79</v>
      </c>
      <c r="C196" t="s">
        <f>IF(K196&lt;12.85,"down",IF(K196=12.85,"low",IF(K196=13.050000000000001,"high",IF(AND(K196&gt;12.85,K196&lt;13.050000000000001),"normal","up"))))</f>
        <v>79</v>
      </c>
      <c r="D196" t="s">
        <f>IF(K196&lt;12.85,"down",IF(K196=12.85,"low",IF(K196=13.050000000000001,"high",IF(AND(K196&gt;12.85,K196&lt;13.050000000000001),"normal","up"))))</f>
        <v>79</v>
      </c>
      <c r="E196" t="s">
        <f>IF(K196&lt;12.800000000000001,"down",IF(K196=12.800000000000001,"low",IF(K196=13.1,"high",IF(AND(K196&gt;12.800000000000001,K196&lt;13.1),"normal","up"))))</f>
        <v>79</v>
      </c>
      <c r="F196" t="s">
        <f>IF(P196&lt;12.9,"PVP-down",IF(P196=12.9,12.9,IF(P196&gt;12.9,"PVP-up")))</f>
        <v>83</v>
      </c>
      <c r="G196" t="s">
        <f>IF(R196&lt;132,"PVV-down",IF(R196=132,132,IF(R196&gt;132,"PVV-up")))</f>
        <v>81</v>
      </c>
      <c r="H196" s="40">
        <f>R196/(Y196/10000)</f>
        <v>0.00054787464086319222</v>
      </c>
      <c r="I196">
        <v>12.949999999999999</v>
      </c>
      <c r="J196">
        <v>13</v>
      </c>
      <c r="K196">
        <v>13</v>
      </c>
      <c r="L196">
        <v>0.050000000000000003</v>
      </c>
      <c r="M196">
        <v>0.0038999999999999998</v>
      </c>
      <c r="N196">
        <v>12.949999999999999</v>
      </c>
      <c r="O196">
        <v>13</v>
      </c>
      <c r="P196">
        <v>13</v>
      </c>
      <c r="Q196">
        <v>10</v>
      </c>
      <c r="R196">
        <v>165</v>
      </c>
      <c r="S196">
        <v>295</v>
      </c>
      <c r="T196" s="40">
        <f>((P196-K196)/K196)</f>
        <v>0</v>
      </c>
      <c r="U196" s="40">
        <f>((T196*AB196)*D4)</f>
        <v>0</v>
      </c>
      <c r="V196" s="3">
        <f>IF(P196&lt;=N196,(P196*Q196*1000),0)</f>
        <v>0</v>
      </c>
      <c r="W196" s="3">
        <f>IF(P196&gt;=O196,(P196*Q196*1000),0)</f>
        <v>130000</v>
      </c>
      <c r="X196">
        <v>2852</v>
      </c>
      <c r="Y196" s="3">
        <v>3011637840</v>
      </c>
      <c r="Z196" s="40">
        <f>((C4*AB196)/P196)/10</f>
        <v>0.009904676488270224</v>
      </c>
      <c r="AA196" s="40">
        <f>((M196*AB196)*C4)</f>
        <v>0.0050216709795530036</v>
      </c>
      <c r="AB196" s="40">
        <f>AE196/AE323</f>
        <v>0.00010978395229058241</v>
      </c>
      <c r="AC196" s="40">
        <f>AF196/AF323</f>
        <v>0.00010834562995159842</v>
      </c>
      <c r="AD196" s="3">
        <f>IF(ISNA(J196),(I196*Y196)/10,(J196*Y196)/10)</f>
        <v>3915129192</v>
      </c>
      <c r="AE196" s="3">
        <f>IF(ISNA(P196),(I196*Y196)/10,(P196*Y196)/10)</f>
        <v>3915129192</v>
      </c>
      <c r="AF196" s="3">
        <f>(I196*Y196)/10</f>
        <v>3900071002.8000002</v>
      </c>
      <c r="AG196">
        <f>IF(AND(P196&lt;=N196,L196&lt;0),IF(Q196&lt;10,"DBL10",IF(Q196&gt;=200,"DBM200",IF(Q196&gt;=150,"DBM150",IF(Q196&gt;=100,"DBM100",IF(Q196&gt;=50,"DBM50","DBM10-50"))))),0)</f>
        <v>0</v>
      </c>
      <c r="AH196">
        <f>IF(AND(P196&gt;=O196,L196&lt;0),IF(Q196&lt;10,"DAL10",IF(Q196&gt;=200,"DAM200",IF(Q196&gt;=150,"DAM150",IF(Q196&gt;=100,"DAM100",IF(Q196&gt;=50,"DAM50","DAM10-50"))))),0)</f>
        <v>0</v>
      </c>
      <c r="AI196" t="s">
        <f>IF(AND(P196&gt;=O196,L196&gt;0),IF(Q196&lt;10,"UAL10",IF(Q196&gt;=200,"UAM200",IF(Q196&gt;=150,"UAM150",IF(Q196&gt;=100,"UAM100",IF(Q196&gt;=50,"UAM50","UAM10-50"))))),0)</f>
        <v>27</v>
      </c>
      <c r="AJ196">
        <f>IF(AND(P196&lt;=N196,L196&gt;0),IF(Q196&lt;10,"UBL10",IF(Q196&gt;=200,"UBM200",IF(Q196&gt;=150,"UBM150",IF(Q196&gt;=100,"UBM100",IF(Q196&gt;=50,"UBM50","UBM10-50"))))),0)</f>
        <v>0</v>
      </c>
      <c r="AK196" t="s">
        <f>IF(Q196&lt;0,"down",IF(Q196=0,0,IF(Q196&gt;0,"up")))</f>
        <v>6</v>
      </c>
    </row>
    <row r="197" spans="1:37">
      <c r="A197">
        <f>IF(X197=2816,2816,"Error")</f>
        <v>2816</v>
      </c>
      <c r="B197" t="s">
        <f>IF(K197&lt;17.800000000000001,"down",IF(K197=17.800000000000001,"low",IF(K197=18.149999999999999,"high",IF(AND(K197&gt;17.800000000000001,K197&lt;18.149999999999999),"normal","up"))))</f>
        <v>79</v>
      </c>
      <c r="C197" t="s">
        <f>IF(K197&lt;17.800000000000001,"down",IF(K197=17.800000000000001,"low",IF(K197=18.149999999999999,"high",IF(AND(K197&gt;17.800000000000001,K197&lt;18.149999999999999),"normal","up"))))</f>
        <v>79</v>
      </c>
      <c r="D197" t="s">
        <f>IF(K197&lt;17.800000000000001,"down",IF(K197=17.800000000000001,"low",IF(K197=18.149999999999999,"high",IF(AND(K197&gt;17.800000000000001,K197&lt;18.149999999999999),"normal","up"))))</f>
        <v>79</v>
      </c>
      <c r="E197" t="s">
        <f>IF(K197&lt;17.649999999999999,"down",IF(K197=17.649999999999999,"low",IF(K197=18.149999999999999,"high",IF(AND(K197&gt;17.649999999999999,K197&lt;18.149999999999999),"normal","up"))))</f>
        <v>79</v>
      </c>
      <c r="F197" t="s">
        <f>IF(P197&lt;18.050000000000001,"PVP-down",IF(P197=18.050000000000001,18.050000000000001,IF(P197&gt;18.050000000000001,"PVP-up")))</f>
        <v>80</v>
      </c>
      <c r="G197" t="s">
        <f>IF(R197&lt;86,"PVV-down",IF(R197=86,86,IF(R197&gt;86,"PVV-up")))</f>
        <v>81</v>
      </c>
      <c r="H197" s="40">
        <f>R197/(Y197/10000)</f>
        <v>0.00076540195341848237</v>
      </c>
      <c r="I197">
        <v>18.050000000000001</v>
      </c>
      <c r="J197">
        <v>18</v>
      </c>
      <c r="K197">
        <v>18.100000000000001</v>
      </c>
      <c r="L197">
        <v>-0.20000000000000001</v>
      </c>
      <c r="M197">
        <v>-0.0111</v>
      </c>
      <c r="N197">
        <v>17.850000000000001</v>
      </c>
      <c r="O197">
        <v>17.949999999999999</v>
      </c>
      <c r="P197">
        <v>17.850000000000001</v>
      </c>
      <c r="Q197">
        <v>1</v>
      </c>
      <c r="R197">
        <v>163</v>
      </c>
      <c r="S197">
        <v>211</v>
      </c>
      <c r="T197" s="40">
        <f>((P197-K197)/K197)</f>
        <v>-0.013812154696132596</v>
      </c>
      <c r="U197" s="40">
        <f>((T197*AB197)*D4)</f>
        <v>-0.018816020036432402</v>
      </c>
      <c r="V197" s="3">
        <f>IF(P197&lt;=N197,(P197*Q197*1000),0)</f>
        <v>17850</v>
      </c>
      <c r="W197" s="3">
        <f>IF(P197&gt;=O197,(P197*Q197*1000),0)</f>
        <v>0</v>
      </c>
      <c r="X197">
        <v>2816</v>
      </c>
      <c r="Y197" s="3">
        <v>2129600000</v>
      </c>
      <c r="Z197" s="40">
        <f>((C4*AB197)/P197)/10</f>
        <v>0.0070038298660174457</v>
      </c>
      <c r="AA197" s="40">
        <f>((M197*AB197)*C4)</f>
        <v>-0.013877038305033668</v>
      </c>
      <c r="AB197" s="40">
        <f>AE197/AE323</f>
        <v>0.00010659308278184486</v>
      </c>
      <c r="AC197" s="40">
        <f>AF197/AF323</f>
        <v>0.00010678595347356166</v>
      </c>
      <c r="AD197" s="3">
        <f>IF(ISNA(J197),(I197*Y197)/10,(J197*Y197)/10)</f>
        <v>3833280000</v>
      </c>
      <c r="AE197" s="3">
        <f>IF(ISNA(P197),(I197*Y197)/10,(P197*Y197)/10)</f>
        <v>3801336000</v>
      </c>
      <c r="AF197" s="3">
        <f>(I197*Y197)/10</f>
        <v>3843928000</v>
      </c>
      <c r="AG197" t="s">
        <f>IF(AND(P197&lt;=N197,L197&lt;0),IF(Q197&lt;10,"DBL10",IF(Q197&gt;=200,"DBM200",IF(Q197&gt;=150,"DBM150",IF(Q197&gt;=100,"DBM100",IF(Q197&gt;=50,"DBM50","DBM10-50"))))),0)</f>
        <v>85</v>
      </c>
      <c r="AH197">
        <f>IF(AND(P197&gt;=O197,L197&lt;0),IF(Q197&lt;10,"DAL10",IF(Q197&gt;=200,"DAM200",IF(Q197&gt;=150,"DAM150",IF(Q197&gt;=100,"DAM100",IF(Q197&gt;=50,"DAM50","DAM10-50"))))),0)</f>
        <v>0</v>
      </c>
      <c r="AI197">
        <f>IF(AND(P197&gt;=O197,L197&gt;0),IF(Q197&lt;10,"UAL10",IF(Q197&gt;=200,"UAM200",IF(Q197&gt;=150,"UAM150",IF(Q197&gt;=100,"UAM100",IF(Q197&gt;=50,"UAM50","UAM10-50"))))),0)</f>
        <v>0</v>
      </c>
      <c r="AJ197">
        <f>IF(AND(P197&lt;=N197,L197&gt;0),IF(Q197&lt;10,"UBL10",IF(Q197&gt;=200,"UBM200",IF(Q197&gt;=150,"UBM150",IF(Q197&gt;=100,"UBM100",IF(Q197&gt;=50,"UBM50","UBM10-50"))))),0)</f>
        <v>0</v>
      </c>
      <c r="AK197" t="s">
        <f>IF(Q197&lt;3,"down",IF(Q197=3,3,IF(Q197&gt;3,"up")))</f>
        <v>7</v>
      </c>
    </row>
    <row r="198" spans="1:37">
      <c r="A198">
        <f>IF(X198=6505,6505,"Error")</f>
        <v>6505</v>
      </c>
      <c r="B198" t="s">
        <f>IF(K198&lt;82.099999999999994,"down",IF(K198=82.099999999999994,"low",IF(K198=84.400000000000006,"high",IF(AND(K198&gt;82.099999999999994,K198&lt;84.400000000000006),"normal","up"))))</f>
        <v>6</v>
      </c>
      <c r="C198" t="s">
        <f>IF(K198&lt;82.099999999999994,"down",IF(K198=82.099999999999994,"low",IF(K198=84.400000000000006,"high",IF(AND(K198&gt;82.099999999999994,K198&lt;84.400000000000006),"normal","up"))))</f>
        <v>6</v>
      </c>
      <c r="D198" t="s">
        <f>IF(K198&lt;82.099999999999994,"down",IF(K198=82.099999999999994,"low",IF(K198=84.400000000000006,"high",IF(AND(K198&gt;82.099999999999994,K198&lt;84.400000000000006),"normal","up"))))</f>
        <v>6</v>
      </c>
      <c r="E198" t="s">
        <f>IF(K198&lt;80,"down",IF(K198=80,"low",IF(K198=84.400000000000006,"high",IF(AND(K198&gt;80,K198&lt;84.400000000000006),"normal","up"))))</f>
        <v>6</v>
      </c>
      <c r="F198" t="s">
        <f>IF(P198&lt;84.200000000000003,"PVP-down",IF(P198=84.200000000000003,84.200000000000003,IF(P198&gt;84.200000000000003,"PVP-up")))</f>
        <v>80</v>
      </c>
      <c r="G198" t="s">
        <f>IF(R198&lt;381,"PVV-down",IF(R198=381,381,IF(R198&gt;381,"PVV-up")))</f>
        <v>81</v>
      </c>
      <c r="H198" s="40">
        <f>R198/(Y198/10000)</f>
        <v>0.00020659335876851138</v>
      </c>
      <c r="I198">
        <v>84.200000000000003</v>
      </c>
      <c r="J198">
        <v>83.700000000000003</v>
      </c>
      <c r="K198">
        <v>84.5</v>
      </c>
      <c r="L198">
        <v>-0.5</v>
      </c>
      <c r="M198">
        <v>-0.0058999999999999999</v>
      </c>
      <c r="N198">
        <v>83.700000000000003</v>
      </c>
      <c r="O198">
        <v>83.799999999999997</v>
      </c>
      <c r="P198">
        <v>83.700000000000003</v>
      </c>
      <c r="Q198">
        <v>161</v>
      </c>
      <c r="R198">
        <v>1968</v>
      </c>
      <c r="S198">
        <v>2247</v>
      </c>
      <c r="T198" s="40">
        <f>((P198-K198)/K198)</f>
        <v>-0.0094674556213017423</v>
      </c>
      <c r="U198" s="40">
        <f>((T198*AB198)*D4)</f>
        <v>-2.7051885976049634</v>
      </c>
      <c r="V198" s="3">
        <f>IF(P198&lt;=N198,(P198*Q198*1000),0)</f>
        <v>13475700</v>
      </c>
      <c r="W198" s="3">
        <f>IF(P198&gt;=O198,(P198*Q198*1000),0)</f>
        <v>0</v>
      </c>
      <c r="X198">
        <v>6505</v>
      </c>
      <c r="Y198" s="3">
        <v>95259596520</v>
      </c>
      <c r="Z198" s="40">
        <f>((C4*AB198)/P198)/10</f>
        <v>0.313289823033221</v>
      </c>
      <c r="AA198" s="40">
        <f>((M198*AB198)*C4)</f>
        <v>-1.5471191330849556</v>
      </c>
      <c r="AB198" s="40">
        <f>AE198/AE323</f>
        <v>0.022357691522741467</v>
      </c>
      <c r="AC198" s="40">
        <f>AF198/AF323</f>
        <v>0.022282284477949561</v>
      </c>
      <c r="AD198" s="3">
        <f>IF(ISNA(J198),(I198*Y198)/10,(J198*Y198)/10)</f>
        <v>797322822872.40002</v>
      </c>
      <c r="AE198" s="3">
        <f>IF(ISNA(P198),(I198*Y198)/10,(P198*Y198)/10)</f>
        <v>797322822872.40002</v>
      </c>
      <c r="AF198" s="3">
        <f>(I198*Y198)/10</f>
        <v>802085802698.40002</v>
      </c>
      <c r="AG198" t="s">
        <f>IF(AND(P198&lt;=N198,L198&lt;0),IF(Q198&lt;10,"DBL10",IF(Q198&gt;=200,"DBM200",IF(Q198&gt;=150,"DBM150",IF(Q198&gt;=100,"DBM100",IF(Q198&gt;=50,"DBM50","DBM10-50"))))),0)</f>
        <v>15</v>
      </c>
      <c r="AH198">
        <f>IF(AND(P198&gt;=O198,L198&lt;0),IF(Q198&lt;10,"DAL10",IF(Q198&gt;=200,"DAM200",IF(Q198&gt;=150,"DAM150",IF(Q198&gt;=100,"DAM100",IF(Q198&gt;=50,"DAM50","DAM10-50"))))),0)</f>
        <v>0</v>
      </c>
      <c r="AI198">
        <f>IF(AND(P198&gt;=O198,L198&gt;0),IF(Q198&lt;10,"UAL10",IF(Q198&gt;=200,"UAM200",IF(Q198&gt;=150,"UAM150",IF(Q198&gt;=100,"UAM100",IF(Q198&gt;=50,"UAM50","UAM10-50"))))),0)</f>
        <v>0</v>
      </c>
      <c r="AJ198">
        <f>IF(AND(P198&lt;=N198,L198&gt;0),IF(Q198&lt;10,"UBL10",IF(Q198&gt;=200,"UBM200",IF(Q198&gt;=150,"UBM150",IF(Q198&gt;=100,"UBM100",IF(Q198&gt;=50,"UBM50","UBM10-50"))))),0)</f>
        <v>0</v>
      </c>
      <c r="AK198" t="s">
        <f>IF(Q198&lt;11,"down",IF(Q198=11,11,IF(Q198&gt;11,"up")))</f>
        <v>6</v>
      </c>
    </row>
    <row r="199" spans="1:37">
      <c r="A199">
        <f>IF(X199=1301,1301,"Error")</f>
        <v>1301</v>
      </c>
      <c r="B199" t="s">
        <f>IF(K199&lt;79.700000000000003,"down",IF(K199=79.700000000000003,"low",IF(K199=81.099999999999994,"high",IF(AND(K199&gt;79.700000000000003,K199&lt;81.099999999999994),"normal","up"))))</f>
        <v>6</v>
      </c>
      <c r="C199" t="s">
        <f>IF(K199&lt;79.700000000000003,"down",IF(K199=79.700000000000003,"low",IF(K199=81.099999999999994,"high",IF(AND(K199&gt;79.700000000000003,K199&lt;81.099999999999994),"normal","up"))))</f>
        <v>6</v>
      </c>
      <c r="D199" t="s">
        <f>IF(K199&lt;79.700000000000003,"down",IF(K199=79.700000000000003,"low",IF(K199=81.099999999999994,"high",IF(AND(K199&gt;79.700000000000003,K199&lt;81.099999999999994),"normal","up"))))</f>
        <v>6</v>
      </c>
      <c r="E199" t="s">
        <f>IF(K199&lt;77.299999999999997,"down",IF(K199=77.299999999999997,"low",IF(K199=81.099999999999994,"high",IF(AND(K199&gt;77.299999999999997,K199&lt;81.099999999999994),"normal","up"))))</f>
        <v>6</v>
      </c>
      <c r="F199" t="s">
        <f>IF(P199&lt;80.900000000000006,"PVP-down",IF(P199=80.900000000000006,80.900000000000006,IF(P199&gt;80.900000000000006,"PVP-up")))</f>
        <v>83</v>
      </c>
      <c r="G199" t="s">
        <f>IF(R199&lt;863,"PVV-down",IF(R199=863,863,IF(R199&gt;863,"PVV-up")))</f>
        <v>81</v>
      </c>
      <c r="H199" s="40">
        <f>R199/(Y199/10000)</f>
        <v>0.0013055825371975666</v>
      </c>
      <c r="I199">
        <v>81.099999999999994</v>
      </c>
      <c r="J199">
        <v>81.5</v>
      </c>
      <c r="K199">
        <v>81.5</v>
      </c>
      <c r="L199">
        <v>0.40000000000000002</v>
      </c>
      <c r="M199">
        <v>0.0048999999999999998</v>
      </c>
      <c r="N199">
        <v>81.5</v>
      </c>
      <c r="O199">
        <v>81.599999999999994</v>
      </c>
      <c r="P199">
        <v>81.5</v>
      </c>
      <c r="Q199">
        <v>663</v>
      </c>
      <c r="R199">
        <v>8311</v>
      </c>
      <c r="S199">
        <v>6031</v>
      </c>
      <c r="T199" s="40">
        <f>((P199-K199)/K199)</f>
        <v>0</v>
      </c>
      <c r="U199" s="40">
        <f>((T199*AB199)*D4)</f>
        <v>0</v>
      </c>
      <c r="V199" s="3">
        <f>IF(P199&lt;=N199,(P199*Q199*1000),0)</f>
        <v>54034500</v>
      </c>
      <c r="W199" s="3">
        <f>IF(P199&gt;=O199,(P199*Q199*1000),0)</f>
        <v>0</v>
      </c>
      <c r="X199">
        <v>1301</v>
      </c>
      <c r="Y199" s="3">
        <v>63657407810</v>
      </c>
      <c r="Z199" s="40">
        <f>((C4*AB199)/P199)/10</f>
        <v>0.20935652423597398</v>
      </c>
      <c r="AA199" s="40">
        <f>((M199*AB199)*C4)</f>
        <v>0.836065279536362</v>
      </c>
      <c r="AB199" s="40">
        <f>AE199/AE323</f>
        <v>0.01454786701938667</v>
      </c>
      <c r="AC199" s="40">
        <f>AF199/AF323</f>
        <v>0.014341966024837272</v>
      </c>
      <c r="AD199" s="3">
        <f>IF(ISNA(J199),(I199*Y199)/10,(J199*Y199)/10)</f>
        <v>518807873651.5</v>
      </c>
      <c r="AE199" s="3">
        <f>IF(ISNA(P199),(I199*Y199)/10,(P199*Y199)/10)</f>
        <v>518807873651.5</v>
      </c>
      <c r="AF199" s="3">
        <f>(I199*Y199)/10</f>
        <v>516261577339.09998</v>
      </c>
      <c r="AG199">
        <f>IF(AND(P199&lt;=N199,L199&lt;0),IF(Q199&lt;10,"DBL10",IF(Q199&gt;=200,"DBM200",IF(Q199&gt;=150,"DBM150",IF(Q199&gt;=100,"DBM100",IF(Q199&gt;=50,"DBM50","DBM10-50"))))),0)</f>
        <v>0</v>
      </c>
      <c r="AH199">
        <f>IF(AND(P199&gt;=O199,L199&lt;0),IF(Q199&lt;10,"DAL10",IF(Q199&gt;=200,"DAM200",IF(Q199&gt;=150,"DAM150",IF(Q199&gt;=100,"DAM100",IF(Q199&gt;=50,"DAM50","DAM10-50"))))),0)</f>
        <v>0</v>
      </c>
      <c r="AI199">
        <f>IF(AND(P199&gt;=O199,L199&gt;0),IF(Q199&lt;10,"UAL10",IF(Q199&gt;=200,"UAM200",IF(Q199&gt;=150,"UAM150",IF(Q199&gt;=100,"UAM100",IF(Q199&gt;=50,"UAM50","UAM10-50"))))),0)</f>
        <v>0</v>
      </c>
      <c r="AJ199" t="s">
        <f>IF(AND(P199&lt;=N199,L199&gt;0),IF(Q199&lt;10,"UBL10",IF(Q199&gt;=200,"UBM200",IF(Q199&gt;=150,"UBM150",IF(Q199&gt;=100,"UBM100",IF(Q199&gt;=50,"UBM50","UBM10-50"))))),0)</f>
        <v>21</v>
      </c>
      <c r="AK199" t="s">
        <f>IF(Q199&lt;138,"down",IF(Q199=138,138,IF(Q199&gt;138,"up")))</f>
        <v>6</v>
      </c>
    </row>
    <row r="200" spans="1:37">
      <c r="A200">
        <f>IF(X200=1303,1303,"Error")</f>
        <v>1303</v>
      </c>
      <c r="B200" t="s">
        <f>IF(K200&lt;61,"down",IF(K200=61,"low",IF(K200=63.5,"high",IF(AND(K200&gt;61,K200&lt;63.5),"normal","up"))))</f>
        <v>79</v>
      </c>
      <c r="C200" t="s">
        <f>IF(K200&lt;61,"down",IF(K200=61,"low",IF(K200=63.5,"high",IF(AND(K200&gt;61,K200&lt;63.5),"normal","up"))))</f>
        <v>79</v>
      </c>
      <c r="D200" t="s">
        <f>IF(K200&lt;61,"down",IF(K200=61,"low",IF(K200=63.5,"high",IF(AND(K200&gt;61,K200&lt;63.5),"normal","up"))))</f>
        <v>79</v>
      </c>
      <c r="E200" t="s">
        <f>IF(K200&lt;60,"down",IF(K200=60,"low",IF(K200=63.5,"high",IF(AND(K200&gt;60,K200&lt;63.5),"normal","up"))))</f>
        <v>79</v>
      </c>
      <c r="F200" t="s">
        <f>IF(P200&lt;63.200000000000003,"PVP-down",IF(P200=63.200000000000003,63.200000000000003,IF(P200&gt;63.200000000000003,"PVP-up")))</f>
        <v>80</v>
      </c>
      <c r="G200" t="s">
        <f>IF(R200&lt;697,"PVV-down",IF(R200=697,697,IF(R200&gt;697,"PVV-up")))</f>
        <v>81</v>
      </c>
      <c r="H200" s="40">
        <f>R200/(Y200/10000)</f>
        <v>0.00063965630080951754</v>
      </c>
      <c r="I200">
        <v>63.200000000000003</v>
      </c>
      <c r="J200">
        <v>62.799999999999997</v>
      </c>
      <c r="K200">
        <v>63.100000000000001</v>
      </c>
      <c r="L200">
        <v>-0.40000000000000002</v>
      </c>
      <c r="M200">
        <v>-0.0063</v>
      </c>
      <c r="N200">
        <v>62.799999999999997</v>
      </c>
      <c r="O200">
        <v>63</v>
      </c>
      <c r="P200">
        <v>62.799999999999997</v>
      </c>
      <c r="Q200">
        <v>710</v>
      </c>
      <c r="R200">
        <v>5073</v>
      </c>
      <c r="S200">
        <v>6100</v>
      </c>
      <c r="T200" s="40">
        <f>((P200-K200)/K200)</f>
        <v>-0.0047543581616482453</v>
      </c>
      <c r="U200" s="40">
        <f>((T200*AB200)*D4)</f>
        <v>-0.84859368165478777</v>
      </c>
      <c r="V200" s="3">
        <f>IF(P200&lt;=N200,(P200*Q200*1000),0)</f>
        <v>44588000</v>
      </c>
      <c r="W200" s="3">
        <f>IF(P200&gt;=O200,(P200*Q200*1000),0)</f>
        <v>0</v>
      </c>
      <c r="X200">
        <v>1303</v>
      </c>
      <c r="Y200" s="3">
        <v>79308215890</v>
      </c>
      <c r="Z200" s="40">
        <f>((C4*AB200)/P200)/10</f>
        <v>0.26082891203556602</v>
      </c>
      <c r="AA200" s="40">
        <f>((M200*AB200)*C4)</f>
        <v>-1.0319435075775134</v>
      </c>
      <c r="AB200" s="40">
        <f>AE200/AE323</f>
        <v>0.013965953378475162</v>
      </c>
      <c r="AC200" s="40">
        <f>AF200/AF323</f>
        <v>0.013924324757715694</v>
      </c>
      <c r="AD200" s="3">
        <f>IF(ISNA(J200),(I200*Y200)/10,(J200*Y200)/10)</f>
        <v>498055595789.20001</v>
      </c>
      <c r="AE200" s="3">
        <f>IF(ISNA(P200),(I200*Y200)/10,(P200*Y200)/10)</f>
        <v>498055595789.20001</v>
      </c>
      <c r="AF200" s="3">
        <f>(I200*Y200)/10</f>
        <v>501227924424.79999</v>
      </c>
      <c r="AG200" t="s">
        <f>IF(AND(P200&lt;=N200,L200&lt;0),IF(Q200&lt;10,"DBL10",IF(Q200&gt;=200,"DBM200",IF(Q200&gt;=150,"DBM150",IF(Q200&gt;=100,"DBM100",IF(Q200&gt;=50,"DBM50","DBM10-50"))))),0)</f>
        <v>16</v>
      </c>
      <c r="AH200">
        <f>IF(AND(P200&gt;=O200,L200&lt;0),IF(Q200&lt;10,"DAL10",IF(Q200&gt;=200,"DAM200",IF(Q200&gt;=150,"DAM150",IF(Q200&gt;=100,"DAM100",IF(Q200&gt;=50,"DAM50","DAM10-50"))))),0)</f>
        <v>0</v>
      </c>
      <c r="AI200">
        <f>IF(AND(P200&gt;=O200,L200&gt;0),IF(Q200&lt;10,"UAL10",IF(Q200&gt;=200,"UAM200",IF(Q200&gt;=150,"UAM150",IF(Q200&gt;=100,"UAM100",IF(Q200&gt;=50,"UAM50","UAM10-50"))))),0)</f>
        <v>0</v>
      </c>
      <c r="AJ200">
        <f>IF(AND(P200&lt;=N200,L200&gt;0),IF(Q200&lt;10,"UBL10",IF(Q200&gt;=200,"UBM200",IF(Q200&gt;=150,"UBM150",IF(Q200&gt;=100,"UBM100",IF(Q200&gt;=50,"UBM50","UBM10-50"))))),0)</f>
        <v>0</v>
      </c>
      <c r="AK200" t="s">
        <f>IF(Q200&lt;24,"down",IF(Q200=24,24,IF(Q200&gt;24,"up")))</f>
        <v>6</v>
      </c>
    </row>
    <row r="201" spans="1:37">
      <c r="A201">
        <f>IF(X201=1216,1216,"Error")</f>
        <v>1216</v>
      </c>
      <c r="B201" t="s">
        <f>IF(K201&lt;68.700000000000003,"down",IF(K201=68.700000000000003,"low",IF(K201=69.299999999999997,"high",IF(AND(K201&gt;68.700000000000003,K201&lt;69.299999999999997),"normal","up"))))</f>
        <v>79</v>
      </c>
      <c r="C201" t="s">
        <f>IF(K201&lt;68.700000000000003,"down",IF(K201=68.700000000000003,"low",IF(K201=69.299999999999997,"high",IF(AND(K201&gt;68.700000000000003,K201&lt;69.299999999999997),"normal","up"))))</f>
        <v>79</v>
      </c>
      <c r="D201" t="s">
        <f>IF(K201&lt;68.700000000000003,"down",IF(K201=68.700000000000003,"low",IF(K201=69.299999999999997,"high",IF(AND(K201&gt;68.700000000000003,K201&lt;69.299999999999997),"normal","up"))))</f>
        <v>79</v>
      </c>
      <c r="E201" t="s">
        <f>IF(K201&lt;68.700000000000003,"down",IF(K201=68.700000000000003,"low",IF(K201=71.400000000000006,"high",IF(AND(K201&gt;68.700000000000003,K201&lt;71.400000000000006),"normal","up"))))</f>
        <v>79</v>
      </c>
      <c r="F201" t="s">
        <f>IF(P201&lt;68.900000000000006,"PVP-down",IF(P201=68.900000000000006,68.900000000000006,IF(P201&gt;68.900000000000006,"PVP-up")))</f>
        <v>80</v>
      </c>
      <c r="G201" t="s">
        <f>IF(R201&lt;2106,"PVV-down",IF(R201=2106,2106,IF(R201&gt;2106,"PVV-up")))</f>
        <v>81</v>
      </c>
      <c r="H201" s="40">
        <f>R201/(Y201/10000)</f>
        <v>0.0014248465377405036</v>
      </c>
      <c r="I201">
        <v>69</v>
      </c>
      <c r="J201">
        <v>68.599999999999994</v>
      </c>
      <c r="K201">
        <v>69.099999999999994</v>
      </c>
      <c r="L201">
        <v>-0.40000000000000002</v>
      </c>
      <c r="M201">
        <v>-0.0057999999999999996</v>
      </c>
      <c r="N201">
        <v>68.599999999999994</v>
      </c>
      <c r="O201">
        <v>68.799999999999997</v>
      </c>
      <c r="P201">
        <v>68.599999999999994</v>
      </c>
      <c r="Q201">
        <v>1287</v>
      </c>
      <c r="R201">
        <v>8096</v>
      </c>
      <c r="S201">
        <v>7478</v>
      </c>
      <c r="T201" s="40">
        <f>((P201-K201)/K201)</f>
        <v>-0.0072358900144717806</v>
      </c>
      <c r="U201" s="40">
        <f>((T201*AB201)*D4)</f>
        <v>-1.0107611833973746</v>
      </c>
      <c r="V201" s="3">
        <f>IF(P201&lt;=N201,(P201*Q201*1000),0)</f>
        <v>88288200</v>
      </c>
      <c r="W201" s="3">
        <f>IF(P201&gt;=O201,(P201*Q201*1000),0)</f>
        <v>0</v>
      </c>
      <c r="X201">
        <v>1216</v>
      </c>
      <c r="Y201" s="3">
        <v>56820154210</v>
      </c>
      <c r="Z201" s="40">
        <f>((C4*AB201)/P201)/10</f>
        <v>0.18687016014637253</v>
      </c>
      <c r="AA201" s="40">
        <f>((M201*AB201)*C4)</f>
        <v>-0.74351899319038683</v>
      </c>
      <c r="AB201" s="40">
        <f>AE201/AE323</f>
        <v>0.010929978000758764</v>
      </c>
      <c r="AC201" s="40">
        <f>AF201/AF323</f>
        <v>0.010891567420728132</v>
      </c>
      <c r="AD201" s="3">
        <f>IF(ISNA(J201),(I201*Y201)/10,(J201*Y201)/10)</f>
        <v>389786257880.59998</v>
      </c>
      <c r="AE201" s="3">
        <f>IF(ISNA(P201),(I201*Y201)/10,(P201*Y201)/10)</f>
        <v>389786257880.59998</v>
      </c>
      <c r="AF201" s="3">
        <f>(I201*Y201)/10</f>
        <v>392059064049</v>
      </c>
      <c r="AG201" t="s">
        <f>IF(AND(P201&lt;=N201,L201&lt;0),IF(Q201&lt;10,"DBL10",IF(Q201&gt;=200,"DBM200",IF(Q201&gt;=150,"DBM150",IF(Q201&gt;=100,"DBM100",IF(Q201&gt;=50,"DBM50","DBM10-50"))))),0)</f>
        <v>16</v>
      </c>
      <c r="AH201">
        <f>IF(AND(P201&gt;=O201,L201&lt;0),IF(Q201&lt;10,"DAL10",IF(Q201&gt;=200,"DAM200",IF(Q201&gt;=150,"DAM150",IF(Q201&gt;=100,"DAM100",IF(Q201&gt;=50,"DAM50","DAM10-50"))))),0)</f>
        <v>0</v>
      </c>
      <c r="AI201">
        <f>IF(AND(P201&gt;=O201,L201&gt;0),IF(Q201&lt;10,"UAL10",IF(Q201&gt;=200,"UAM200",IF(Q201&gt;=150,"UAM150",IF(Q201&gt;=100,"UAM100",IF(Q201&gt;=50,"UAM50","UAM10-50"))))),0)</f>
        <v>0</v>
      </c>
      <c r="AJ201">
        <f>IF(AND(P201&lt;=N201,L201&gt;0),IF(Q201&lt;10,"UBL10",IF(Q201&gt;=200,"UBM200",IF(Q201&gt;=150,"UBM150",IF(Q201&gt;=100,"UBM100",IF(Q201&gt;=50,"UBM50","UBM10-50"))))),0)</f>
        <v>0</v>
      </c>
      <c r="AK201" t="s">
        <f>IF(Q201&lt;91,"down",IF(Q201=91,91,IF(Q201&gt;91,"up")))</f>
        <v>6</v>
      </c>
    </row>
    <row r="202" spans="1:37">
      <c r="A202">
        <f>IF(X202=1326,1326,"Error")</f>
        <v>1326</v>
      </c>
      <c r="B202" t="s">
        <f>IF(K202&lt;69.099999999999994,"down",IF(K202=69.099999999999994,"low",IF(K202=70.799999999999997,"high",IF(AND(K202&gt;69.099999999999994,K202&lt;70.799999999999997),"normal","up"))))</f>
        <v>6</v>
      </c>
      <c r="C202" t="s">
        <f>IF(K202&lt;69.099999999999994,"down",IF(K202=69.099999999999994,"low",IF(K202=70.799999999999997,"high",IF(AND(K202&gt;69.099999999999994,K202&lt;70.799999999999997),"normal","up"))))</f>
        <v>6</v>
      </c>
      <c r="D202" t="s">
        <f>IF(K202&lt;69.099999999999994,"down",IF(K202=69.099999999999994,"low",IF(K202=70.799999999999997,"high",IF(AND(K202&gt;69.099999999999994,K202&lt;70.799999999999997),"normal","up"))))</f>
        <v>6</v>
      </c>
      <c r="E202" t="s">
        <f>IF(K202&lt;66.5,"down",IF(K202=66.5,"low",IF(K202=70.799999999999997,"high",IF(AND(K202&gt;66.5,K202&lt;70.799999999999997),"normal","up"))))</f>
        <v>6</v>
      </c>
      <c r="F202" t="s">
        <f>IF(P202&lt;70.700000000000003,"PVP-down",IF(P202=70.700000000000003,70.700000000000003,IF(P202&gt;70.700000000000003,"PVP-up")))</f>
        <v>83</v>
      </c>
      <c r="G202" t="s">
        <f>IF(R202&lt;750,"PVV-down",IF(R202=750,750,IF(R202&gt;750,"PVV-up")))</f>
        <v>81</v>
      </c>
      <c r="H202" s="40">
        <f>R202/(Y202/10000)</f>
        <v>0.0010653133495497013</v>
      </c>
      <c r="I202">
        <v>70.700000000000003</v>
      </c>
      <c r="J202">
        <v>71</v>
      </c>
      <c r="K202">
        <v>71.099999999999994</v>
      </c>
      <c r="L202">
        <v>0.29999999999999999</v>
      </c>
      <c r="M202">
        <v>0.0041999999999999997</v>
      </c>
      <c r="N202">
        <v>71</v>
      </c>
      <c r="O202">
        <v>71.099999999999994</v>
      </c>
      <c r="P202">
        <v>71</v>
      </c>
      <c r="Q202">
        <v>591</v>
      </c>
      <c r="R202">
        <v>6244</v>
      </c>
      <c r="S202">
        <v>4718</v>
      </c>
      <c r="T202" s="40">
        <f>((P202-K202)/K202)</f>
        <v>-0.0014064697609000609</v>
      </c>
      <c r="U202" s="40">
        <f>((T202*AB202)*D4)</f>
        <v>-0.20975114855372418</v>
      </c>
      <c r="V202" s="3">
        <f>IF(P202&lt;=N202,(P202*Q202*1000),0)</f>
        <v>41961000</v>
      </c>
      <c r="W202" s="3">
        <f>IF(P202&gt;=O202,(P202*Q202*1000),0)</f>
        <v>0</v>
      </c>
      <c r="X202">
        <v>1326</v>
      </c>
      <c r="Y202" s="3">
        <v>58611862910</v>
      </c>
      <c r="Z202" s="40">
        <f>((C4*AB202)/P202)/10</f>
        <v>0.19276273288503862</v>
      </c>
      <c r="AA202" s="40">
        <f>((M202*AB202)*C4)</f>
        <v>0.57481846946318516</v>
      </c>
      <c r="AB202" s="40">
        <f>AE202/AE323</f>
        <v>0.011669080555273931</v>
      </c>
      <c r="AC202" s="40">
        <f>AF202/AF323</f>
        <v>0.011511815600224995</v>
      </c>
      <c r="AD202" s="3">
        <f>IF(ISNA(J202),(I202*Y202)/10,(J202*Y202)/10)</f>
        <v>416144226661</v>
      </c>
      <c r="AE202" s="3">
        <f>IF(ISNA(P202),(I202*Y202)/10,(P202*Y202)/10)</f>
        <v>416144226661</v>
      </c>
      <c r="AF202" s="3">
        <f>(I202*Y202)/10</f>
        <v>414385870773.70001</v>
      </c>
      <c r="AG202">
        <f>IF(AND(P202&lt;=N202,L202&lt;0),IF(Q202&lt;10,"DBL10",IF(Q202&gt;=200,"DBM200",IF(Q202&gt;=150,"DBM150",IF(Q202&gt;=100,"DBM100",IF(Q202&gt;=50,"DBM50","DBM10-50"))))),0)</f>
        <v>0</v>
      </c>
      <c r="AH202">
        <f>IF(AND(P202&gt;=O202,L202&lt;0),IF(Q202&lt;10,"DAL10",IF(Q202&gt;=200,"DAM200",IF(Q202&gt;=150,"DAM150",IF(Q202&gt;=100,"DAM100",IF(Q202&gt;=50,"DAM50","DAM10-50"))))),0)</f>
        <v>0</v>
      </c>
      <c r="AI202">
        <f>IF(AND(P202&gt;=O202,L202&gt;0),IF(Q202&lt;10,"UAL10",IF(Q202&gt;=200,"UAM200",IF(Q202&gt;=150,"UAM150",IF(Q202&gt;=100,"UAM100",IF(Q202&gt;=50,"UAM50","UAM10-50"))))),0)</f>
        <v>0</v>
      </c>
      <c r="AJ202" t="s">
        <f>IF(AND(P202&lt;=N202,L202&gt;0),IF(Q202&lt;10,"UBL10",IF(Q202&gt;=200,"UBM200",IF(Q202&gt;=150,"UBM150",IF(Q202&gt;=100,"UBM100",IF(Q202&gt;=50,"UBM50","UBM10-50"))))),0)</f>
        <v>21</v>
      </c>
      <c r="AK202" t="s">
        <f>IF(Q202&lt;74,"down",IF(Q202=74,74,IF(Q202&gt;74,"up")))</f>
        <v>6</v>
      </c>
    </row>
    <row r="203" spans="1:37">
      <c r="A203">
        <f>IF(X203=2207,2207,"Error")</f>
        <v>2207</v>
      </c>
      <c r="B203" t="s">
        <f>IF(K203&lt;651,"down",IF(K203=651,"low",IF(K203=668,"high",IF(AND(K203&gt;651,K203&lt;668),"normal","up"))))</f>
        <v>84</v>
      </c>
      <c r="C203" t="s">
        <f>IF(K203&lt;651,"down",IF(K203=651,"low",IF(K203=668,"high",IF(AND(K203&gt;651,K203&lt;668),"normal","up"))))</f>
        <v>84</v>
      </c>
      <c r="D203" t="s">
        <f>IF(K203&lt;651,"down",IF(K203=651,"low",IF(K203=668,"high",IF(AND(K203&gt;651,K203&lt;668),"normal","up"))))</f>
        <v>84</v>
      </c>
      <c r="E203" t="s">
        <f>IF(K203&lt;645,"down",IF(K203=645,"low",IF(K203=675,"high",IF(AND(K203&gt;645,K203&lt;675),"normal","up"))))</f>
        <v>79</v>
      </c>
      <c r="F203" t="s">
        <f>IF(P203&lt;667,"PVP-down",IF(P203=667,667,IF(P203&gt;667,"PVP-up")))</f>
        <v>80</v>
      </c>
      <c r="G203" t="s">
        <f>IF(R203&lt;41,"PVV-down",IF(R203=41,41,IF(R203&gt;41,"PVV-up")))</f>
        <v>81</v>
      </c>
      <c r="H203" s="40">
        <f>R203/(Y203/10000)</f>
        <v>0.00047786515423114333</v>
      </c>
      <c r="I203">
        <v>668</v>
      </c>
      <c r="J203">
        <v>652</v>
      </c>
      <c r="K203">
        <v>668</v>
      </c>
      <c r="L203">
        <v>-16</v>
      </c>
      <c r="M203">
        <v>-0.024</v>
      </c>
      <c r="N203">
        <v>652</v>
      </c>
      <c r="O203">
        <v>655</v>
      </c>
      <c r="P203">
        <v>652</v>
      </c>
      <c r="Q203">
        <v>54</v>
      </c>
      <c r="R203">
        <v>261</v>
      </c>
      <c r="S203">
        <v>273</v>
      </c>
      <c r="T203" s="40">
        <f>((P203-K203)/K203)</f>
        <v>-0.023952095808383235</v>
      </c>
      <c r="U203" s="40">
        <f>((T203*AB203)*D4)</f>
        <v>-3.056724758786133</v>
      </c>
      <c r="V203" s="3">
        <f>IF(P203&lt;=N203,(P203*Q203*1000),0)</f>
        <v>35208000</v>
      </c>
      <c r="W203" s="3">
        <f>IF(P203&gt;=O203,(P203*Q203*1000),0)</f>
        <v>0</v>
      </c>
      <c r="X203">
        <v>2207</v>
      </c>
      <c r="Y203" s="3">
        <v>5461791840</v>
      </c>
      <c r="Z203" s="40">
        <f>((C4*AB203)/P203)/10</f>
        <v>0.017962744558115317</v>
      </c>
      <c r="AA203" s="40">
        <f>((M203*AB203)*C4)</f>
        <v>-2.8108102684538849</v>
      </c>
      <c r="AB203" s="40">
        <f>AE203/AE323</f>
        <v>0.0099856307832137895</v>
      </c>
      <c r="AC203" s="40">
        <f>AF203/AF323</f>
        <v>0.010135624021524091</v>
      </c>
      <c r="AD203" s="3">
        <f>IF(ISNA(J203),(I203*Y203)/10,(J203*Y203)/10)</f>
        <v>356108827968</v>
      </c>
      <c r="AE203" s="3">
        <f>IF(ISNA(P203),(I203*Y203)/10,(P203*Y203)/10)</f>
        <v>356108827968</v>
      </c>
      <c r="AF203" s="3">
        <f>(I203*Y203)/10</f>
        <v>364847694912</v>
      </c>
      <c r="AG203" t="s">
        <f>IF(AND(P203&lt;=N203,L203&lt;0),IF(Q203&lt;10,"DBL10",IF(Q203&gt;=200,"DBM200",IF(Q203&gt;=150,"DBM150",IF(Q203&gt;=100,"DBM100",IF(Q203&gt;=50,"DBM50","DBM10-50"))))),0)</f>
        <v>13</v>
      </c>
      <c r="AH203">
        <f>IF(AND(P203&gt;=O203,L203&lt;0),IF(Q203&lt;10,"DAL10",IF(Q203&gt;=200,"DAM200",IF(Q203&gt;=150,"DAM150",IF(Q203&gt;=100,"DAM100",IF(Q203&gt;=50,"DAM50","DAM10-50"))))),0)</f>
        <v>0</v>
      </c>
      <c r="AI203">
        <f>IF(AND(P203&gt;=O203,L203&gt;0),IF(Q203&lt;10,"UAL10",IF(Q203&gt;=200,"UAM200",IF(Q203&gt;=150,"UAM150",IF(Q203&gt;=100,"UAM100",IF(Q203&gt;=50,"UAM50","UAM10-50"))))),0)</f>
        <v>0</v>
      </c>
      <c r="AJ203">
        <f>IF(AND(P203&lt;=N203,L203&gt;0),IF(Q203&lt;10,"UBL10",IF(Q203&gt;=200,"UBM200",IF(Q203&gt;=150,"UBM150",IF(Q203&gt;=100,"UBM100",IF(Q203&gt;=50,"UBM50","UBM10-50"))))),0)</f>
        <v>0</v>
      </c>
      <c r="AK203" t="s">
        <f>IF(Q203&lt;4,"down",IF(Q203=4,4,IF(Q203&gt;4,"up")))</f>
        <v>6</v>
      </c>
    </row>
    <row r="204" spans="1:37">
      <c r="A204">
        <f>IF(X204=2002,2002,"Error")</f>
        <v>2002</v>
      </c>
      <c r="B204" t="s">
        <f>IF(K204&lt;19.949999999999999,"down",IF(K204=19.949999999999999,"low",IF(K204=20.100000000000001,"high",IF(AND(K204&gt;19.949999999999999,K204&lt;20.100000000000001),"normal","up"))))</f>
        <v>84</v>
      </c>
      <c r="C204" t="s">
        <f>IF(K204&lt;19.949999999999999,"down",IF(K204=19.949999999999999,"low",IF(K204=20.100000000000001,"high",IF(AND(K204&gt;19.949999999999999,K204&lt;20.100000000000001),"normal","up"))))</f>
        <v>84</v>
      </c>
      <c r="D204" t="s">
        <f>IF(K204&lt;19.949999999999999,"down",IF(K204=19.949999999999999,"low",IF(K204=20.100000000000001,"high",IF(AND(K204&gt;19.949999999999999,K204&lt;20.100000000000001),"normal","up"))))</f>
        <v>84</v>
      </c>
      <c r="E204" t="s">
        <f>IF(K204&lt;19.600000000000001,"down",IF(K204=19.600000000000001,"low",IF(K204=20.100000000000001,"high",IF(AND(K204&gt;19.600000000000001,K204&lt;20.100000000000001),"normal","up"))))</f>
        <v>84</v>
      </c>
      <c r="F204" t="s">
        <f>IF(P204&lt;20.050000000000001,"PVP-down",IF(P204=20.050000000000001,20.050000000000001,IF(P204&gt;20.050000000000001,"PVP-up")))</f>
        <v>83</v>
      </c>
      <c r="G204" t="s">
        <f>IF(R204&lt;3589,"PVV-down",IF(R204=3589,3589,IF(R204&gt;3589,"PVV-up")))</f>
        <v>81</v>
      </c>
      <c r="H204" s="40">
        <f>R204/(Y204/10000)</f>
        <v>0.00090178683022291571</v>
      </c>
      <c r="I204">
        <v>20.100000000000001</v>
      </c>
      <c r="J204">
        <v>20.199999999999999</v>
      </c>
      <c r="K204">
        <v>20.100000000000001</v>
      </c>
      <c r="L204">
        <v>0.10000000000000001</v>
      </c>
      <c r="M204">
        <v>0.0050000000000000001</v>
      </c>
      <c r="N204">
        <v>20.149999999999999</v>
      </c>
      <c r="O204">
        <v>20.199999999999999</v>
      </c>
      <c r="P204">
        <v>20.199999999999999</v>
      </c>
      <c r="Q204">
        <v>1939</v>
      </c>
      <c r="R204">
        <v>14224</v>
      </c>
      <c r="S204">
        <v>8581</v>
      </c>
      <c r="T204" s="40">
        <f>((P204-K204)/K204)</f>
        <v>0.004975124378109346</v>
      </c>
      <c r="U204" s="40">
        <f>((T204*AB204)*D4)</f>
        <v>0.56807181419880604</v>
      </c>
      <c r="V204" s="3">
        <f>IF(P204&lt;=N204,(P204*Q204*1000),0)</f>
        <v>0</v>
      </c>
      <c r="W204" s="3">
        <f>IF(P204&gt;=O204,(P204*Q204*1000),0)</f>
        <v>39167799.999999993</v>
      </c>
      <c r="X204">
        <v>2002</v>
      </c>
      <c r="Y204" s="3">
        <v>157731289960</v>
      </c>
      <c r="Z204" s="40">
        <f>((C4*AB204)/P204)/10</f>
        <v>0.51874676907743511</v>
      </c>
      <c r="AA204" s="40">
        <f>((M204*AB204)*C4)</f>
        <v>0.52393423676820938</v>
      </c>
      <c r="AB204" s="40">
        <f>AE204/AE323</f>
        <v>0.008934329978972335</v>
      </c>
      <c r="AC204" s="40">
        <f>AF204/AF323</f>
        <v>0.0088075029615270577</v>
      </c>
      <c r="AD204" s="3">
        <f>IF(ISNA(J204),(I204*Y204)/10,(J204*Y204)/10)</f>
        <v>318617205719.20001</v>
      </c>
      <c r="AE204" s="3">
        <f>IF(ISNA(P204),(I204*Y204)/10,(P204*Y204)/10)</f>
        <v>318617205719.20001</v>
      </c>
      <c r="AF204" s="3">
        <f>(I204*Y204)/10</f>
        <v>317039892819.59998</v>
      </c>
      <c r="AG204">
        <f>IF(AND(P204&lt;=N204,L204&lt;0),IF(Q204&lt;10,"DBL10",IF(Q204&gt;=200,"DBM200",IF(Q204&gt;=150,"DBM150",IF(Q204&gt;=100,"DBM100",IF(Q204&gt;=50,"DBM50","DBM10-50"))))),0)</f>
        <v>0</v>
      </c>
      <c r="AH204">
        <f>IF(AND(P204&gt;=O204,L204&lt;0),IF(Q204&lt;10,"DAL10",IF(Q204&gt;=200,"DAM200",IF(Q204&gt;=150,"DAM150",IF(Q204&gt;=100,"DAM100",IF(Q204&gt;=50,"DAM50","DAM10-50"))))),0)</f>
        <v>0</v>
      </c>
      <c r="AI204" t="s">
        <f>IF(AND(P204&gt;=O204,L204&gt;0),IF(Q204&lt;10,"UAL10",IF(Q204&gt;=200,"UAM200",IF(Q204&gt;=150,"UAM150",IF(Q204&gt;=100,"UAM100",IF(Q204&gt;=50,"UAM50","UAM10-50"))))),0)</f>
        <v>31</v>
      </c>
      <c r="AJ204">
        <f>IF(AND(P204&lt;=N204,L204&gt;0),IF(Q204&lt;10,"UBL10",IF(Q204&gt;=200,"UBM200",IF(Q204&gt;=150,"UBM150",IF(Q204&gt;=100,"UBM100",IF(Q204&gt;=50,"UBM50","UBM10-50"))))),0)</f>
        <v>0</v>
      </c>
      <c r="AK204" t="s">
        <f>IF(Q204&lt;167,"down",IF(Q204=167,167,IF(Q204&gt;167,"up")))</f>
        <v>6</v>
      </c>
    </row>
    <row r="205" spans="1:37">
      <c r="A205">
        <f>IF(X205=2912,2912,"Error")</f>
        <v>2912</v>
      </c>
      <c r="B205" t="s">
        <f>IF(K205&lt;273,"down",IF(K205=273,"low",IF(K205=276,"high",IF(AND(K205&gt;273,K205&lt;276),"normal","up"))))</f>
        <v>84</v>
      </c>
      <c r="C205" t="s">
        <f>IF(K205&lt;273,"down",IF(K205=273,"low",IF(K205=276,"high",IF(AND(K205&gt;273,K205&lt;276),"normal","up"))))</f>
        <v>84</v>
      </c>
      <c r="D205" t="s">
        <f>IF(K205&lt;273,"down",IF(K205=273,"low",IF(K205=276,"high",IF(AND(K205&gt;273,K205&lt;276),"normal","up"))))</f>
        <v>84</v>
      </c>
      <c r="E205" t="s">
        <f>IF(K205&lt;270,"down",IF(K205=270,"low",IF(K205=280,"high",IF(AND(K205&gt;270,K205&lt;280),"normal","up"))))</f>
        <v>79</v>
      </c>
      <c r="F205" t="s">
        <f>IF(P205&lt;275,"PVP-down",IF(P205=275,275,IF(P205&gt;275,"PVP-up")))</f>
        <v>83</v>
      </c>
      <c r="G205" t="s">
        <f>IF(R205&lt;296,"PVV-down",IF(R205=296,296,IF(R205&gt;296,"PVV-up")))</f>
        <v>81</v>
      </c>
      <c r="H205" s="40">
        <f>R205/(Y205/10000)</f>
        <v>0.0014553362942389108</v>
      </c>
      <c r="I205">
        <v>275</v>
      </c>
      <c r="J205">
        <v>276</v>
      </c>
      <c r="K205">
        <v>276</v>
      </c>
      <c r="L205">
        <v>1</v>
      </c>
      <c r="M205">
        <v>0.0035999999999999999</v>
      </c>
      <c r="N205">
        <v>276</v>
      </c>
      <c r="O205">
        <v>277</v>
      </c>
      <c r="P205">
        <v>276</v>
      </c>
      <c r="Q205">
        <v>189</v>
      </c>
      <c r="R205">
        <v>1513</v>
      </c>
      <c r="S205">
        <v>755</v>
      </c>
      <c r="T205" s="40">
        <f>((P205-K205)/K205)</f>
        <v>0</v>
      </c>
      <c r="U205" s="40">
        <f>((T205*AB205)*D4)</f>
        <v>0</v>
      </c>
      <c r="V205" s="3">
        <f>IF(P205&lt;=N205,(P205*Q205*1000),0)</f>
        <v>52164000</v>
      </c>
      <c r="W205" s="3">
        <f>IF(P205&gt;=O205,(P205*Q205*1000),0)</f>
        <v>0</v>
      </c>
      <c r="X205">
        <v>2912</v>
      </c>
      <c r="Y205" s="3">
        <v>10396222550</v>
      </c>
      <c r="Z205" s="40">
        <f>((C4*AB205)/P205)/10</f>
        <v>0.034191103488661737</v>
      </c>
      <c r="AA205" s="40">
        <f>((M205*AB205)*C4)</f>
        <v>0.33972280426334306</v>
      </c>
      <c r="AB205" s="40">
        <f>AE205/AE323</f>
        <v>0.0080459515656025795</v>
      </c>
      <c r="AC205" s="40">
        <f>AF205/AF323</f>
        <v>0.0079423157202580391</v>
      </c>
      <c r="AD205" s="3">
        <f>IF(ISNA(J205),(I205*Y205)/10,(J205*Y205)/10)</f>
        <v>286935742380</v>
      </c>
      <c r="AE205" s="3">
        <f>IF(ISNA(P205),(I205*Y205)/10,(P205*Y205)/10)</f>
        <v>286935742380</v>
      </c>
      <c r="AF205" s="3">
        <f>(I205*Y205)/10</f>
        <v>285896120125</v>
      </c>
      <c r="AG205">
        <f>IF(AND(P205&lt;=N205,L205&lt;0),IF(Q205&lt;10,"DBL10",IF(Q205&gt;=200,"DBM200",IF(Q205&gt;=150,"DBM150",IF(Q205&gt;=100,"DBM100",IF(Q205&gt;=50,"DBM50","DBM10-50"))))),0)</f>
        <v>0</v>
      </c>
      <c r="AH205">
        <f>IF(AND(P205&gt;=O205,L205&lt;0),IF(Q205&lt;10,"DAL10",IF(Q205&gt;=200,"DAM200",IF(Q205&gt;=150,"DAM150",IF(Q205&gt;=100,"DAM100",IF(Q205&gt;=50,"DAM50","DAM10-50"))))),0)</f>
        <v>0</v>
      </c>
      <c r="AI205">
        <f>IF(AND(P205&gt;=O205,L205&gt;0),IF(Q205&lt;10,"UAL10",IF(Q205&gt;=200,"UAM200",IF(Q205&gt;=150,"UAM150",IF(Q205&gt;=100,"UAM100",IF(Q205&gt;=50,"UAM50","UAM10-50"))))),0)</f>
        <v>0</v>
      </c>
      <c r="AJ205" t="s">
        <f>IF(AND(P205&lt;=N205,L205&gt;0),IF(Q205&lt;10,"UBL10",IF(Q205&gt;=200,"UBM200",IF(Q205&gt;=150,"UBM150",IF(Q205&gt;=100,"UBM100",IF(Q205&gt;=50,"UBM50","UBM10-50"))))),0)</f>
        <v>20</v>
      </c>
      <c r="AK205" t="s">
        <f>IF(Q205&lt;20,"down",IF(Q205=20,20,IF(Q205&gt;20,"up")))</f>
        <v>6</v>
      </c>
    </row>
    <row r="206" spans="1:37">
      <c r="A206">
        <f>IF(X206=1101,1101,"Error")</f>
        <v>1101</v>
      </c>
      <c r="B206" t="s">
        <f>IF(K206&lt;46.5,"down",IF(K206=46.5,"low",IF(K206=47,"high",IF(AND(K206&gt;46.5,K206&lt;47),"normal","up"))))</f>
        <v>79</v>
      </c>
      <c r="C206" t="s">
        <f>IF(K206&lt;46.5,"down",IF(K206=46.5,"low",IF(K206=47,"high",IF(AND(K206&gt;46.5,K206&lt;47),"normal","up"))))</f>
        <v>79</v>
      </c>
      <c r="D206" t="s">
        <f>IF(K206&lt;46.5,"down",IF(K206=46.5,"low",IF(K206=47,"high",IF(AND(K206&gt;46.5,K206&lt;47),"normal","up"))))</f>
        <v>79</v>
      </c>
      <c r="E206" t="s">
        <f>IF(K206&lt;44.700000000000003,"down",IF(K206=44.700000000000003,"low",IF(K206=47.549999999999997,"high",IF(AND(K206&gt;44.700000000000003,K206&lt;47.549999999999997),"normal","up"))))</f>
        <v>79</v>
      </c>
      <c r="F206" t="s">
        <f>IF(P206&lt;46.899999999999999,"PVP-down",IF(P206=46.899999999999999,46.899999999999999,IF(P206&gt;46.899999999999999,"PVP-up")))</f>
        <v>80</v>
      </c>
      <c r="G206" t="s">
        <f>IF(R206&lt;7182,"PVV-down",IF(R206=7182,7182,IF(R206&gt;7182,"PVV-up")))</f>
        <v>81</v>
      </c>
      <c r="H206" s="40">
        <f>R206/(Y206/10000)</f>
        <v>0.0056541039640263125</v>
      </c>
      <c r="I206">
        <v>46.600000000000001</v>
      </c>
      <c r="J206">
        <v>46.5</v>
      </c>
      <c r="K206">
        <v>46.549999999999997</v>
      </c>
      <c r="L206">
        <v>-0.10000000000000001</v>
      </c>
      <c r="M206">
        <v>-0.0020999999999999999</v>
      </c>
      <c r="N206">
        <v>46.5</v>
      </c>
      <c r="O206">
        <v>46.549999999999997</v>
      </c>
      <c r="P206">
        <v>46.5</v>
      </c>
      <c r="Q206">
        <v>1800</v>
      </c>
      <c r="R206">
        <v>32034</v>
      </c>
      <c r="S206">
        <v>27017</v>
      </c>
      <c r="T206" s="40">
        <f>((P206-K206)/K206)</f>
        <v>-0.0010741138560686823</v>
      </c>
      <c r="U206" s="40">
        <f>((T206*AB206)*D4)</f>
        <v>-0.10140998719391335</v>
      </c>
      <c r="V206" s="3">
        <f>IF(P206&lt;=N206,(P206*Q206*1000),0)</f>
        <v>83700000</v>
      </c>
      <c r="W206" s="3">
        <f>IF(P206&gt;=O206,(P206*Q206*1000),0)</f>
        <v>0</v>
      </c>
      <c r="X206">
        <v>1101</v>
      </c>
      <c r="Y206" s="3">
        <v>56656192040</v>
      </c>
      <c r="Z206" s="40">
        <f>((C4*AB206)/P206)/10</f>
        <v>0.18633092125496425</v>
      </c>
      <c r="AA206" s="40">
        <f>((M206*AB206)*C4)</f>
        <v>-0.18195214460547257</v>
      </c>
      <c r="AB206" s="40">
        <f>AE206/AE323</f>
        <v>0.0073874252321396378</v>
      </c>
      <c r="AC206" s="40">
        <f>AF206/AF323</f>
        <v>0.0073345282144265927</v>
      </c>
      <c r="AD206" s="3">
        <f>IF(ISNA(J206),(I206*Y206)/10,(J206*Y206)/10)</f>
        <v>263451292986</v>
      </c>
      <c r="AE206" s="3">
        <f>IF(ISNA(P206),(I206*Y206)/10,(P206*Y206)/10)</f>
        <v>263451292986</v>
      </c>
      <c r="AF206" s="3">
        <f>(I206*Y206)/10</f>
        <v>264017854906.39999</v>
      </c>
      <c r="AG206" t="s">
        <f>IF(AND(P206&lt;=N206,L206&lt;0),IF(Q206&lt;10,"DBL10",IF(Q206&gt;=200,"DBM200",IF(Q206&gt;=150,"DBM150",IF(Q206&gt;=100,"DBM100",IF(Q206&gt;=50,"DBM50","DBM10-50"))))),0)</f>
        <v>16</v>
      </c>
      <c r="AH206">
        <f>IF(AND(P206&gt;=O206,L206&lt;0),IF(Q206&lt;10,"DAL10",IF(Q206&gt;=200,"DAM200",IF(Q206&gt;=150,"DAM150",IF(Q206&gt;=100,"DAM100",IF(Q206&gt;=50,"DAM50","DAM10-50"))))),0)</f>
        <v>0</v>
      </c>
      <c r="AI206">
        <f>IF(AND(P206&gt;=O206,L206&gt;0),IF(Q206&lt;10,"UAL10",IF(Q206&gt;=200,"UAM200",IF(Q206&gt;=150,"UAM150",IF(Q206&gt;=100,"UAM100",IF(Q206&gt;=50,"UAM50","UAM10-50"))))),0)</f>
        <v>0</v>
      </c>
      <c r="AJ206">
        <f>IF(AND(P206&lt;=N206,L206&gt;0),IF(Q206&lt;10,"UBL10",IF(Q206&gt;=200,"UBM200",IF(Q206&gt;=150,"UBM150",IF(Q206&gt;=100,"UBM100",IF(Q206&gt;=50,"UBM50","UBM10-50"))))),0)</f>
        <v>0</v>
      </c>
      <c r="AK206" t="s">
        <f>IF(Q206&lt;6349,"down",IF(Q206=6349,6349,IF(Q206&gt;6349,"up")))</f>
        <v>7</v>
      </c>
    </row>
    <row r="207" spans="1:37">
      <c r="A207">
        <f>IF(X207=5871,5871,"Error")</f>
        <v>5871</v>
      </c>
      <c r="B207" t="s">
        <f>IF(K207&lt;123.5,"down",IF(K207=123.5,"low",IF(K207=126,"high",IF(AND(K207&gt;123.5,K207&lt;126),"normal","up"))))</f>
        <v>79</v>
      </c>
      <c r="C207" t="s">
        <f>IF(K207&lt;123.5,"down",IF(K207=123.5,"low",IF(K207=126,"high",IF(AND(K207&gt;123.5,K207&lt;126),"normal","up"))))</f>
        <v>79</v>
      </c>
      <c r="D207" t="s">
        <f>IF(K207&lt;123.5,"down",IF(K207=123.5,"low",IF(K207=126,"high",IF(AND(K207&gt;123.5,K207&lt;126),"normal","up"))))</f>
        <v>79</v>
      </c>
      <c r="E207" t="s">
        <f>IF(K207&lt;120.5,"down",IF(K207=120.5,"low",IF(K207=127,"high",IF(AND(K207&gt;120.5,K207&lt;127),"normal","up"))))</f>
        <v>79</v>
      </c>
      <c r="F207" t="s">
        <f>IF(P207&lt;125,"PVP-down",IF(P207=125,125,IF(P207&gt;125,"PVP-up")))</f>
        <v>80</v>
      </c>
      <c r="G207" t="s">
        <f>IF(R207&lt;1222,"PVV-down",IF(R207=1222,1222,IF(R207&gt;1222,"PVV-up")))</f>
        <v>81</v>
      </c>
      <c r="H207" s="40">
        <f>R207/(Y207/10000)</f>
        <v>0.0018648720232913307</v>
      </c>
      <c r="I207">
        <v>124</v>
      </c>
      <c r="J207">
        <v>124</v>
      </c>
      <c r="K207">
        <v>124.5</v>
      </c>
      <c r="L207">
        <v>0</v>
      </c>
      <c r="M207">
        <v>0</v>
      </c>
      <c r="N207">
        <v>124</v>
      </c>
      <c r="O207">
        <v>124.5</v>
      </c>
      <c r="P207">
        <v>124</v>
      </c>
      <c r="Q207">
        <v>392</v>
      </c>
      <c r="R207">
        <v>2576</v>
      </c>
      <c r="S207">
        <v>2437</v>
      </c>
      <c r="T207" s="40">
        <f>((P207-K207)/K207)</f>
        <v>-0.0040160642570281121</v>
      </c>
      <c r="U207" s="40">
        <f>((T207*AB207)*D4)</f>
        <v>-0.24651834162723854</v>
      </c>
      <c r="V207" s="3">
        <f>IF(P207&lt;=N207,(P207*Q207*1000),0)</f>
        <v>48608000</v>
      </c>
      <c r="W207" s="3">
        <f>IF(P207&gt;=O207,(P207*Q207*1000),0)</f>
        <v>0</v>
      </c>
      <c r="X207">
        <v>5871</v>
      </c>
      <c r="Y207" s="3">
        <v>13813280310</v>
      </c>
      <c r="Z207" s="40">
        <f>((C4*AB207)/P207)/10</f>
        <v>0.045429125273689294</v>
      </c>
      <c r="AA207" s="40">
        <f>((M207*AB207)*C4)</f>
        <v>0</v>
      </c>
      <c r="AB207" s="40">
        <f>AE207/AE323</f>
        <v>0.0048029854849718509</v>
      </c>
      <c r="AC207" s="40">
        <f>AF207/AF323</f>
        <v>0.004758361089336605</v>
      </c>
      <c r="AD207" s="3">
        <f>IF(ISNA(J207),(I207*Y207)/10,(J207*Y207)/10)</f>
        <v>171284675844</v>
      </c>
      <c r="AE207" s="3">
        <f>IF(ISNA(P207),(I207*Y207)/10,(P207*Y207)/10)</f>
        <v>171284675844</v>
      </c>
      <c r="AF207" s="3">
        <f>(I207*Y207)/10</f>
        <v>171284675844</v>
      </c>
      <c r="AG207">
        <f>IF(AND(P207&lt;=N207,L207&lt;0),IF(Q207&lt;10,"DBL10",IF(Q207&gt;=200,"DBM200",IF(Q207&gt;=150,"DBM150",IF(Q207&gt;=100,"DBM100",IF(Q207&gt;=50,"DBM50","DBM10-50"))))),0)</f>
        <v>0</v>
      </c>
      <c r="AH207">
        <f>IF(AND(P207&gt;=O207,L207&lt;0),IF(Q207&lt;10,"DAL10",IF(Q207&gt;=200,"DAM200",IF(Q207&gt;=150,"DAM150",IF(Q207&gt;=100,"DAM100",IF(Q207&gt;=50,"DAM50","DAM10-50"))))),0)</f>
        <v>0</v>
      </c>
      <c r="AI207">
        <f>IF(AND(P207&gt;=O207,L207&gt;0),IF(Q207&lt;10,"UAL10",IF(Q207&gt;=200,"UAM200",IF(Q207&gt;=150,"UAM150",IF(Q207&gt;=100,"UAM100",IF(Q207&gt;=50,"UAM50","UAM10-50"))))),0)</f>
        <v>0</v>
      </c>
      <c r="AJ207">
        <f>IF(AND(P207&lt;=N207,L207&gt;0),IF(Q207&lt;10,"UBL10",IF(Q207&gt;=200,"UBM200",IF(Q207&gt;=150,"UBM150",IF(Q207&gt;=100,"UBM100",IF(Q207&gt;=50,"UBM50","UBM10-50"))))),0)</f>
        <v>0</v>
      </c>
      <c r="AK207" t="s">
        <f>IF(Q207&lt;87,"down",IF(Q207=87,87,IF(Q207&gt;87,"up")))</f>
        <v>6</v>
      </c>
    </row>
    <row r="208" spans="1:37">
      <c r="A208">
        <f>IF(X208=1402,1402,"Error")</f>
        <v>1402</v>
      </c>
      <c r="B208" t="s">
        <f>IF(K208&lt;26.300000000000001,"down",IF(K208=26.300000000000001,"low",IF(K208=26.5,"high",IF(AND(K208&gt;26.300000000000001,K208&lt;26.5),"normal","up"))))</f>
        <v>79</v>
      </c>
      <c r="C208" t="s">
        <f>IF(K208&lt;26.300000000000001,"down",IF(K208=26.300000000000001,"low",IF(K208=26.5,"high",IF(AND(K208&gt;26.300000000000001,K208&lt;26.5),"normal","up"))))</f>
        <v>79</v>
      </c>
      <c r="D208" t="s">
        <f>IF(K208&lt;26.300000000000001,"down",IF(K208=26.300000000000001,"low",IF(K208=26.5,"high",IF(AND(K208&gt;26.300000000000001,K208&lt;26.5),"normal","up"))))</f>
        <v>79</v>
      </c>
      <c r="E208" t="s">
        <f>IF(K208&lt;25.300000000000001,"down",IF(K208=25.300000000000001,"low",IF(K208=26.600000000000001,"high",IF(AND(K208&gt;25.300000000000001,K208&lt;26.600000000000001),"normal","up"))))</f>
        <v>79</v>
      </c>
      <c r="F208" t="s">
        <f>IF(P208&lt;26.350000000000001,"PVP-down",IF(P208=26.350000000000001,26.350000000000001,IF(P208&gt;26.350000000000001,"PVP-up")))</f>
        <v>80</v>
      </c>
      <c r="G208" t="s">
        <f>IF(R208&lt;1829,"PVV-down",IF(R208=1829,1829,IF(R208&gt;1829,"PVV-up")))</f>
        <v>81</v>
      </c>
      <c r="H208" s="40">
        <f>R208/(Y208/10000)</f>
        <v>0.0010784858146666455</v>
      </c>
      <c r="I208">
        <v>26.449999999999999</v>
      </c>
      <c r="J208">
        <v>26.050000000000001</v>
      </c>
      <c r="K208">
        <v>26.399999999999999</v>
      </c>
      <c r="L208">
        <v>-0.40000000000000002</v>
      </c>
      <c r="M208">
        <v>-0.015100000000000001</v>
      </c>
      <c r="N208">
        <v>26.050000000000001</v>
      </c>
      <c r="O208">
        <v>26.199999999999999</v>
      </c>
      <c r="P208">
        <v>26.050000000000001</v>
      </c>
      <c r="Q208">
        <v>503</v>
      </c>
      <c r="R208">
        <v>5773</v>
      </c>
      <c r="S208">
        <v>5184</v>
      </c>
      <c r="T208" s="40">
        <f>((P208-K208)/K208)</f>
        <v>-0.013257575757575678</v>
      </c>
      <c r="U208" s="40">
        <f>((T208*AB208)*D4)</f>
        <v>-0.66250481633979741</v>
      </c>
      <c r="V208" s="3">
        <f>IF(P208&lt;=N208,(P208*Q208*1000),0)</f>
        <v>13103150</v>
      </c>
      <c r="W208" s="3">
        <f>IF(P208&gt;=O208,(P208*Q208*1000),0)</f>
        <v>0</v>
      </c>
      <c r="X208">
        <v>1402</v>
      </c>
      <c r="Y208" s="3">
        <v>53528752270</v>
      </c>
      <c r="Z208" s="40">
        <f>((C4*AB208)/P208)/10</f>
        <v>0.17604539530394211</v>
      </c>
      <c r="AA208" s="40">
        <f>((M208*AB208)*C4)</f>
        <v>-0.69248336469782157</v>
      </c>
      <c r="AB208" s="40">
        <f>AE208/AE323</f>
        <v>0.003910097726329523</v>
      </c>
      <c r="AC208" s="40">
        <f>AF208/AF323</f>
        <v>0.0039332511838588973</v>
      </c>
      <c r="AD208" s="3">
        <f>IF(ISNA(J208),(I208*Y208)/10,(J208*Y208)/10)</f>
        <v>139442399663.35001</v>
      </c>
      <c r="AE208" s="3">
        <f>IF(ISNA(P208),(I208*Y208)/10,(P208*Y208)/10)</f>
        <v>139442399663.35001</v>
      </c>
      <c r="AF208" s="3">
        <f>(I208*Y208)/10</f>
        <v>141583549754.14999</v>
      </c>
      <c r="AG208" t="s">
        <f>IF(AND(P208&lt;=N208,L208&lt;0),IF(Q208&lt;10,"DBL10",IF(Q208&gt;=200,"DBM200",IF(Q208&gt;=150,"DBM150",IF(Q208&gt;=100,"DBM100",IF(Q208&gt;=50,"DBM50","DBM10-50"))))),0)</f>
        <v>16</v>
      </c>
      <c r="AH208">
        <f>IF(AND(P208&gt;=O208,L208&lt;0),IF(Q208&lt;10,"DAL10",IF(Q208&gt;=200,"DAM200",IF(Q208&gt;=150,"DAM150",IF(Q208&gt;=100,"DAM100",IF(Q208&gt;=50,"DAM50","DAM10-50"))))),0)</f>
        <v>0</v>
      </c>
      <c r="AI208">
        <f>IF(AND(P208&gt;=O208,L208&gt;0),IF(Q208&lt;10,"UAL10",IF(Q208&gt;=200,"UAM200",IF(Q208&gt;=150,"UAM150",IF(Q208&gt;=100,"UAM100",IF(Q208&gt;=50,"UAM50","UAM10-50"))))),0)</f>
        <v>0</v>
      </c>
      <c r="AJ208">
        <f>IF(AND(P208&lt;=N208,L208&gt;0),IF(Q208&lt;10,"UBL10",IF(Q208&gt;=200,"UBM200",IF(Q208&gt;=150,"UBM150",IF(Q208&gt;=100,"UBM100",IF(Q208&gt;=50,"UBM50","UBM10-50"))))),0)</f>
        <v>0</v>
      </c>
      <c r="AK208" t="s">
        <f>IF(Q208&lt;62,"down",IF(Q208=62,62,IF(Q208&gt;62,"up")))</f>
        <v>6</v>
      </c>
    </row>
    <row r="209" spans="1:37">
      <c r="A209">
        <f>IF(X209=1102,1102,"Error")</f>
        <v>1102</v>
      </c>
      <c r="B209" t="s">
        <f>IF(K209&lt;41,"down",IF(K209=41,"low",IF(K209=41.350000000000001,"high",IF(AND(K209&gt;41,K209&lt;41.350000000000001),"normal","up"))))</f>
        <v>79</v>
      </c>
      <c r="C209" t="s">
        <f>IF(K209&lt;41,"down",IF(K209=41,"low",IF(K209=41.350000000000001,"high",IF(AND(K209&gt;41,K209&lt;41.350000000000001),"normal","up"))))</f>
        <v>79</v>
      </c>
      <c r="D209" t="s">
        <f>IF(K209&lt;41,"down",IF(K209=41,"low",IF(K209=41.350000000000001,"high",IF(AND(K209&gt;41,K209&lt;41.350000000000001),"normal","up"))))</f>
        <v>79</v>
      </c>
      <c r="E209" t="s">
        <f>IF(K209&lt;39.950000000000003,"down",IF(K209=39.950000000000003,"low",IF(K209=41.450000000000003,"high",IF(AND(K209&gt;39.950000000000003,K209&lt;41.450000000000003),"normal","up"))))</f>
        <v>79</v>
      </c>
      <c r="F209" t="s">
        <f>IF(P209&lt;41.100000000000001,"PVP-down",IF(P209=41.100000000000001,41.100000000000001,IF(P209&gt;41.100000000000001,"PVP-up")))</f>
        <v>80</v>
      </c>
      <c r="G209" t="s">
        <f>IF(R209&lt;1704,"PVV-down",IF(R209=1704,1704,IF(R209&gt;1704,"PVV-up")))</f>
        <v>81</v>
      </c>
      <c r="H209" s="40">
        <f>R209/(Y209/10000)</f>
        <v>0.0012905155858408341</v>
      </c>
      <c r="I209">
        <v>41.200000000000003</v>
      </c>
      <c r="J209">
        <v>40.950000000000003</v>
      </c>
      <c r="K209">
        <v>41.200000000000003</v>
      </c>
      <c r="L209">
        <v>-0.25</v>
      </c>
      <c r="M209">
        <v>-0.0061000000000000004</v>
      </c>
      <c r="N209">
        <v>40.950000000000003</v>
      </c>
      <c r="O209">
        <v>41</v>
      </c>
      <c r="P209">
        <v>40.950000000000003</v>
      </c>
      <c r="Q209">
        <v>551</v>
      </c>
      <c r="R209">
        <v>4338</v>
      </c>
      <c r="S209">
        <v>5731</v>
      </c>
      <c r="T209" s="40">
        <f>((P209-K209)/K209)</f>
        <v>-0.0060679611650485436</v>
      </c>
      <c r="U209" s="40">
        <f>((T209*AB209)*D4)</f>
        <v>-0.29933194449068745</v>
      </c>
      <c r="V209" s="3">
        <f>IF(P209&lt;=N209,(P209*Q209*1000),0)</f>
        <v>22563450</v>
      </c>
      <c r="W209" s="3">
        <f>IF(P209&gt;=O209,(P209*Q209*1000),0)</f>
        <v>0</v>
      </c>
      <c r="X209">
        <v>1102</v>
      </c>
      <c r="Y209" s="3">
        <v>33614471980</v>
      </c>
      <c r="Z209" s="40">
        <f>((C4*AB209)/P209)/10</f>
        <v>0.11055129732528671</v>
      </c>
      <c r="AA209" s="40">
        <f>((M209*AB209)*C4)</f>
        <v>-0.27615161315369996</v>
      </c>
      <c r="AB209" s="40">
        <f>AE209/AE323</f>
        <v>0.0038598725411801618</v>
      </c>
      <c r="AC209" s="40">
        <f>AF209/AF323</f>
        <v>0.0038473561878593575</v>
      </c>
      <c r="AD209" s="3">
        <f>IF(ISNA(J209),(I209*Y209)/10,(J209*Y209)/10)</f>
        <v>137651262758.10001</v>
      </c>
      <c r="AE209" s="3">
        <f>IF(ISNA(P209),(I209*Y209)/10,(P209*Y209)/10)</f>
        <v>137651262758.10001</v>
      </c>
      <c r="AF209" s="3">
        <f>(I209*Y209)/10</f>
        <v>138491624557.60001</v>
      </c>
      <c r="AG209" t="s">
        <f>IF(AND(P209&lt;=N209,L209&lt;0),IF(Q209&lt;10,"DBL10",IF(Q209&gt;=200,"DBM200",IF(Q209&gt;=150,"DBM150",IF(Q209&gt;=100,"DBM100",IF(Q209&gt;=50,"DBM50","DBM10-50"))))),0)</f>
        <v>16</v>
      </c>
      <c r="AH209">
        <f>IF(AND(P209&gt;=O209,L209&lt;0),IF(Q209&lt;10,"DAL10",IF(Q209&gt;=200,"DAM200",IF(Q209&gt;=150,"DAM150",IF(Q209&gt;=100,"DAM100",IF(Q209&gt;=50,"DAM50","DAM10-50"))))),0)</f>
        <v>0</v>
      </c>
      <c r="AI209">
        <f>IF(AND(P209&gt;=O209,L209&gt;0),IF(Q209&lt;10,"UAL10",IF(Q209&gt;=200,"UAM200",IF(Q209&gt;=150,"UAM150",IF(Q209&gt;=100,"UAM100",IF(Q209&gt;=50,"UAM50","UAM10-50"))))),0)</f>
        <v>0</v>
      </c>
      <c r="AJ209">
        <f>IF(AND(P209&lt;=N209,L209&gt;0),IF(Q209&lt;10,"UBL10",IF(Q209&gt;=200,"UBM200",IF(Q209&gt;=150,"UBM150",IF(Q209&gt;=100,"UBM100",IF(Q209&gt;=50,"UBM50","UBM10-50"))))),0)</f>
        <v>0</v>
      </c>
      <c r="AK209" t="s">
        <f>IF(Q209&lt;12,"down",IF(Q209=12,12,IF(Q209&gt;12,"up")))</f>
        <v>6</v>
      </c>
    </row>
    <row r="210" spans="1:37">
      <c r="A210">
        <f>IF(X210=9910,9910,"Error")</f>
        <v>9910</v>
      </c>
      <c r="B210" t="s">
        <f>IF(K210&lt;188,"down",IF(K210=188,"low",IF(K210=191.5,"high",IF(AND(K210&gt;188,K210&lt;191.5),"normal","up"))))</f>
        <v>82</v>
      </c>
      <c r="C210" t="s">
        <f>IF(K210&lt;188,"down",IF(K210=188,"low",IF(K210=191.5,"high",IF(AND(K210&gt;188,K210&lt;191.5),"normal","up"))))</f>
        <v>82</v>
      </c>
      <c r="D210" t="s">
        <f>IF(K210&lt;188,"down",IF(K210=188,"low",IF(K210=191.5,"high",IF(AND(K210&gt;188,K210&lt;191.5),"normal","up"))))</f>
        <v>82</v>
      </c>
      <c r="E210" t="s">
        <f>IF(K210&lt;176.5,"down",IF(K210=176.5,"low",IF(K210=196,"high",IF(AND(K210&gt;176.5,K210&lt;196),"normal","up"))))</f>
        <v>79</v>
      </c>
      <c r="F210" t="s">
        <f>IF(P210&lt;190.5,"PVP-down",IF(P210=190.5,190.5,IF(P210&gt;190.5,"PVP-up")))</f>
        <v>80</v>
      </c>
      <c r="G210" t="s">
        <f>IF(R210&lt;202,"PVV-down",IF(R210=202,202,IF(R210&gt;202,"PVV-up")))</f>
        <v>81</v>
      </c>
      <c r="H210" s="40">
        <f>R210/(Y210/10000)</f>
        <v>0.0020252220473255768</v>
      </c>
      <c r="I210">
        <v>188.5</v>
      </c>
      <c r="J210">
        <v>189.5</v>
      </c>
      <c r="K210">
        <v>188</v>
      </c>
      <c r="L210">
        <v>1</v>
      </c>
      <c r="M210">
        <v>0.0053</v>
      </c>
      <c r="N210">
        <v>189.5</v>
      </c>
      <c r="O210">
        <v>190</v>
      </c>
      <c r="P210">
        <v>189.5</v>
      </c>
      <c r="Q210">
        <v>113</v>
      </c>
      <c r="R210">
        <v>1488</v>
      </c>
      <c r="S210">
        <v>1015</v>
      </c>
      <c r="T210" s="40">
        <f>((P210-K210)/K210)</f>
        <v>0.0079787234042553185</v>
      </c>
      <c r="U210" s="40">
        <f>((T210*AB210)*D4)</f>
        <v>0.39810990514438871</v>
      </c>
      <c r="V210" s="3">
        <f>IF(P210&lt;=N210,(P210*Q210*1000),0)</f>
        <v>21413500</v>
      </c>
      <c r="W210" s="3">
        <f>IF(P210&gt;=O210,(P210*Q210*1000),0)</f>
        <v>0</v>
      </c>
      <c r="X210">
        <v>9910</v>
      </c>
      <c r="Y210" s="3">
        <v>7347342490</v>
      </c>
      <c r="Z210" s="40">
        <f>((C4*AB210)/P210)/10</f>
        <v>0.024163944763016993</v>
      </c>
      <c r="AA210" s="40">
        <f>((M210*AB210)*C4)</f>
        <v>0.24269057922736115</v>
      </c>
      <c r="AB210" s="40">
        <f>AE210/AE323</f>
        <v>0.0039042018502669666</v>
      </c>
      <c r="AC210" s="40">
        <f>AF210/AF323</f>
        <v>0.0038475167970222317</v>
      </c>
      <c r="AD210" s="3">
        <f>IF(ISNA(J210),(I210*Y210)/10,(J210*Y210)/10)</f>
        <v>139232140185.5</v>
      </c>
      <c r="AE210" s="3">
        <f>IF(ISNA(P210),(I210*Y210)/10,(P210*Y210)/10)</f>
        <v>139232140185.5</v>
      </c>
      <c r="AF210" s="3">
        <f>(I210*Y210)/10</f>
        <v>138497405936.5</v>
      </c>
      <c r="AG210">
        <f>IF(AND(P210&lt;=N210,L210&lt;0),IF(Q210&lt;10,"DBL10",IF(Q210&gt;=200,"DBM200",IF(Q210&gt;=150,"DBM150",IF(Q210&gt;=100,"DBM100",IF(Q210&gt;=50,"DBM50","DBM10-50"))))),0)</f>
        <v>0</v>
      </c>
      <c r="AH210">
        <f>IF(AND(P210&gt;=O210,L210&lt;0),IF(Q210&lt;10,"DAL10",IF(Q210&gt;=200,"DAM200",IF(Q210&gt;=150,"DAM150",IF(Q210&gt;=100,"DAM100",IF(Q210&gt;=50,"DAM50","DAM10-50"))))),0)</f>
        <v>0</v>
      </c>
      <c r="AI210">
        <f>IF(AND(P210&gt;=O210,L210&gt;0),IF(Q210&lt;10,"UAL10",IF(Q210&gt;=200,"UAM200",IF(Q210&gt;=150,"UAM150",IF(Q210&gt;=100,"UAM100",IF(Q210&gt;=50,"UAM50","UAM10-50"))))),0)</f>
        <v>0</v>
      </c>
      <c r="AJ210" t="s">
        <f>IF(AND(P210&lt;=N210,L210&gt;0),IF(Q210&lt;10,"UBL10",IF(Q210&gt;=200,"UBM200",IF(Q210&gt;=150,"UBM150",IF(Q210&gt;=100,"UBM100",IF(Q210&gt;=50,"UBM50","UBM10-50"))))),0)</f>
        <v>19</v>
      </c>
      <c r="AK210" t="s">
        <f>IF(Q210&lt;15,"down",IF(Q210=15,15,IF(Q210&gt;15,"up")))</f>
        <v>6</v>
      </c>
    </row>
    <row r="211" spans="1:37">
      <c r="A211">
        <f>IF(X211=1590,1590,"Error")</f>
        <v>1590</v>
      </c>
      <c r="B211" t="s">
        <f>IF(K211&lt;642,"down",IF(K211=642,"low",IF(K211=665,"high",IF(AND(K211&gt;642,K211&lt;665),"normal","up"))))</f>
        <v>7</v>
      </c>
      <c r="C211" t="s">
        <f>IF(K211&lt;642,"down",IF(K211=642,"low",IF(K211=665,"high",IF(AND(K211&gt;642,K211&lt;665),"normal","up"))))</f>
        <v>7</v>
      </c>
      <c r="D211" t="s">
        <f>IF(K211&lt;642,"down",IF(K211=642,"low",IF(K211=665,"high",IF(AND(K211&gt;642,K211&lt;665),"normal","up"))))</f>
        <v>7</v>
      </c>
      <c r="E211" t="s">
        <f>IF(K211&lt;601,"down",IF(K211=601,"low",IF(K211=682,"high",IF(AND(K211&gt;601,K211&lt;682),"normal","up"))))</f>
        <v>79</v>
      </c>
      <c r="F211" t="s">
        <f>IF(P211&lt;643,"PVP-down",IF(P211=643,643,IF(P211&gt;643,"PVP-up")))</f>
        <v>83</v>
      </c>
      <c r="G211" t="s">
        <f>IF(R211&lt;155,"PVV-down",IF(R211=155,155,IF(R211&gt;155,"PVV-up")))</f>
        <v>81</v>
      </c>
      <c r="H211" s="40">
        <f>R211/(Y211/10000)</f>
        <v>0.0066023013527554703</v>
      </c>
      <c r="I211">
        <v>643</v>
      </c>
      <c r="J211">
        <v>667</v>
      </c>
      <c r="K211">
        <v>639</v>
      </c>
      <c r="L211">
        <v>22</v>
      </c>
      <c r="M211">
        <v>0.034200000000000001</v>
      </c>
      <c r="N211">
        <v>664</v>
      </c>
      <c r="O211">
        <v>665</v>
      </c>
      <c r="P211">
        <v>665</v>
      </c>
      <c r="Q211">
        <v>101</v>
      </c>
      <c r="R211">
        <v>1248</v>
      </c>
      <c r="S211">
        <v>1207</v>
      </c>
      <c r="T211" s="40">
        <f>((P211-K211)/K211)</f>
        <v>0.040688575899843503</v>
      </c>
      <c r="U211" s="40">
        <f>((T211*AB211)*D4)</f>
        <v>1.8329197537866386</v>
      </c>
      <c r="V211" s="3">
        <f>IF(P211&lt;=N211,(P211*Q211*1000),0)</f>
        <v>0</v>
      </c>
      <c r="W211" s="3">
        <f>IF(P211&gt;=O211,(P211*Q211*1000),0)</f>
        <v>67165000</v>
      </c>
      <c r="X211">
        <v>1590</v>
      </c>
      <c r="Y211" s="3">
        <v>1890249980</v>
      </c>
      <c r="Z211" s="40">
        <f>((C4*AB211)/P211)/10</f>
        <v>0.0062166553644641626</v>
      </c>
      <c r="AA211" s="40">
        <f>((M211*AB211)*C4)</f>
        <v>1.4138539295400845</v>
      </c>
      <c r="AB211" s="40">
        <f>AE211/AE323</f>
        <v>0.0035247932773289758</v>
      </c>
      <c r="AC211" s="40">
        <f>AF211/AF323</f>
        <v>0.0033765182424480584</v>
      </c>
      <c r="AD211" s="3">
        <f>IF(ISNA(J211),(I211*Y211)/10,(J211*Y211)/10)</f>
        <v>126079673666</v>
      </c>
      <c r="AE211" s="3">
        <f>IF(ISNA(P211),(I211*Y211)/10,(P211*Y211)/10)</f>
        <v>125701623670</v>
      </c>
      <c r="AF211" s="3">
        <f>(I211*Y211)/10</f>
        <v>121543073714</v>
      </c>
      <c r="AG211">
        <f>IF(AND(P211&lt;=N211,L211&lt;0),IF(Q211&lt;10,"DBL10",IF(Q211&gt;=200,"DBM200",IF(Q211&gt;=150,"DBM150",IF(Q211&gt;=100,"DBM100",IF(Q211&gt;=50,"DBM50","DBM10-50"))))),0)</f>
        <v>0</v>
      </c>
      <c r="AH211">
        <f>IF(AND(P211&gt;=O211,L211&lt;0),IF(Q211&lt;10,"DAL10",IF(Q211&gt;=200,"DAM200",IF(Q211&gt;=150,"DAM150",IF(Q211&gt;=100,"DAM100",IF(Q211&gt;=50,"DAM50","DAM10-50"))))),0)</f>
        <v>0</v>
      </c>
      <c r="AI211" t="s">
        <f>IF(AND(P211&gt;=O211,L211&gt;0),IF(Q211&lt;10,"UAL10",IF(Q211&gt;=200,"UAM200",IF(Q211&gt;=150,"UAM150",IF(Q211&gt;=100,"UAM100",IF(Q211&gt;=50,"UAM50","UAM10-50"))))),0)</f>
        <v>29</v>
      </c>
      <c r="AJ211">
        <f>IF(AND(P211&lt;=N211,L211&gt;0),IF(Q211&lt;10,"UBL10",IF(Q211&gt;=200,"UBM200",IF(Q211&gt;=150,"UBM150",IF(Q211&gt;=100,"UBM100",IF(Q211&gt;=50,"UBM50","UBM10-50"))))),0)</f>
        <v>0</v>
      </c>
      <c r="AK211" t="s">
        <f>IF(Q211&lt;17,"down",IF(Q211=17,17,IF(Q211&gt;17,"up")))</f>
        <v>6</v>
      </c>
    </row>
    <row r="212" spans="1:37">
      <c r="A212">
        <f>IF(X212=9921,9921,"Error")</f>
        <v>9921</v>
      </c>
      <c r="B212" t="s">
        <f>IF(K212&lt;303.5,"down",IF(K212=303.5,"low",IF(K212=313,"high",IF(AND(K212&gt;303.5,K212&lt;313),"normal","up"))))</f>
        <v>82</v>
      </c>
      <c r="C212" t="s">
        <f>IF(K212&lt;303.5,"down",IF(K212=303.5,"low",IF(K212=313,"high",IF(AND(K212&gt;303.5,K212&lt;313),"normal","up"))))</f>
        <v>82</v>
      </c>
      <c r="D212" t="s">
        <f>IF(K212&lt;303.5,"down",IF(K212=303.5,"low",IF(K212=313,"high",IF(AND(K212&gt;303.5,K212&lt;313),"normal","up"))))</f>
        <v>82</v>
      </c>
      <c r="E212" t="s">
        <f>IF(K212&lt;303.5,"down",IF(K212=303.5,"low",IF(K212=328,"high",IF(AND(K212&gt;303.5,K212&lt;328),"normal","up"))))</f>
        <v>82</v>
      </c>
      <c r="F212" t="s">
        <f>IF(P212&lt;308,"PVP-down",IF(P212=308,308,IF(P212&gt;308,"PVP-up")))</f>
        <v>80</v>
      </c>
      <c r="G212" t="s">
        <f>IF(R212&lt;379,"PVV-down",IF(R212=379,379,IF(R212&gt;379,"PVV-up")))</f>
        <v>81</v>
      </c>
      <c r="H212" s="40">
        <f>R212/(Y212/10000)</f>
        <v>0.0059829689190683639</v>
      </c>
      <c r="I212">
        <v>308.5</v>
      </c>
      <c r="J212">
        <v>301</v>
      </c>
      <c r="K212">
        <v>303.5</v>
      </c>
      <c r="L212">
        <v>-7.5</v>
      </c>
      <c r="M212">
        <v>-0.024299999999999999</v>
      </c>
      <c r="N212">
        <v>301</v>
      </c>
      <c r="O212">
        <v>301.5</v>
      </c>
      <c r="P212">
        <v>301</v>
      </c>
      <c r="Q212">
        <v>121</v>
      </c>
      <c r="R212">
        <v>2244</v>
      </c>
      <c r="S212">
        <v>1929</v>
      </c>
      <c r="T212" s="40">
        <f>((P212-K212)/K212)</f>
        <v>-0.0082372322899505763</v>
      </c>
      <c r="U212" s="40">
        <f>((T212*AB212)*D4)</f>
        <v>-0.33326061327613232</v>
      </c>
      <c r="V212" s="3">
        <f>IF(P212&lt;=N212,(P212*Q212*1000),0)</f>
        <v>36421000</v>
      </c>
      <c r="W212" s="3">
        <f>IF(P212&gt;=O212,(P212*Q212*1000),0)</f>
        <v>0</v>
      </c>
      <c r="X212">
        <v>9921</v>
      </c>
      <c r="Y212" s="3">
        <v>3750646260</v>
      </c>
      <c r="Z212" s="40">
        <f>((C4*AB212)/P212)/10</f>
        <v>0.012335127860938501</v>
      </c>
      <c r="AA212" s="40">
        <f>((M212*AB212)*C4)</f>
        <v>-0.90222825713262478</v>
      </c>
      <c r="AB212" s="40">
        <f>AE212/AE323</f>
        <v>0.0031656679948985473</v>
      </c>
      <c r="AC212" s="40">
        <f>AF212/AF323</f>
        <v>0.0032144017778033742</v>
      </c>
      <c r="AD212" s="3">
        <f>IF(ISNA(J212),(I212*Y212)/10,(J212*Y212)/10)</f>
        <v>112894452426</v>
      </c>
      <c r="AE212" s="3">
        <f>IF(ISNA(P212),(I212*Y212)/10,(P212*Y212)/10)</f>
        <v>112894452426</v>
      </c>
      <c r="AF212" s="3">
        <f>(I212*Y212)/10</f>
        <v>115707437121</v>
      </c>
      <c r="AG212" t="s">
        <f>IF(AND(P212&lt;=N212,L212&lt;0),IF(Q212&lt;10,"DBL10",IF(Q212&gt;=200,"DBM200",IF(Q212&gt;=150,"DBM150",IF(Q212&gt;=100,"DBM100",IF(Q212&gt;=50,"DBM50","DBM10-50"))))),0)</f>
        <v>14</v>
      </c>
      <c r="AH212">
        <f>IF(AND(P212&gt;=O212,L212&lt;0),IF(Q212&lt;10,"DAL10",IF(Q212&gt;=200,"DAM200",IF(Q212&gt;=150,"DAM150",IF(Q212&gt;=100,"DAM100",IF(Q212&gt;=50,"DAM50","DAM10-50"))))),0)</f>
        <v>0</v>
      </c>
      <c r="AI212">
        <f>IF(AND(P212&gt;=O212,L212&gt;0),IF(Q212&lt;10,"UAL10",IF(Q212&gt;=200,"UAM200",IF(Q212&gt;=150,"UAM150",IF(Q212&gt;=100,"UAM100",IF(Q212&gt;=50,"UAM50","UAM10-50"))))),0)</f>
        <v>0</v>
      </c>
      <c r="AJ212">
        <f>IF(AND(P212&lt;=N212,L212&gt;0),IF(Q212&lt;10,"UBL10",IF(Q212&gt;=200,"UBM200",IF(Q212&gt;=150,"UBM150",IF(Q212&gt;=100,"UBM100",IF(Q212&gt;=50,"UBM50","UBM10-50"))))),0)</f>
        <v>0</v>
      </c>
      <c r="AK212" t="s">
        <f>IF(Q212&lt;10,"down",IF(Q212=10,10,IF(Q212&gt;10,"up")))</f>
        <v>6</v>
      </c>
    </row>
    <row r="213" spans="1:37">
      <c r="A213">
        <f>IF(X213=2105,2105,"Error")</f>
        <v>2105</v>
      </c>
      <c r="B213" t="s">
        <f>IF(K213&lt;35.25,"down",IF(K213=35.25,"low",IF(K213=35.850000000000001,"high",IF(AND(K213&gt;35.25,K213&lt;35.850000000000001),"normal","up"))))</f>
        <v>79</v>
      </c>
      <c r="C213" t="s">
        <f>IF(K213&lt;35.25,"down",IF(K213=35.25,"low",IF(K213=35.850000000000001,"high",IF(AND(K213&gt;35.25,K213&lt;35.850000000000001),"normal","up"))))</f>
        <v>79</v>
      </c>
      <c r="D213" t="s">
        <f>IF(K213&lt;35.25,"down",IF(K213=35.25,"low",IF(K213=35.850000000000001,"high",IF(AND(K213&gt;35.25,K213&lt;35.850000000000001),"normal","up"))))</f>
        <v>79</v>
      </c>
      <c r="E213" t="s">
        <f>IF(K213&lt;33.600000000000001,"down",IF(K213=33.600000000000001,"low",IF(K213=36.950000000000003,"high",IF(AND(K213&gt;33.600000000000001,K213&lt;36.950000000000003),"normal","up"))))</f>
        <v>79</v>
      </c>
      <c r="F213" t="s">
        <f>IF(P213&lt;35.450000000000003,"PVP-down",IF(P213=35.450000000000003,35.450000000000003,IF(P213&gt;35.450000000000003,"PVP-up")))</f>
        <v>83</v>
      </c>
      <c r="G213" t="s">
        <f>IF(R213&lt;407,"PVV-down",IF(R213=407,407,IF(R213&gt;407,"PVV-up")))</f>
        <v>81</v>
      </c>
      <c r="H213" s="40">
        <f>R213/(Y213/10000)</f>
        <v>0.0041136348770804436</v>
      </c>
      <c r="I213">
        <v>35.399999999999999</v>
      </c>
      <c r="J213">
        <v>36.649999999999999</v>
      </c>
      <c r="K213">
        <v>35.700000000000003</v>
      </c>
      <c r="L213">
        <v>1.25</v>
      </c>
      <c r="M213">
        <v>0.035299999999999998</v>
      </c>
      <c r="N213">
        <v>36.600000000000001</v>
      </c>
      <c r="O213">
        <v>36.649999999999999</v>
      </c>
      <c r="P213">
        <v>36.649999999999999</v>
      </c>
      <c r="Q213">
        <v>683</v>
      </c>
      <c r="R213">
        <v>13334</v>
      </c>
      <c r="S213">
        <v>2630</v>
      </c>
      <c r="T213" s="40">
        <f>((P213-K213)/K213)</f>
        <v>0.026610644257702959</v>
      </c>
      <c r="U213" s="40">
        <f>((T213*AB213)*D4)</f>
        <v>1.1329067176406129</v>
      </c>
      <c r="V213" s="3">
        <f>IF(P213&lt;=N213,(P213*Q213*1000),0)</f>
        <v>0</v>
      </c>
      <c r="W213" s="3">
        <f>IF(P213&gt;=O213,(P213*Q213*1000),0)</f>
        <v>25031950</v>
      </c>
      <c r="X213">
        <v>2105</v>
      </c>
      <c r="Y213" s="3">
        <v>32414155360</v>
      </c>
      <c r="Z213" s="40">
        <f>((C4*AB213)/P213)/10</f>
        <v>0.10660369524422308</v>
      </c>
      <c r="AA213" s="40">
        <f>((M213*AB213)*C4)</f>
        <v>1.3791799770373738</v>
      </c>
      <c r="AB213" s="40">
        <f>AE213/AE323</f>
        <v>0.0033312057109907939</v>
      </c>
      <c r="AC213" s="40">
        <f>AF213/AF323</f>
        <v>0.0031876957011157513</v>
      </c>
      <c r="AD213" s="3">
        <f>IF(ISNA(J213),(I213*Y213)/10,(J213*Y213)/10)</f>
        <v>118797879394.39999</v>
      </c>
      <c r="AE213" s="3">
        <f>IF(ISNA(P213),(I213*Y213)/10,(P213*Y213)/10)</f>
        <v>118797879394.39999</v>
      </c>
      <c r="AF213" s="3">
        <f>(I213*Y213)/10</f>
        <v>114746109974.39999</v>
      </c>
      <c r="AG213">
        <f>IF(AND(P213&lt;=N213,L213&lt;0),IF(Q213&lt;10,"DBL10",IF(Q213&gt;=200,"DBM200",IF(Q213&gt;=150,"DBM150",IF(Q213&gt;=100,"DBM100",IF(Q213&gt;=50,"DBM50","DBM10-50"))))),0)</f>
        <v>0</v>
      </c>
      <c r="AH213">
        <f>IF(AND(P213&gt;=O213,L213&lt;0),IF(Q213&lt;10,"DAL10",IF(Q213&gt;=200,"DAM200",IF(Q213&gt;=150,"DAM150",IF(Q213&gt;=100,"DAM100",IF(Q213&gt;=50,"DAM50","DAM10-50"))))),0)</f>
        <v>0</v>
      </c>
      <c r="AI213" t="s">
        <f>IF(AND(P213&gt;=O213,L213&gt;0),IF(Q213&lt;10,"UAL10",IF(Q213&gt;=200,"UAM200",IF(Q213&gt;=150,"UAM150",IF(Q213&gt;=100,"UAM100",IF(Q213&gt;=50,"UAM50","UAM10-50"))))),0)</f>
        <v>31</v>
      </c>
      <c r="AJ213">
        <f>IF(AND(P213&lt;=N213,L213&gt;0),IF(Q213&lt;10,"UBL10",IF(Q213&gt;=200,"UBM200",IF(Q213&gt;=150,"UBM150",IF(Q213&gt;=100,"UBM100",IF(Q213&gt;=50,"UBM50","UBM10-50"))))),0)</f>
        <v>0</v>
      </c>
      <c r="AK213" t="s">
        <f>IF(Q213&lt;57,"down",IF(Q213=57,57,IF(Q213&gt;57,"up")))</f>
        <v>6</v>
      </c>
    </row>
    <row r="214" spans="1:37">
      <c r="A214">
        <f>IF(X214=2049,2049,"Error")</f>
        <v>2049</v>
      </c>
      <c r="B214" t="s">
        <f>IF(K214&lt;306.5,"down",IF(K214=306.5,"low",IF(K214=312.5,"high",IF(AND(K214&gt;306.5,K214&lt;312.5),"normal","up"))))</f>
        <v>79</v>
      </c>
      <c r="C214" t="s">
        <f>IF(K214&lt;306.5,"down",IF(K214=306.5,"low",IF(K214=312.5,"high",IF(AND(K214&gt;306.5,K214&lt;312.5),"normal","up"))))</f>
        <v>79</v>
      </c>
      <c r="D214" t="s">
        <f>IF(K214&lt;306.5,"down",IF(K214=306.5,"low",IF(K214=312.5,"high",IF(AND(K214&gt;306.5,K214&lt;312.5),"normal","up"))))</f>
        <v>79</v>
      </c>
      <c r="E214" t="s">
        <f>IF(K214&lt;303,"down",IF(K214=303,"low",IF(K214=328.5,"high",IF(AND(K214&gt;303,K214&lt;328.5),"normal","up"))))</f>
        <v>79</v>
      </c>
      <c r="F214" t="s">
        <f>IF(P214&lt;310,"PVP-down",IF(P214=310,310,IF(P214&gt;310,"PVP-up")))</f>
        <v>83</v>
      </c>
      <c r="G214" t="s">
        <f>IF(R214&lt;377,"PVV-down",IF(R214=377,377,IF(R214&gt;377,"PVV-up")))</f>
        <v>81</v>
      </c>
      <c r="H214" s="40">
        <f>R214/(Y214/10000)</f>
        <v>0.0058595727358486584</v>
      </c>
      <c r="I214">
        <v>310</v>
      </c>
      <c r="J214">
        <v>313</v>
      </c>
      <c r="K214">
        <v>311</v>
      </c>
      <c r="L214">
        <v>3</v>
      </c>
      <c r="M214">
        <v>0.0097000000000000003</v>
      </c>
      <c r="N214">
        <v>312.5</v>
      </c>
      <c r="O214">
        <v>313</v>
      </c>
      <c r="P214">
        <v>313</v>
      </c>
      <c r="Q214">
        <v>185</v>
      </c>
      <c r="R214">
        <v>1814</v>
      </c>
      <c r="S214">
        <v>2056</v>
      </c>
      <c r="T214" s="40">
        <f>((P214-K214)/K214)</f>
        <v>0.0064308681672025723</v>
      </c>
      <c r="U214" s="40">
        <f>((T214*AB214)*D4)</f>
        <v>0.2233136920339418</v>
      </c>
      <c r="V214" s="3">
        <f>IF(P214&lt;=N214,(P214*Q214*1000),0)</f>
        <v>0</v>
      </c>
      <c r="W214" s="3">
        <f>IF(P214&gt;=O214,(P214*Q214*1000),0)</f>
        <v>57905000</v>
      </c>
      <c r="X214">
        <v>2049</v>
      </c>
      <c r="Y214" s="3">
        <v>3095788860</v>
      </c>
      <c r="Z214" s="40">
        <f>((C4*AB214)/P214)/10</f>
        <v>0.010181432417614622</v>
      </c>
      <c r="AA214" s="40">
        <f>((M214*AB214)*C4)</f>
        <v>0.30911846963119755</v>
      </c>
      <c r="AB214" s="40">
        <f>AE214/AE323</f>
        <v>0.0027171175945958511</v>
      </c>
      <c r="AC214" s="40">
        <f>AF214/AF323</f>
        <v>0.0026660722365782724</v>
      </c>
      <c r="AD214" s="3">
        <f>IF(ISNA(J214),(I214*Y214)/10,(J214*Y214)/10)</f>
        <v>96898191318</v>
      </c>
      <c r="AE214" s="3">
        <f>IF(ISNA(P214),(I214*Y214)/10,(P214*Y214)/10)</f>
        <v>96898191318</v>
      </c>
      <c r="AF214" s="3">
        <f>(I214*Y214)/10</f>
        <v>95969454660</v>
      </c>
      <c r="AG214">
        <f>IF(AND(P214&lt;=N214,L214&lt;0),IF(Q214&lt;10,"DBL10",IF(Q214&gt;=200,"DBM200",IF(Q214&gt;=150,"DBM150",IF(Q214&gt;=100,"DBM100",IF(Q214&gt;=50,"DBM50","DBM10-50"))))),0)</f>
        <v>0</v>
      </c>
      <c r="AH214">
        <f>IF(AND(P214&gt;=O214,L214&lt;0),IF(Q214&lt;10,"DAL10",IF(Q214&gt;=200,"DAM200",IF(Q214&gt;=150,"DAM150",IF(Q214&gt;=100,"DAM100",IF(Q214&gt;=50,"DAM50","DAM10-50"))))),0)</f>
        <v>0</v>
      </c>
      <c r="AI214" t="s">
        <f>IF(AND(P214&gt;=O214,L214&gt;0),IF(Q214&lt;10,"UAL10",IF(Q214&gt;=200,"UAM200",IF(Q214&gt;=150,"UAM150",IF(Q214&gt;=100,"UAM100",IF(Q214&gt;=50,"UAM50","UAM10-50"))))),0)</f>
        <v>30</v>
      </c>
      <c r="AJ214">
        <f>IF(AND(P214&lt;=N214,L214&gt;0),IF(Q214&lt;10,"UBL10",IF(Q214&gt;=200,"UBM200",IF(Q214&gt;=150,"UBM150",IF(Q214&gt;=100,"UBM100",IF(Q214&gt;=50,"UBM50","UBM10-50"))))),0)</f>
        <v>0</v>
      </c>
      <c r="AK214" t="s">
        <f>IF(Q214&lt;60,"down",IF(Q214=60,60,IF(Q214&gt;60,"up")))</f>
        <v>6</v>
      </c>
    </row>
    <row r="215" spans="1:37">
      <c r="A215">
        <f>IF(X215=1476,1476,"Error")</f>
        <v>1476</v>
      </c>
      <c r="B215" t="s">
        <f>IF(K215&lt;361,"down",IF(K215=361,"low",IF(K215=373,"high",IF(AND(K215&gt;361,K215&lt;373),"normal","up"))))</f>
        <v>79</v>
      </c>
      <c r="C215" t="s">
        <f>IF(K215&lt;361,"down",IF(K215=361,"low",IF(K215=373,"high",IF(AND(K215&gt;361,K215&lt;373),"normal","up"))))</f>
        <v>79</v>
      </c>
      <c r="D215" t="s">
        <f>IF(K215&lt;361,"down",IF(K215=361,"low",IF(K215=373,"high",IF(AND(K215&gt;361,K215&lt;373),"normal","up"))))</f>
        <v>79</v>
      </c>
      <c r="E215" t="s">
        <f>IF(K215&lt;336.5,"down",IF(K215=336.5,"low",IF(K215=373,"high",IF(AND(K215&gt;336.5,K215&lt;373),"normal","up"))))</f>
        <v>79</v>
      </c>
      <c r="F215" t="s">
        <f>IF(P215&lt;370,"PVP-down",IF(P215=370,370,IF(P215&gt;370,"PVP-up")))</f>
        <v>83</v>
      </c>
      <c r="G215" t="s">
        <f>IF(R215&lt;243,"PVV-down",IF(R215=243,243,IF(R215&gt;243,"PVV-up")))</f>
        <v>81</v>
      </c>
      <c r="H215" s="40">
        <f>R215/(Y215/10000)</f>
        <v>0.0088676809371659726</v>
      </c>
      <c r="I215">
        <v>373</v>
      </c>
      <c r="J215">
        <v>381</v>
      </c>
      <c r="K215">
        <v>371</v>
      </c>
      <c r="L215">
        <v>8</v>
      </c>
      <c r="M215">
        <v>0.021399999999999999</v>
      </c>
      <c r="N215">
        <v>380.5</v>
      </c>
      <c r="O215">
        <v>381</v>
      </c>
      <c r="P215">
        <v>381</v>
      </c>
      <c r="Q215">
        <v>118</v>
      </c>
      <c r="R215">
        <v>2433</v>
      </c>
      <c r="S215">
        <v>1299</v>
      </c>
      <c r="T215" s="40">
        <f>((P215-K215)/K215)</f>
        <v>0.026954177897574125</v>
      </c>
      <c r="U215" s="40">
        <f>((T215*AB215)*D4)</f>
        <v>1.0097484398996472</v>
      </c>
      <c r="V215" s="3">
        <f>IF(P215&lt;=N215,(P215*Q215*1000),0)</f>
        <v>0</v>
      </c>
      <c r="W215" s="3">
        <f>IF(P215&gt;=O215,(P215*Q215*1000),0)</f>
        <v>44958000</v>
      </c>
      <c r="X215">
        <v>1476</v>
      </c>
      <c r="Y215" s="3">
        <v>2743671110</v>
      </c>
      <c r="Z215" s="40">
        <f>((C4*AB215)/P215)/10</f>
        <v>0.0090233873322441947</v>
      </c>
      <c r="AA215" s="40">
        <f>((M215*AB215)*C4)</f>
        <v>0.73571286274719805</v>
      </c>
      <c r="AB215" s="40">
        <f>AE215/AE323</f>
        <v>0.0029312292790855932</v>
      </c>
      <c r="AC215" s="40">
        <f>AF215/AF323</f>
        <v>0.0028430190352474682</v>
      </c>
      <c r="AD215" s="3">
        <f>IF(ISNA(J215),(I215*Y215)/10,(J215*Y215)/10)</f>
        <v>104533869291</v>
      </c>
      <c r="AE215" s="3">
        <f>IF(ISNA(P215),(I215*Y215)/10,(P215*Y215)/10)</f>
        <v>104533869291</v>
      </c>
      <c r="AF215" s="3">
        <f>(I215*Y215)/10</f>
        <v>102338932403</v>
      </c>
      <c r="AG215">
        <f>IF(AND(P215&lt;=N215,L215&lt;0),IF(Q215&lt;10,"DBL10",IF(Q215&gt;=200,"DBM200",IF(Q215&gt;=150,"DBM150",IF(Q215&gt;=100,"DBM100",IF(Q215&gt;=50,"DBM50","DBM10-50"))))),0)</f>
        <v>0</v>
      </c>
      <c r="AH215">
        <f>IF(AND(P215&gt;=O215,L215&lt;0),IF(Q215&lt;10,"DAL10",IF(Q215&gt;=200,"DAM200",IF(Q215&gt;=150,"DAM150",IF(Q215&gt;=100,"DAM100",IF(Q215&gt;=50,"DAM50","DAM10-50"))))),0)</f>
        <v>0</v>
      </c>
      <c r="AI215" t="s">
        <f>IF(AND(P215&gt;=O215,L215&gt;0),IF(Q215&lt;10,"UAL10",IF(Q215&gt;=200,"UAM200",IF(Q215&gt;=150,"UAM150",IF(Q215&gt;=100,"UAM100",IF(Q215&gt;=50,"UAM50","UAM10-50"))))),0)</f>
        <v>29</v>
      </c>
      <c r="AJ215">
        <f>IF(AND(P215&lt;=N215,L215&gt;0),IF(Q215&lt;10,"UBL10",IF(Q215&gt;=200,"UBM200",IF(Q215&gt;=150,"UBM150",IF(Q215&gt;=100,"UBM100",IF(Q215&gt;=50,"UBM50","UBM10-50"))))),0)</f>
        <v>0</v>
      </c>
      <c r="AK215" t="s">
        <f>IF(Q215&lt;83,"down",IF(Q215=83,83,IF(Q215&gt;83,"up")))</f>
        <v>6</v>
      </c>
    </row>
    <row r="216" spans="1:37">
      <c r="A216">
        <f>IF(X216=8464,8464,"Error")</f>
        <v>8464</v>
      </c>
      <c r="B216" t="s">
        <f>IF(K216&lt;351,"down",IF(K216=351,"low",IF(K216=360,"high",IF(AND(K216&gt;351,K216&lt;360),"normal","up"))))</f>
        <v>79</v>
      </c>
      <c r="C216" t="s">
        <f>IF(K216&lt;351,"down",IF(K216=351,"low",IF(K216=360,"high",IF(AND(K216&gt;351,K216&lt;360),"normal","up"))))</f>
        <v>79</v>
      </c>
      <c r="D216" t="s">
        <f>IF(K216&lt;351,"down",IF(K216=351,"low",IF(K216=360,"high",IF(AND(K216&gt;351,K216&lt;360),"normal","up"))))</f>
        <v>79</v>
      </c>
      <c r="E216" t="s">
        <f>IF(K216&lt;317,"down",IF(K216=317,"low",IF(K216=362,"high",IF(AND(K216&gt;317,K216&lt;362),"normal","up"))))</f>
        <v>79</v>
      </c>
      <c r="F216" t="s">
        <f>IF(P216&lt;356.5,"PVP-down",IF(P216=356.5,356.5,IF(P216&gt;356.5,"PVP-up")))</f>
        <v>80</v>
      </c>
      <c r="G216" t="s">
        <f>IF(R216&lt;84,"PVV-down",IF(R216=84,84,IF(R216&gt;84,"PVV-up")))</f>
        <v>81</v>
      </c>
      <c r="H216" s="40">
        <f>R216/(Y216/10000)</f>
        <v>0.003958771443060922</v>
      </c>
      <c r="I216">
        <v>356.5</v>
      </c>
      <c r="J216">
        <v>343</v>
      </c>
      <c r="K216">
        <v>356</v>
      </c>
      <c r="L216">
        <v>-12</v>
      </c>
      <c r="M216">
        <v>-0.033700000000000001</v>
      </c>
      <c r="N216">
        <v>344.5</v>
      </c>
      <c r="O216">
        <v>345</v>
      </c>
      <c r="P216">
        <v>344.5</v>
      </c>
      <c r="Q216">
        <v>79</v>
      </c>
      <c r="R216">
        <v>1160</v>
      </c>
      <c r="S216">
        <v>590</v>
      </c>
      <c r="T216" s="40">
        <f>((P216-K216)/K216)</f>
        <v>-0.032303370786516857</v>
      </c>
      <c r="U216" s="40">
        <f>((T216*AB216)*D4)</f>
        <v>-1.1685968290865421</v>
      </c>
      <c r="V216" s="3">
        <f>IF(P216&lt;=N216,(P216*Q216*1000),0)</f>
        <v>27215500</v>
      </c>
      <c r="W216" s="3">
        <f>IF(P216&gt;=O216,(P216*Q216*1000),0)</f>
        <v>0</v>
      </c>
      <c r="X216">
        <v>8464</v>
      </c>
      <c r="Y216" s="3">
        <v>2930202000</v>
      </c>
      <c r="Z216" s="40">
        <f>((C4*AB216)/P216)/10</f>
        <v>0.0096368502446769581</v>
      </c>
      <c r="AA216" s="40">
        <f>((M216*AB216)*C4)</f>
        <v>-1.1188045844311387</v>
      </c>
      <c r="AB216" s="40">
        <f>AE216/AE323</f>
        <v>0.0028306068332236397</v>
      </c>
      <c r="AC216" s="40">
        <f>AF216/AF323</f>
        <v>0.002901990457363118</v>
      </c>
      <c r="AD216" s="3">
        <f>IF(ISNA(J216),(I216*Y216)/10,(J216*Y216)/10)</f>
        <v>100505928600</v>
      </c>
      <c r="AE216" s="3">
        <f>IF(ISNA(P216),(I216*Y216)/10,(P216*Y216)/10)</f>
        <v>100945458900</v>
      </c>
      <c r="AF216" s="3">
        <f>(I216*Y216)/10</f>
        <v>104461701300</v>
      </c>
      <c r="AG216" t="s">
        <f>IF(AND(P216&lt;=N216,L216&lt;0),IF(Q216&lt;10,"DBL10",IF(Q216&gt;=200,"DBM200",IF(Q216&gt;=150,"DBM150",IF(Q216&gt;=100,"DBM100",IF(Q216&gt;=50,"DBM50","DBM10-50"))))),0)</f>
        <v>13</v>
      </c>
      <c r="AH216">
        <f>IF(AND(P216&gt;=O216,L216&lt;0),IF(Q216&lt;10,"DAL10",IF(Q216&gt;=200,"DAM200",IF(Q216&gt;=150,"DAM150",IF(Q216&gt;=100,"DAM100",IF(Q216&gt;=50,"DAM50","DAM10-50"))))),0)</f>
        <v>0</v>
      </c>
      <c r="AI216">
        <f>IF(AND(P216&gt;=O216,L216&gt;0),IF(Q216&lt;10,"UAL10",IF(Q216&gt;=200,"UAM200",IF(Q216&gt;=150,"UAM150",IF(Q216&gt;=100,"UAM100",IF(Q216&gt;=50,"UAM50","UAM10-50"))))),0)</f>
        <v>0</v>
      </c>
      <c r="AJ216">
        <f>IF(AND(P216&lt;=N216,L216&gt;0),IF(Q216&lt;10,"UBL10",IF(Q216&gt;=200,"UBM200",IF(Q216&gt;=150,"UBM150",IF(Q216&gt;=100,"UBM100",IF(Q216&gt;=50,"UBM50","UBM10-50"))))),0)</f>
        <v>0</v>
      </c>
      <c r="AK216" t="s">
        <f>IF(Q216&lt;8,"down",IF(Q216=8,8,IF(Q216&gt;8,"up")))</f>
        <v>6</v>
      </c>
    </row>
    <row r="217" spans="1:37">
      <c r="A217">
        <f>IF(X217=8454,8454,"Error")</f>
        <v>8454</v>
      </c>
      <c r="B217" t="s">
        <f>IF(K217&lt;599,"down",IF(K217=599,"low",IF(K217=635,"high",IF(AND(K217&gt;599,K217&lt;635),"normal","up"))))</f>
        <v>79</v>
      </c>
      <c r="C217" t="s">
        <f>IF(K217&lt;599,"down",IF(K217=599,"low",IF(K217=635,"high",IF(AND(K217&gt;599,K217&lt;635),"normal","up"))))</f>
        <v>79</v>
      </c>
      <c r="D217" t="s">
        <f>IF(K217&lt;599,"down",IF(K217=599,"low",IF(K217=635,"high",IF(AND(K217&gt;599,K217&lt;635),"normal","up"))))</f>
        <v>79</v>
      </c>
      <c r="E217" t="s">
        <f>IF(K217&lt;599,"down",IF(K217=599,"low",IF(K217=680,"high",IF(AND(K217&gt;599,K217&lt;680),"normal","up"))))</f>
        <v>79</v>
      </c>
      <c r="F217" t="s">
        <f>IF(P217&lt;612,"PVP-down",IF(P217=612,612,IF(P217&gt;612,"PVP-up")))</f>
        <v>80</v>
      </c>
      <c r="G217" t="s">
        <f>IF(R217&lt;43,"PVV-down",IF(R217=43,43,IF(R217&gt;43,"PVV-up")))</f>
        <v>81</v>
      </c>
      <c r="H217" s="40">
        <f>R217/(Y217/10000)</f>
        <v>0.0010424215595626113</v>
      </c>
      <c r="I217">
        <v>612</v>
      </c>
      <c r="J217">
        <v>609</v>
      </c>
      <c r="K217">
        <v>620</v>
      </c>
      <c r="L217">
        <v>-3</v>
      </c>
      <c r="M217">
        <v>-0.0048999999999999998</v>
      </c>
      <c r="N217">
        <v>604</v>
      </c>
      <c r="O217">
        <v>609</v>
      </c>
      <c r="P217">
        <v>609</v>
      </c>
      <c r="Q217">
        <v>14</v>
      </c>
      <c r="R217">
        <v>146</v>
      </c>
      <c r="S217">
        <v>373</v>
      </c>
      <c r="T217" s="40">
        <f>((P217-K217)/K217)</f>
        <v>-0.017741935483870968</v>
      </c>
      <c r="U217" s="40">
        <f>((T217*AB217)*D4)</f>
        <v>-0.5423227630823636</v>
      </c>
      <c r="V217" s="3">
        <f>IF(P217&lt;=N217,(P217*Q217*1000),0)</f>
        <v>0</v>
      </c>
      <c r="W217" s="3">
        <f>IF(P217&gt;=O217,(P217*Q217*1000),0)</f>
        <v>8526000</v>
      </c>
      <c r="X217">
        <v>8454</v>
      </c>
      <c r="Y217" s="3">
        <v>1400585000</v>
      </c>
      <c r="Z217" s="40">
        <f>((C4*AB217)/P217)/10</f>
        <v>0.0046062448595492319</v>
      </c>
      <c r="AA217" s="40">
        <f>((M217*AB217)*C4)</f>
        <v>-0.13745495285380863</v>
      </c>
      <c r="AB217" s="40">
        <f>AE217/AE323</f>
        <v>0.0023917706239184908</v>
      </c>
      <c r="AC217" s="40">
        <f>AF217/AF323</f>
        <v>0.0023812214079766904</v>
      </c>
      <c r="AD217" s="3">
        <f>IF(ISNA(J217),(I217*Y217)/10,(J217*Y217)/10)</f>
        <v>85295626500</v>
      </c>
      <c r="AE217" s="3">
        <f>IF(ISNA(P217),(I217*Y217)/10,(P217*Y217)/10)</f>
        <v>85295626500</v>
      </c>
      <c r="AF217" s="3">
        <f>(I217*Y217)/10</f>
        <v>85715802000</v>
      </c>
      <c r="AG217">
        <f>IF(AND(P217&lt;=N217,L217&lt;0),IF(Q217&lt;10,"DBL10",IF(Q217&gt;=200,"DBM200",IF(Q217&gt;=150,"DBM150",IF(Q217&gt;=100,"DBM100",IF(Q217&gt;=50,"DBM50","DBM10-50"))))),0)</f>
        <v>0</v>
      </c>
      <c r="AH217" t="s">
        <f>IF(AND(P217&gt;=O217,L217&lt;0),IF(Q217&lt;10,"DAL10",IF(Q217&gt;=200,"DAM200",IF(Q217&gt;=150,"DAM150",IF(Q217&gt;=100,"DAM100",IF(Q217&gt;=50,"DAM50","DAM10-50"))))),0)</f>
        <v>22</v>
      </c>
      <c r="AI217">
        <f>IF(AND(P217&gt;=O217,L217&gt;0),IF(Q217&lt;10,"UAL10",IF(Q217&gt;=200,"UAM200",IF(Q217&gt;=150,"UAM150",IF(Q217&gt;=100,"UAM100",IF(Q217&gt;=50,"UAM50","UAM10-50"))))),0)</f>
        <v>0</v>
      </c>
      <c r="AJ217">
        <f>IF(AND(P217&lt;=N217,L217&gt;0),IF(Q217&lt;10,"UBL10",IF(Q217&gt;=200,"UBM200",IF(Q217&gt;=150,"UBM150",IF(Q217&gt;=100,"UBM100",IF(Q217&gt;=50,"UBM50","UBM10-50"))))),0)</f>
        <v>0</v>
      </c>
      <c r="AK217" t="s">
        <f>IF(Q217&lt;4,"down",IF(Q217=4,4,IF(Q217&gt;4,"up")))</f>
        <v>6</v>
      </c>
    </row>
    <row r="218" spans="1:37">
      <c r="A218">
        <f>IF(X218=2633,2633,"Error")</f>
        <v>2633</v>
      </c>
      <c r="B218" t="s">
        <f>IF(K218&lt;32.149999999999999,"down",IF(K218=32.149999999999999,"low",IF(K218=32.700000000000003,"high",IF(AND(K218&gt;32.149999999999999,K218&lt;32.700000000000003),"normal","up"))))</f>
        <v>79</v>
      </c>
      <c r="C218" t="s">
        <f>IF(K218&lt;32.149999999999999,"down",IF(K218=32.149999999999999,"low",IF(K218=32.700000000000003,"high",IF(AND(K218&gt;32.149999999999999,K218&lt;32.700000000000003),"normal","up"))))</f>
        <v>79</v>
      </c>
      <c r="D218" t="s">
        <f>IF(K218&lt;32.149999999999999,"down",IF(K218=32.149999999999999,"low",IF(K218=32.700000000000003,"high",IF(AND(K218&gt;32.149999999999999,K218&lt;32.700000000000003),"normal","up"))))</f>
        <v>79</v>
      </c>
      <c r="E218" t="s">
        <f>IF(K218&lt;32.149999999999999,"down",IF(K218=32.149999999999999,"low",IF(K218=33.799999999999997,"high",IF(AND(K218&gt;32.149999999999999,K218&lt;33.799999999999997),"normal","up"))))</f>
        <v>79</v>
      </c>
      <c r="F218" t="s">
        <f>IF(P218&lt;32.350000000000001,"PVP-down",IF(P218=32.350000000000001,32.350000000000001,IF(P218&gt;32.350000000000001,"PVP-up")))</f>
        <v>80</v>
      </c>
      <c r="G218" t="s">
        <f>IF(R218&lt;809,"PVV-down",IF(R218=809,809,IF(R218&gt;809,"PVV-up")))</f>
        <v>81</v>
      </c>
      <c r="H218" s="40">
        <f>R218/(Y218/10000)</f>
        <v>0.0010786574077500709</v>
      </c>
      <c r="I218">
        <v>32.600000000000001</v>
      </c>
      <c r="J218">
        <v>32.200000000000003</v>
      </c>
      <c r="K218">
        <v>32.600000000000001</v>
      </c>
      <c r="L218">
        <v>-0.40000000000000002</v>
      </c>
      <c r="M218">
        <v>-0.0123</v>
      </c>
      <c r="N218">
        <v>32.200000000000003</v>
      </c>
      <c r="O218">
        <v>32.25</v>
      </c>
      <c r="P218">
        <v>32.200000000000003</v>
      </c>
      <c r="Q218">
        <v>541</v>
      </c>
      <c r="R218">
        <v>6071</v>
      </c>
      <c r="S218">
        <v>4047</v>
      </c>
      <c r="T218" s="40">
        <f>((P218-K218)/K218)</f>
        <v>-0.012269938650306704</v>
      </c>
      <c r="U218" s="40">
        <f>((T218*AB218)*D4)</f>
        <v>-0.79690222598651461</v>
      </c>
      <c r="V218" s="3">
        <f>IF(P218&lt;=N218,(P218*Q218*1000),0)</f>
        <v>17420200</v>
      </c>
      <c r="W218" s="3">
        <f>IF(P218&gt;=O218,(P218*Q218*1000),0)</f>
        <v>0</v>
      </c>
      <c r="X218">
        <v>2633</v>
      </c>
      <c r="Y218" s="3">
        <v>56282930580</v>
      </c>
      <c r="Z218" s="40">
        <f>((C4*AB218)/P218)/10</f>
        <v>0.18510333872238477</v>
      </c>
      <c r="AA218" s="40">
        <f>((M218*AB218)*C4)</f>
        <v>-0.73312028334387724</v>
      </c>
      <c r="AB218" s="40">
        <f>AE218/AE323</f>
        <v>0.0050818909122557002</v>
      </c>
      <c r="AC218" s="40">
        <f>AF218/AF323</f>
        <v>0.0050972177638200699</v>
      </c>
      <c r="AD218" s="3">
        <f>IF(ISNA(J218),(I218*Y218)/10,(J218*Y218)/10)</f>
        <v>181231036467.60004</v>
      </c>
      <c r="AE218" s="3">
        <f>IF(ISNA(P218),(I218*Y218)/10,(P218*Y218)/10)</f>
        <v>181231036467.60004</v>
      </c>
      <c r="AF218" s="3">
        <f>(I218*Y218)/10</f>
        <v>183482353690.79999</v>
      </c>
      <c r="AG218" t="s">
        <f>IF(AND(P218&lt;=N218,L218&lt;0),IF(Q218&lt;10,"DBL10",IF(Q218&gt;=200,"DBM200",IF(Q218&gt;=150,"DBM150",IF(Q218&gt;=100,"DBM100",IF(Q218&gt;=50,"DBM50","DBM10-50"))))),0)</f>
        <v>16</v>
      </c>
      <c r="AH218">
        <f>IF(AND(P218&gt;=O218,L218&lt;0),IF(Q218&lt;10,"DAL10",IF(Q218&gt;=200,"DAM200",IF(Q218&gt;=150,"DAM150",IF(Q218&gt;=100,"DAM100",IF(Q218&gt;=50,"DAM50","DAM10-50"))))),0)</f>
        <v>0</v>
      </c>
      <c r="AI218">
        <f>IF(AND(P218&gt;=O218,L218&gt;0),IF(Q218&lt;10,"UAL10",IF(Q218&gt;=200,"UAM200",IF(Q218&gt;=150,"UAM150",IF(Q218&gt;=100,"UAM100",IF(Q218&gt;=50,"UAM50","UAM10-50"))))),0)</f>
        <v>0</v>
      </c>
      <c r="AJ218">
        <f>IF(AND(P218&lt;=N218,L218&gt;0),IF(Q218&lt;10,"UBL10",IF(Q218&gt;=200,"UBM200",IF(Q218&gt;=150,"UBM150",IF(Q218&gt;=100,"UBM100",IF(Q218&gt;=50,"UBM50","UBM10-50"))))),0)</f>
        <v>0</v>
      </c>
      <c r="AK218" t="s">
        <f>IF(Q218&lt;86,"down",IF(Q218=86,86,IF(Q218&gt;86,"up")))</f>
        <v>6</v>
      </c>
    </row>
    <row r="219" spans="1:37">
      <c r="A219">
        <f>IF(X219=2227,2227,"Error")</f>
        <v>2227</v>
      </c>
      <c r="B219" t="s">
        <f>IF(K219&lt;278.5,"down",IF(K219=278.5,"low",IF(K219=280,"high",IF(AND(K219&gt;278.5,K219&lt;280),"normal","up"))))</f>
        <v>84</v>
      </c>
      <c r="C219" t="s">
        <f>IF(K219&lt;278.5,"down",IF(K219=278.5,"low",IF(K219=280,"high",IF(AND(K219&gt;278.5,K219&lt;280),"normal","up"))))</f>
        <v>84</v>
      </c>
      <c r="D219" t="s">
        <f>IF(K219&lt;278.5,"down",IF(K219=278.5,"low",IF(K219=280,"high",IF(AND(K219&gt;278.5,K219&lt;280),"normal","up"))))</f>
        <v>84</v>
      </c>
      <c r="E219" t="s">
        <f>IF(K219&lt;274,"down",IF(K219=274,"low",IF(K219=282,"high",IF(AND(K219&gt;274,K219&lt;282),"normal","up"))))</f>
        <v>79</v>
      </c>
      <c r="F219" t="s">
        <f>IF(P219&lt;279,"PVP-down",IF(P219=279,279,IF(P219&gt;279,"PVP-up")))</f>
        <v>83</v>
      </c>
      <c r="G219" t="s">
        <f>IF(R219&lt;149,"PVV-down",IF(R219=149,149,IF(R219&gt;149,"PVV-up")))</f>
        <v>81</v>
      </c>
      <c r="H219" s="40">
        <f>R219/(Y219/10000)</f>
        <v>0.0019133333333333333</v>
      </c>
      <c r="I219">
        <v>280</v>
      </c>
      <c r="J219">
        <v>281</v>
      </c>
      <c r="K219">
        <v>280</v>
      </c>
      <c r="L219">
        <v>1</v>
      </c>
      <c r="M219">
        <v>0.0035999999999999999</v>
      </c>
      <c r="N219">
        <v>280.5</v>
      </c>
      <c r="O219">
        <v>281</v>
      </c>
      <c r="P219">
        <v>281</v>
      </c>
      <c r="Q219">
        <v>60</v>
      </c>
      <c r="R219">
        <v>574</v>
      </c>
      <c r="S219">
        <v>362</v>
      </c>
      <c r="T219" s="40">
        <f>((P219-K219)/K219)</f>
        <v>0.0035714285714285713</v>
      </c>
      <c r="U219" s="40">
        <f>((T219*AB219)*D4)</f>
        <v>0.10789457726061744</v>
      </c>
      <c r="V219" s="3">
        <f>IF(P219&lt;=N219,(P219*Q219*1000),0)</f>
        <v>0</v>
      </c>
      <c r="W219" s="3">
        <f>IF(P219&gt;=O219,(P219*Q219*1000),0)</f>
        <v>16860000</v>
      </c>
      <c r="X219">
        <v>2227</v>
      </c>
      <c r="Y219" s="3">
        <v>3000000000</v>
      </c>
      <c r="Z219" s="40">
        <f>((C4*AB219)/P219)/10</f>
        <v>0.0098664019525039146</v>
      </c>
      <c r="AA219" s="40">
        <f>((M219*AB219)*C4)</f>
        <v>0.099808522151529605</v>
      </c>
      <c r="AB219" s="40">
        <f>AE219/AE323</f>
        <v>0.0023638523083751401</v>
      </c>
      <c r="AC219" s="40">
        <f>AF219/AF323</f>
        <v>0.0023335556992168374</v>
      </c>
      <c r="AD219" s="3">
        <f>IF(ISNA(J219),(I219*Y219)/10,(J219*Y219)/10)</f>
        <v>84300000000</v>
      </c>
      <c r="AE219" s="3">
        <f>IF(ISNA(P219),(I219*Y219)/10,(P219*Y219)/10)</f>
        <v>84300000000</v>
      </c>
      <c r="AF219" s="3">
        <f>(I219*Y219)/10</f>
        <v>84000000000</v>
      </c>
      <c r="AG219">
        <f>IF(AND(P219&lt;=N219,L219&lt;0),IF(Q219&lt;10,"DBL10",IF(Q219&gt;=200,"DBM200",IF(Q219&gt;=150,"DBM150",IF(Q219&gt;=100,"DBM100",IF(Q219&gt;=50,"DBM50","DBM10-50"))))),0)</f>
        <v>0</v>
      </c>
      <c r="AH219">
        <f>IF(AND(P219&gt;=O219,L219&lt;0),IF(Q219&lt;10,"DAL10",IF(Q219&gt;=200,"DAM200",IF(Q219&gt;=150,"DAM150",IF(Q219&gt;=100,"DAM100",IF(Q219&gt;=50,"DAM50","DAM10-50"))))),0)</f>
        <v>0</v>
      </c>
      <c r="AI219" t="s">
        <f>IF(AND(P219&gt;=O219,L219&gt;0),IF(Q219&lt;10,"UAL10",IF(Q219&gt;=200,"UAM200",IF(Q219&gt;=150,"UAM150",IF(Q219&gt;=100,"UAM100",IF(Q219&gt;=50,"UAM50","UAM10-50"))))),0)</f>
        <v>28</v>
      </c>
      <c r="AJ219">
        <f>IF(AND(P219&lt;=N219,L219&gt;0),IF(Q219&lt;10,"UBL10",IF(Q219&gt;=200,"UBM200",IF(Q219&gt;=150,"UBM150",IF(Q219&gt;=100,"UBM100",IF(Q219&gt;=50,"UBM50","UBM10-50"))))),0)</f>
        <v>0</v>
      </c>
      <c r="AK219" t="s">
        <f>IF(Q219&lt;44,"down",IF(Q219=44,44,IF(Q219&gt;44,"up")))</f>
        <v>6</v>
      </c>
    </row>
    <row r="220" spans="1:37">
      <c r="A220">
        <f>IF(X220=9914,9914,"Error")</f>
        <v>9914</v>
      </c>
      <c r="B220" t="s">
        <f>IF(K220&lt;263.5,"down",IF(K220=263.5,"low",IF(K220=272.5,"high",IF(AND(K220&gt;263.5,K220&lt;272.5),"normal","up"))))</f>
        <v>79</v>
      </c>
      <c r="C220" t="s">
        <f>IF(K220&lt;263.5,"down",IF(K220=263.5,"low",IF(K220=272.5,"high",IF(AND(K220&gt;263.5,K220&lt;272.5),"normal","up"))))</f>
        <v>79</v>
      </c>
      <c r="D220" t="s">
        <f>IF(K220&lt;263.5,"down",IF(K220=263.5,"low",IF(K220=272.5,"high",IF(AND(K220&gt;263.5,K220&lt;272.5),"normal","up"))))</f>
        <v>79</v>
      </c>
      <c r="E220" t="s">
        <f>IF(K220&lt;258,"down",IF(K220=258,"low",IF(K220=283.5,"high",IF(AND(K220&gt;258,K220&lt;283.5),"normal","up"))))</f>
        <v>79</v>
      </c>
      <c r="F220" t="s">
        <f>IF(P220&lt;265,"PVP-down",IF(P220=265,265,IF(P220&gt;265,"PVP-up")))</f>
        <v>80</v>
      </c>
      <c r="G220" t="s">
        <f>IF(R220&lt;325,"PVV-down",IF(R220=325,325,IF(R220&gt;325,"PVV-up")))</f>
        <v>81</v>
      </c>
      <c r="H220" s="40">
        <f>R220/(Y220/10000)</f>
        <v>0.013846904079752817</v>
      </c>
      <c r="I220">
        <v>272.5</v>
      </c>
      <c r="J220">
        <v>258.5</v>
      </c>
      <c r="K220">
        <v>265</v>
      </c>
      <c r="L220">
        <v>-14.5</v>
      </c>
      <c r="M220">
        <v>-0.053199999999999997</v>
      </c>
      <c r="N220">
        <v>258</v>
      </c>
      <c r="O220">
        <v>258.5</v>
      </c>
      <c r="P220">
        <v>258</v>
      </c>
      <c r="Q220">
        <v>179</v>
      </c>
      <c r="R220">
        <v>4140</v>
      </c>
      <c r="S220">
        <v>2069</v>
      </c>
      <c r="T220" s="40">
        <f>((P220-K220)/K220)</f>
        <v>-0.026415094339622643</v>
      </c>
      <c r="U220" s="40">
        <f>((T220*AB220)*D4)</f>
        <v>-0.73021307302367233</v>
      </c>
      <c r="V220" s="3">
        <f>IF(P220&lt;=N220,(P220*Q220*1000),0)</f>
        <v>46182000</v>
      </c>
      <c r="W220" s="3">
        <f>IF(P220&gt;=O220,(P220*Q220*1000),0)</f>
        <v>0</v>
      </c>
      <c r="X220">
        <v>9914</v>
      </c>
      <c r="Y220" s="3">
        <v>2989838000</v>
      </c>
      <c r="Z220" s="40">
        <f>((C4*AB220)/P220)/10</f>
        <v>0.0098329811602901329</v>
      </c>
      <c r="AA220" s="40">
        <f>((M220*AB220)*C4)</f>
        <v>-1.3496356621367824</v>
      </c>
      <c r="AB220" s="40">
        <f>AE220/AE323</f>
        <v>0.0021630179693424316</v>
      </c>
      <c r="AC220" s="40">
        <f>AF220/AF323</f>
        <v>0.0022633569404917342</v>
      </c>
      <c r="AD220" s="3">
        <f>IF(ISNA(J220),(I220*Y220)/10,(J220*Y220)/10)</f>
        <v>77287312300</v>
      </c>
      <c r="AE220" s="3">
        <f>IF(ISNA(P220),(I220*Y220)/10,(P220*Y220)/10)</f>
        <v>77137820400</v>
      </c>
      <c r="AF220" s="3">
        <f>(I220*Y220)/10</f>
        <v>81473085500</v>
      </c>
      <c r="AG220" t="s">
        <f>IF(AND(P220&lt;=N220,L220&lt;0),IF(Q220&lt;10,"DBL10",IF(Q220&gt;=200,"DBM200",IF(Q220&gt;=150,"DBM150",IF(Q220&gt;=100,"DBM100",IF(Q220&gt;=50,"DBM50","DBM10-50"))))),0)</f>
        <v>15</v>
      </c>
      <c r="AH220">
        <f>IF(AND(P220&gt;=O220,L220&lt;0),IF(Q220&lt;10,"DAL10",IF(Q220&gt;=200,"DAM200",IF(Q220&gt;=150,"DAM150",IF(Q220&gt;=100,"DAM100",IF(Q220&gt;=50,"DAM50","DAM10-50"))))),0)</f>
        <v>0</v>
      </c>
      <c r="AI220">
        <f>IF(AND(P220&gt;=O220,L220&gt;0),IF(Q220&lt;10,"UAL10",IF(Q220&gt;=200,"UAM200",IF(Q220&gt;=150,"UAM150",IF(Q220&gt;=100,"UAM100",IF(Q220&gt;=50,"UAM50","UAM10-50"))))),0)</f>
        <v>0</v>
      </c>
      <c r="AJ220">
        <f>IF(AND(P220&lt;=N220,L220&gt;0),IF(Q220&lt;10,"UBL10",IF(Q220&gt;=200,"UBM200",IF(Q220&gt;=150,"UBM150",IF(Q220&gt;=100,"UBM100",IF(Q220&gt;=50,"UBM50","UBM10-50"))))),0)</f>
        <v>0</v>
      </c>
      <c r="AK220" t="s">
        <f>IF(Q220&lt;23,"down",IF(Q220=23,23,IF(Q220&gt;23,"up")))</f>
        <v>6</v>
      </c>
    </row>
    <row r="221" spans="1:37">
      <c r="A221">
        <f>IF(X221=9904,9904,"Error")</f>
        <v>9904</v>
      </c>
      <c r="B221" t="s">
        <f>IF(K221&lt;27.949999999999999,"down",IF(K221=27.949999999999999,"low",IF(K221=28.949999999999999,"high",IF(AND(K221&gt;27.949999999999999,K221&lt;28.949999999999999),"normal","up"))))</f>
        <v>79</v>
      </c>
      <c r="C221" t="s">
        <f>IF(K221&lt;27.949999999999999,"down",IF(K221=27.949999999999999,"low",IF(K221=28.949999999999999,"high",IF(AND(K221&gt;27.949999999999999,K221&lt;28.949999999999999),"normal","up"))))</f>
        <v>79</v>
      </c>
      <c r="D221" t="s">
        <f>IF(K221&lt;27.949999999999999,"down",IF(K221=27.949999999999999,"low",IF(K221=28.949999999999999,"high",IF(AND(K221&gt;27.949999999999999,K221&lt;28.949999999999999),"normal","up"))))</f>
        <v>79</v>
      </c>
      <c r="E221" t="s">
        <f>IF(K221&lt;26.399999999999999,"down",IF(K221=26.399999999999999,"low",IF(K221=28.949999999999999,"high",IF(AND(K221&gt;26.399999999999999,K221&lt;28.949999999999999),"normal","up"))))</f>
        <v>79</v>
      </c>
      <c r="F221" t="s">
        <f>IF(P221&lt;28.449999999999999,"PVP-down",IF(P221=28.449999999999999,28.449999999999999,IF(P221&gt;28.449999999999999,"PVP-up")))</f>
        <v>80</v>
      </c>
      <c r="G221" t="s">
        <f>IF(R221&lt;2365,"PVV-down",IF(R221=2365,2365,IF(R221&gt;2365,"PVV-up")))</f>
        <v>81</v>
      </c>
      <c r="H221" s="40">
        <f>R221/(Y221/10000)</f>
        <v>0.0025492169800588856</v>
      </c>
      <c r="I221">
        <v>28.449999999999999</v>
      </c>
      <c r="J221">
        <v>28.25</v>
      </c>
      <c r="K221">
        <v>28.149999999999999</v>
      </c>
      <c r="L221">
        <v>-0.20000000000000001</v>
      </c>
      <c r="M221">
        <v>-0.0070000000000000001</v>
      </c>
      <c r="N221">
        <v>28.25</v>
      </c>
      <c r="O221">
        <v>28.300000000000001</v>
      </c>
      <c r="P221">
        <v>28.25</v>
      </c>
      <c r="Q221">
        <v>586</v>
      </c>
      <c r="R221">
        <v>7512</v>
      </c>
      <c r="S221">
        <v>12549</v>
      </c>
      <c r="T221" s="40">
        <f>((P221-K221)/K221)</f>
        <v>0.0035523978685613297</v>
      </c>
      <c r="U221" s="40">
        <f>((T221*AB221)*D4)</f>
        <v>0.10597877716321999</v>
      </c>
      <c r="V221" s="3">
        <f>IF(P221&lt;=N221,(P221*Q221*1000),0)</f>
        <v>16554500</v>
      </c>
      <c r="W221" s="3">
        <f>IF(P221&gt;=O221,(P221*Q221*1000),0)</f>
        <v>0</v>
      </c>
      <c r="X221">
        <v>9904</v>
      </c>
      <c r="Y221" s="3">
        <v>29467872130</v>
      </c>
      <c r="Z221" s="40">
        <f>((C4*AB221)/P221)/10</f>
        <v>0.096913957039855905</v>
      </c>
      <c r="AA221" s="40">
        <f>((M221*AB221)*C4)</f>
        <v>-0.19164735004631506</v>
      </c>
      <c r="AB221" s="40">
        <f>AE221/AE323</f>
        <v>0.0023343178600197649</v>
      </c>
      <c r="AC221" s="40">
        <f>AF221/AF323</f>
        <v>0.0023290023822688881</v>
      </c>
      <c r="AD221" s="3">
        <f>IF(ISNA(J221),(I221*Y221)/10,(J221*Y221)/10)</f>
        <v>83246738767.25</v>
      </c>
      <c r="AE221" s="3">
        <f>IF(ISNA(P221),(I221*Y221)/10,(P221*Y221)/10)</f>
        <v>83246738767.25</v>
      </c>
      <c r="AF221" s="3">
        <f>(I221*Y221)/10</f>
        <v>83836096209.850006</v>
      </c>
      <c r="AG221" t="s">
        <f>IF(AND(P221&lt;=N221,L221&lt;0),IF(Q221&lt;10,"DBL10",IF(Q221&gt;=200,"DBM200",IF(Q221&gt;=150,"DBM150",IF(Q221&gt;=100,"DBM100",IF(Q221&gt;=50,"DBM50","DBM10-50"))))),0)</f>
        <v>16</v>
      </c>
      <c r="AH221">
        <f>IF(AND(P221&gt;=O221,L221&lt;0),IF(Q221&lt;10,"DAL10",IF(Q221&gt;=200,"DAM200",IF(Q221&gt;=150,"DAM150",IF(Q221&gt;=100,"DAM100",IF(Q221&gt;=50,"DAM50","DAM10-50"))))),0)</f>
        <v>0</v>
      </c>
      <c r="AI221">
        <f>IF(AND(P221&gt;=O221,L221&gt;0),IF(Q221&lt;10,"UAL10",IF(Q221&gt;=200,"UAM200",IF(Q221&gt;=150,"UAM150",IF(Q221&gt;=100,"UAM100",IF(Q221&gt;=50,"UAM50","UAM10-50"))))),0)</f>
        <v>0</v>
      </c>
      <c r="AJ221">
        <f>IF(AND(P221&lt;=N221,L221&gt;0),IF(Q221&lt;10,"UBL10",IF(Q221&gt;=200,"UBM200",IF(Q221&gt;=150,"UBM150",IF(Q221&gt;=100,"UBM100",IF(Q221&gt;=50,"UBM50","UBM10-50"))))),0)</f>
        <v>0</v>
      </c>
      <c r="AK221" t="s">
        <f>IF(Q221&lt;165,"down",IF(Q221=165,165,IF(Q221&gt;165,"up")))</f>
        <v>6</v>
      </c>
    </row>
    <row r="222" spans="1:37">
      <c r="A222">
        <f>IF(X222=1227,1227,"Error")</f>
        <v>1227</v>
      </c>
      <c r="B222" t="s">
        <f>IF(K222&lt;61.299999999999997,"down",IF(K222=61.299999999999997,"low",IF(K222=62.299999999999997,"high",IF(AND(K222&gt;61.299999999999997,K222&lt;62.299999999999997),"normal","up"))))</f>
        <v>79</v>
      </c>
      <c r="C222" t="s">
        <f>IF(K222&lt;61.299999999999997,"down",IF(K222=61.299999999999997,"low",IF(K222=62.299999999999997,"high",IF(AND(K222&gt;61.299999999999997,K222&lt;62.299999999999997),"normal","up"))))</f>
        <v>79</v>
      </c>
      <c r="D222" t="s">
        <f>IF(K222&lt;61.299999999999997,"down",IF(K222=61.299999999999997,"low",IF(K222=62.299999999999997,"high",IF(AND(K222&gt;61.299999999999997,K222&lt;62.299999999999997),"normal","up"))))</f>
        <v>79</v>
      </c>
      <c r="E222" t="s">
        <f>IF(K222&lt;60.5,"down",IF(K222=60.5,"low",IF(K222=62.5,"high",IF(AND(K222&gt;60.5,K222&lt;62.5),"normal","up"))))</f>
        <v>79</v>
      </c>
      <c r="F222" t="s">
        <f>IF(P222&lt;62,"PVP-down",IF(P222=62,62,IF(P222&gt;62,"PVP-up")))</f>
        <v>80</v>
      </c>
      <c r="G222" t="s">
        <f>IF(R222&lt;186,"PVV-down",IF(R222=186,186,IF(R222&gt;186,"PVV-up")))</f>
        <v>81</v>
      </c>
      <c r="H222" s="40">
        <f>R222/(Y222/10000)</f>
        <v>0.0010523559763669086</v>
      </c>
      <c r="I222">
        <v>62</v>
      </c>
      <c r="J222">
        <v>61.899999999999999</v>
      </c>
      <c r="K222">
        <v>62</v>
      </c>
      <c r="L222">
        <v>-0.10000000000000001</v>
      </c>
      <c r="M222">
        <v>-0.0016000000000000001</v>
      </c>
      <c r="N222">
        <v>61.899999999999999</v>
      </c>
      <c r="O222">
        <v>62</v>
      </c>
      <c r="P222">
        <v>61.899999999999999</v>
      </c>
      <c r="Q222">
        <v>161</v>
      </c>
      <c r="R222">
        <v>963</v>
      </c>
      <c r="S222">
        <v>558</v>
      </c>
      <c r="T222" s="40">
        <f>((P222-K222)/K222)</f>
        <v>-0.0016129032258064746</v>
      </c>
      <c r="U222" s="40">
        <f>((T222*AB222)*D4)</f>
        <v>-0.032741053490233644</v>
      </c>
      <c r="V222" s="3">
        <f>IF(P222&lt;=N222,(P222*Q222*1000),0)</f>
        <v>9965900</v>
      </c>
      <c r="W222" s="3">
        <f>IF(P222&gt;=O222,(P222*Q222*1000),0)</f>
        <v>0</v>
      </c>
      <c r="X222">
        <v>1227</v>
      </c>
      <c r="Y222" s="3">
        <v>9150895910</v>
      </c>
      <c r="Z222" s="40">
        <f>((C4*AB222)/P222)/10</f>
        <v>0.030095472424528029</v>
      </c>
      <c r="AA222" s="40">
        <f>((M222*AB222)*C4)</f>
        <v>-0.029806555889252562</v>
      </c>
      <c r="AB222" s="40">
        <f>AE222/AE323</f>
        <v>0.0015883530028852912</v>
      </c>
      <c r="AC222" s="40">
        <f>AF222/AF323</f>
        <v>0.0015761378200365168</v>
      </c>
      <c r="AD222" s="3">
        <f>IF(ISNA(J222),(I222*Y222)/10,(J222*Y222)/10)</f>
        <v>56644045682.900002</v>
      </c>
      <c r="AE222" s="3">
        <f>IF(ISNA(P222),(I222*Y222)/10,(P222*Y222)/10)</f>
        <v>56644045682.900002</v>
      </c>
      <c r="AF222" s="3">
        <f>(I222*Y222)/10</f>
        <v>56735554642</v>
      </c>
      <c r="AG222" t="s">
        <f>IF(AND(P222&lt;=N222,L222&lt;0),IF(Q222&lt;10,"DBL10",IF(Q222&gt;=200,"DBM200",IF(Q222&gt;=150,"DBM150",IF(Q222&gt;=100,"DBM100",IF(Q222&gt;=50,"DBM50","DBM10-50"))))),0)</f>
        <v>15</v>
      </c>
      <c r="AH222">
        <f>IF(AND(P222&gt;=O222,L222&lt;0),IF(Q222&lt;10,"DAL10",IF(Q222&gt;=200,"DAM200",IF(Q222&gt;=150,"DAM150",IF(Q222&gt;=100,"DAM100",IF(Q222&gt;=50,"DAM50","DAM10-50"))))),0)</f>
        <v>0</v>
      </c>
      <c r="AI222">
        <f>IF(AND(P222&gt;=O222,L222&gt;0),IF(Q222&lt;10,"UAL10",IF(Q222&gt;=200,"UAM200",IF(Q222&gt;=150,"UAM150",IF(Q222&gt;=100,"UAM100",IF(Q222&gt;=50,"UAM50","UAM10-50"))))),0)</f>
        <v>0</v>
      </c>
      <c r="AJ222">
        <f>IF(AND(P222&lt;=N222,L222&gt;0),IF(Q222&lt;10,"UBL10",IF(Q222&gt;=200,"UBM200",IF(Q222&gt;=150,"UBM150",IF(Q222&gt;=100,"UBM100",IF(Q222&gt;=50,"UBM50","UBM10-50"))))),0)</f>
        <v>0</v>
      </c>
      <c r="AK222" t="s">
        <f>IF(Q222&lt;18,"down",IF(Q222=18,18,IF(Q222&gt;18,"up")))</f>
        <v>6</v>
      </c>
    </row>
    <row r="223" spans="1:37">
      <c r="A223">
        <f>IF(X223=1722,1722,"Error")</f>
        <v>1722</v>
      </c>
      <c r="B223" t="s">
        <f>IF(K223&lt;56.5,"down",IF(K223=56.5,"low",IF(K223=57.399999999999999,"high",IF(AND(K223&gt;56.5,K223&lt;57.399999999999999),"normal","up"))))</f>
        <v>79</v>
      </c>
      <c r="C223" t="s">
        <f>IF(K223&lt;56.5,"down",IF(K223=56.5,"low",IF(K223=57.399999999999999,"high",IF(AND(K223&gt;56.5,K223&lt;57.399999999999999),"normal","up"))))</f>
        <v>79</v>
      </c>
      <c r="D223" t="s">
        <f>IF(K223&lt;56.5,"down",IF(K223=56.5,"low",IF(K223=57.399999999999999,"high",IF(AND(K223&gt;56.5,K223&lt;57.399999999999999),"normal","up"))))</f>
        <v>79</v>
      </c>
      <c r="E223" t="s">
        <f>IF(K223&lt;55.100000000000001,"down",IF(K223=55.100000000000001,"low",IF(K223=58,"high",IF(AND(K223&gt;55.100000000000001,K223&lt;58),"normal","up"))))</f>
        <v>79</v>
      </c>
      <c r="F223" t="s">
        <f>IF(P223&lt;56.700000000000003,"PVP-down",IF(P223=56.700000000000003,56.700000000000003,IF(P223&gt;56.700000000000003,"PVP-up")))</f>
        <v>83</v>
      </c>
      <c r="G223" t="s">
        <f>IF(R223&lt;514,"PVV-down",IF(R223=514,514,IF(R223&gt;514,"PVV-up")))</f>
        <v>81</v>
      </c>
      <c r="H223" s="40">
        <f>R223/(Y223/10000)</f>
        <v>0.0020377551020408164</v>
      </c>
      <c r="I223">
        <v>57</v>
      </c>
      <c r="J223">
        <v>57</v>
      </c>
      <c r="K223">
        <v>56.799999999999997</v>
      </c>
      <c r="L223">
        <v>0</v>
      </c>
      <c r="M223">
        <v>0</v>
      </c>
      <c r="N223">
        <v>57</v>
      </c>
      <c r="O223">
        <v>57.100000000000001</v>
      </c>
      <c r="P223">
        <v>57</v>
      </c>
      <c r="Q223">
        <v>37</v>
      </c>
      <c r="R223">
        <v>1997</v>
      </c>
      <c r="S223">
        <v>2445</v>
      </c>
      <c r="T223" s="40">
        <f>((P223-K223)/K223)</f>
        <v>0.0035211267605634307</v>
      </c>
      <c r="U223" s="40">
        <f>((T223*AB223)*D4)</f>
        <v>0.070487590597709787</v>
      </c>
      <c r="V223" s="3">
        <f>IF(P223&lt;=N223,(P223*Q223*1000),0)</f>
        <v>2109000</v>
      </c>
      <c r="W223" s="3">
        <f>IF(P223&gt;=O223,(P223*Q223*1000),0)</f>
        <v>0</v>
      </c>
      <c r="X223">
        <v>1722</v>
      </c>
      <c r="Y223" s="3">
        <v>9800000000</v>
      </c>
      <c r="Z223" s="40">
        <f>((C4*AB223)/P223)/10</f>
        <v>0.032230246378179464</v>
      </c>
      <c r="AA223" s="40">
        <f>((M223*AB223)*C4)</f>
        <v>0</v>
      </c>
      <c r="AB223" s="40">
        <f>AE223/AE323</f>
        <v>0.0015663676150158403</v>
      </c>
      <c r="AC223" s="40">
        <f>AF223/AF323</f>
        <v>0.0015518145399791969</v>
      </c>
      <c r="AD223" s="3">
        <f>IF(ISNA(J223),(I223*Y223)/10,(J223*Y223)/10)</f>
        <v>55860000000</v>
      </c>
      <c r="AE223" s="3">
        <f>IF(ISNA(P223),(I223*Y223)/10,(P223*Y223)/10)</f>
        <v>55860000000</v>
      </c>
      <c r="AF223" s="3">
        <f>(I223*Y223)/10</f>
        <v>55860000000</v>
      </c>
      <c r="AG223">
        <f>IF(AND(P223&lt;=N223,L223&lt;0),IF(Q223&lt;10,"DBL10",IF(Q223&gt;=200,"DBM200",IF(Q223&gt;=150,"DBM150",IF(Q223&gt;=100,"DBM100",IF(Q223&gt;=50,"DBM50","DBM10-50"))))),0)</f>
        <v>0</v>
      </c>
      <c r="AH223">
        <f>IF(AND(P223&gt;=O223,L223&lt;0),IF(Q223&lt;10,"DAL10",IF(Q223&gt;=200,"DAM200",IF(Q223&gt;=150,"DAM150",IF(Q223&gt;=100,"DAM100",IF(Q223&gt;=50,"DAM50","DAM10-50"))))),0)</f>
        <v>0</v>
      </c>
      <c r="AI223">
        <f>IF(AND(P223&gt;=O223,L223&gt;0),IF(Q223&lt;10,"UAL10",IF(Q223&gt;=200,"UAM200",IF(Q223&gt;=150,"UAM150",IF(Q223&gt;=100,"UAM100",IF(Q223&gt;=50,"UAM50","UAM10-50"))))),0)</f>
        <v>0</v>
      </c>
      <c r="AJ223">
        <f>IF(AND(P223&lt;=N223,L223&gt;0),IF(Q223&lt;10,"UBL10",IF(Q223&gt;=200,"UBM200",IF(Q223&gt;=150,"UBM150",IF(Q223&gt;=100,"UBM100",IF(Q223&gt;=50,"UBM50","UBM10-50"))))),0)</f>
        <v>0</v>
      </c>
      <c r="AK223" t="s">
        <f>IF(Q223&lt;46,"down",IF(Q223=46,46,IF(Q223&gt;46,"up")))</f>
        <v>7</v>
      </c>
    </row>
    <row r="224" spans="1:37">
      <c r="A224">
        <f>IF(X224=1504,1504,"Error")</f>
        <v>1504</v>
      </c>
      <c r="B224" t="s">
        <f>IF(K224&lt;28.100000000000001,"down",IF(K224=28.100000000000001,"low",IF(K224=29.600000000000001,"high",IF(AND(K224&gt;28.100000000000001,K224&lt;29.600000000000001),"normal","up"))))</f>
        <v>79</v>
      </c>
      <c r="C224" t="s">
        <f>IF(K224&lt;28.100000000000001,"down",IF(K224=28.100000000000001,"low",IF(K224=29.600000000000001,"high",IF(AND(K224&gt;28.100000000000001,K224&lt;29.600000000000001),"normal","up"))))</f>
        <v>79</v>
      </c>
      <c r="D224" t="s">
        <f>IF(K224&lt;28.100000000000001,"down",IF(K224=28.100000000000001,"low",IF(K224=29.600000000000001,"high",IF(AND(K224&gt;28.100000000000001,K224&lt;29.600000000000001),"normal","up"))))</f>
        <v>79</v>
      </c>
      <c r="E224" t="s">
        <f>IF(K224&lt;27.449999999999999,"down",IF(K224=27.449999999999999,"low",IF(K224=29.600000000000001,"high",IF(AND(K224&gt;27.449999999999999,K224&lt;29.600000000000001),"normal","up"))))</f>
        <v>79</v>
      </c>
      <c r="F224" t="s">
        <f>IF(P224&lt;28.5,"PVP-down",IF(P224=28.5,28.5,IF(P224&gt;28.5,"PVP-up")))</f>
        <v>80</v>
      </c>
      <c r="G224" t="s">
        <f>IF(R224&lt;707,"PVV-down",IF(R224=707,707,IF(R224&gt;707,"PVV-up")))</f>
        <v>81</v>
      </c>
      <c r="H224" s="40">
        <f>R224/(Y224/10000)</f>
        <v>0.0017177477359645239</v>
      </c>
      <c r="I224">
        <v>28.550000000000001</v>
      </c>
      <c r="J224">
        <v>28.100000000000001</v>
      </c>
      <c r="K224">
        <v>28.550000000000001</v>
      </c>
      <c r="L224">
        <v>-0.45000000000000001</v>
      </c>
      <c r="M224">
        <v>-0.015800000000000002</v>
      </c>
      <c r="N224">
        <v>28.100000000000001</v>
      </c>
      <c r="O224">
        <v>28.25</v>
      </c>
      <c r="P224">
        <v>28.100000000000001</v>
      </c>
      <c r="Q224">
        <v>201</v>
      </c>
      <c r="R224">
        <v>3380</v>
      </c>
      <c r="S224">
        <v>5935</v>
      </c>
      <c r="T224" s="40">
        <f>((P224-K224)/K224)</f>
        <v>-0.015761821366024494</v>
      </c>
      <c r="U224" s="40">
        <f>((T224*AB224)*D4)</f>
        <v>-0.31232022657706293</v>
      </c>
      <c r="V224" s="3">
        <f>IF(P224&lt;=N224,(P224*Q224*1000),0)</f>
        <v>5648100</v>
      </c>
      <c r="W224" s="3">
        <f>IF(P224&gt;=O224,(P224*Q224*1000),0)</f>
        <v>0</v>
      </c>
      <c r="X224">
        <v>1504</v>
      </c>
      <c r="Y224" s="3">
        <v>19676928860</v>
      </c>
      <c r="Z224" s="40">
        <f>((C4*AB224)/P224)/10</f>
        <v>0.064713496441194868</v>
      </c>
      <c r="AA224" s="40">
        <f>((M224*AB224)*C4)</f>
        <v>-0.28731498149961704</v>
      </c>
      <c r="AB224" s="40">
        <f>AE224/AE323</f>
        <v>0.0015504451235814805</v>
      </c>
      <c r="AC224" s="40">
        <f>AF224/AF323</f>
        <v>0.0015606384890212252</v>
      </c>
      <c r="AD224" s="3">
        <f>IF(ISNA(J224),(I224*Y224)/10,(J224*Y224)/10)</f>
        <v>55292170096.599998</v>
      </c>
      <c r="AE224" s="3">
        <f>IF(ISNA(P224),(I224*Y224)/10,(P224*Y224)/10)</f>
        <v>55292170096.599998</v>
      </c>
      <c r="AF224" s="3">
        <f>(I224*Y224)/10</f>
        <v>56177631895.300003</v>
      </c>
      <c r="AG224" t="s">
        <f>IF(AND(P224&lt;=N224,L224&lt;0),IF(Q224&lt;10,"DBL10",IF(Q224&gt;=200,"DBM200",IF(Q224&gt;=150,"DBM150",IF(Q224&gt;=100,"DBM100",IF(Q224&gt;=50,"DBM50","DBM10-50"))))),0)</f>
        <v>16</v>
      </c>
      <c r="AH224">
        <f>IF(AND(P224&gt;=O224,L224&lt;0),IF(Q224&lt;10,"DAL10",IF(Q224&gt;=200,"DAM200",IF(Q224&gt;=150,"DAM150",IF(Q224&gt;=100,"DAM100",IF(Q224&gt;=50,"DAM50","DAM10-50"))))),0)</f>
        <v>0</v>
      </c>
      <c r="AI224">
        <f>IF(AND(P224&gt;=O224,L224&gt;0),IF(Q224&lt;10,"UAL10",IF(Q224&gt;=200,"UAM200",IF(Q224&gt;=150,"UAM150",IF(Q224&gt;=100,"UAM100",IF(Q224&gt;=50,"UAM50","UAM10-50"))))),0)</f>
        <v>0</v>
      </c>
      <c r="AJ224">
        <f>IF(AND(P224&lt;=N224,L224&gt;0),IF(Q224&lt;10,"UBL10",IF(Q224&gt;=200,"UBM200",IF(Q224&gt;=150,"UBM150",IF(Q224&gt;=100,"UBM100",IF(Q224&gt;=50,"UBM50","UBM10-50"))))),0)</f>
        <v>0</v>
      </c>
      <c r="AK224" t="s">
        <f>IF(Q224&lt;45,"down",IF(Q224=45,45,IF(Q224&gt;45,"up")))</f>
        <v>6</v>
      </c>
    </row>
    <row r="225" spans="1:37">
      <c r="A225">
        <f>IF(X225=2603,2603,"Error")</f>
        <v>2603</v>
      </c>
      <c r="B225" t="s">
        <f>IF(K225&lt;11.5,"down",IF(K225=11.5,"low",IF(K225=12.5,"high",IF(AND(K225&gt;11.5,K225&lt;12.5),"normal","up"))))</f>
        <v>84</v>
      </c>
      <c r="C225" t="s">
        <f>IF(K225&lt;11.5,"down",IF(K225=11.5,"low",IF(K225=12.5,"high",IF(AND(K225&gt;11.5,K225&lt;12.5),"normal","up"))))</f>
        <v>84</v>
      </c>
      <c r="D225" t="s">
        <f>IF(K225&lt;11.5,"down",IF(K225=11.5,"low",IF(K225=12.5,"high",IF(AND(K225&gt;11.5,K225&lt;12.5),"normal","up"))))</f>
        <v>84</v>
      </c>
      <c r="E225" t="s">
        <f>IF(K225&lt;10.949999999999999,"down",IF(K225=10.949999999999999,"low",IF(K225=12.5,"high",IF(AND(K225&gt;10.949999999999999,K225&lt;12.5),"normal","up"))))</f>
        <v>84</v>
      </c>
      <c r="F225" t="s">
        <f>IF(P225&lt;12.5,"PVP-down",IF(P225=12.5,12.5,IF(P225&gt;12.5,"PVP-up")))</f>
        <v>80</v>
      </c>
      <c r="G225" t="s">
        <f>IF(R225&lt;18955,"PVV-down",IF(R225=18955,18955,IF(R225&gt;18955,"PVV-up")))</f>
        <v>81</v>
      </c>
      <c r="H225" s="40">
        <f>R225/(Y225/10000)</f>
        <v>0.019900378489200437</v>
      </c>
      <c r="I225">
        <v>12.5</v>
      </c>
      <c r="J225">
        <v>12.449999999999999</v>
      </c>
      <c r="K225">
        <v>12.5</v>
      </c>
      <c r="L225">
        <v>-0.050000000000000003</v>
      </c>
      <c r="M225">
        <v>-0.0040000000000000001</v>
      </c>
      <c r="N225">
        <v>12.4</v>
      </c>
      <c r="O225">
        <v>12.449999999999999</v>
      </c>
      <c r="P225">
        <v>12.449999999999999</v>
      </c>
      <c r="Q225">
        <v>1925</v>
      </c>
      <c r="R225">
        <v>95780</v>
      </c>
      <c r="S225">
        <v>78297</v>
      </c>
      <c r="T225" s="40">
        <f>((P225-K225)/K225)</f>
        <v>-0.0040000000000000565</v>
      </c>
      <c r="U225" s="40">
        <f>((T225*AB225)*D4)</f>
        <v>-0.08589599474334951</v>
      </c>
      <c r="V225" s="3">
        <f>IF(P225&lt;=N225,(P225*Q225*1000),0)</f>
        <v>0</v>
      </c>
      <c r="W225" s="3">
        <f>IF(P225&gt;=O225,(P225*Q225*1000),0)</f>
        <v>23966250</v>
      </c>
      <c r="X225">
        <v>2603</v>
      </c>
      <c r="Y225" s="3">
        <v>48129737860</v>
      </c>
      <c r="Z225" s="40">
        <f>((C4*AB225)/P225)/10</f>
        <v>0.15828911319846853</v>
      </c>
      <c r="AA225" s="40">
        <f>((M225*AB225)*C4)</f>
        <v>-0.078827978372837323</v>
      </c>
      <c r="AB225" s="40">
        <f>AE225/AE323</f>
        <v>0.0016802566069704027</v>
      </c>
      <c r="AC225" s="40">
        <f>AF225/AF323</f>
        <v>0.0016713307155508243</v>
      </c>
      <c r="AD225" s="3">
        <f>IF(ISNA(J225),(I225*Y225)/10,(J225*Y225)/10)</f>
        <v>59921523635.699997</v>
      </c>
      <c r="AE225" s="3">
        <f>IF(ISNA(P225),(I225*Y225)/10,(P225*Y225)/10)</f>
        <v>59921523635.699997</v>
      </c>
      <c r="AF225" s="3">
        <f>(I225*Y225)/10</f>
        <v>60162172325</v>
      </c>
      <c r="AG225">
        <f>IF(AND(P225&lt;=N225,L225&lt;0),IF(Q225&lt;10,"DBL10",IF(Q225&gt;=200,"DBM200",IF(Q225&gt;=150,"DBM150",IF(Q225&gt;=100,"DBM100",IF(Q225&gt;=50,"DBM50","DBM10-50"))))),0)</f>
        <v>0</v>
      </c>
      <c r="AH225" t="s">
        <f>IF(AND(P225&gt;=O225,L225&lt;0),IF(Q225&lt;10,"DAL10",IF(Q225&gt;=200,"DAM200",IF(Q225&gt;=150,"DAM150",IF(Q225&gt;=100,"DAM100",IF(Q225&gt;=50,"DAM50","DAM10-50"))))),0)</f>
        <v>26</v>
      </c>
      <c r="AI225">
        <f>IF(AND(P225&gt;=O225,L225&gt;0),IF(Q225&lt;10,"UAL10",IF(Q225&gt;=200,"UAM200",IF(Q225&gt;=150,"UAM150",IF(Q225&gt;=100,"UAM100",IF(Q225&gt;=50,"UAM50","UAM10-50"))))),0)</f>
        <v>0</v>
      </c>
      <c r="AJ225">
        <f>IF(AND(P225&lt;=N225,L225&gt;0),IF(Q225&lt;10,"UBL10",IF(Q225&gt;=200,"UBM200",IF(Q225&gt;=150,"UBM150",IF(Q225&gt;=100,"UBM100",IF(Q225&gt;=50,"UBM50","UBM10-50"))))),0)</f>
        <v>0</v>
      </c>
      <c r="AK225" t="s">
        <f>IF(Q225&lt;1950,"down",IF(Q225=1950,1950,IF(Q225&gt;1950,"up")))</f>
        <v>7</v>
      </c>
    </row>
    <row r="226" spans="1:37">
      <c r="A226">
        <f>IF(X226=2618,2618,"Error")</f>
        <v>2618</v>
      </c>
      <c r="B226" t="s">
        <f>IF(K226&lt;10.75,"down",IF(K226=10.75,"low",IF(K226=11.25,"high",IF(AND(K226&gt;10.75,K226&lt;11.25),"normal","up"))))</f>
        <v>79</v>
      </c>
      <c r="C226" t="s">
        <f>IF(K226&lt;10.75,"down",IF(K226=10.75,"low",IF(K226=11.25,"high",IF(AND(K226&gt;10.75,K226&lt;11.25),"normal","up"))))</f>
        <v>79</v>
      </c>
      <c r="D226" t="s">
        <f>IF(K226&lt;10.75,"down",IF(K226=10.75,"low",IF(K226=11.25,"high",IF(AND(K226&gt;10.75,K226&lt;11.25),"normal","up"))))</f>
        <v>79</v>
      </c>
      <c r="E226" t="s">
        <f>IF(K226&lt;10.35,"down",IF(K226=10.35,"low",IF(K226=11.25,"high",IF(AND(K226&gt;10.35,K226&lt;11.25),"normal","up"))))</f>
        <v>79</v>
      </c>
      <c r="F226" t="s">
        <f>IF(P226&lt;11.050000000000001,"PVP-down",IF(P226=11.050000000000001,11.050000000000001,IF(P226&gt;11.050000000000001,"PVP-up")))</f>
        <v>80</v>
      </c>
      <c r="G226" t="s">
        <f>IF(R226&lt;7599,"PVV-down",IF(R226=7599,7599,IF(R226&gt;7599,"PVV-up")))</f>
        <v>81</v>
      </c>
      <c r="H226" s="40">
        <f>R226/(Y226/10000)</f>
        <v>0.002447889130768374</v>
      </c>
      <c r="I226">
        <v>11.1</v>
      </c>
      <c r="J226">
        <v>10.949999999999999</v>
      </c>
      <c r="K226">
        <v>11.1</v>
      </c>
      <c r="L226">
        <v>-0.14999999999999999</v>
      </c>
      <c r="M226">
        <v>-0.0135</v>
      </c>
      <c r="N226">
        <v>10.9</v>
      </c>
      <c r="O226">
        <v>10.949999999999999</v>
      </c>
      <c r="P226">
        <v>10.949999999999999</v>
      </c>
      <c r="Q226">
        <v>731</v>
      </c>
      <c r="R226">
        <v>11881</v>
      </c>
      <c r="S226">
        <v>28529</v>
      </c>
      <c r="T226" s="40">
        <f>((P226-K226)/K226)</f>
        <v>-0.013513513513513545</v>
      </c>
      <c r="U226" s="40">
        <f>((T226*AB226)*D4)</f>
        <v>-0.25737936546687051</v>
      </c>
      <c r="V226" s="3">
        <f>IF(P226&lt;=N226,(P226*Q226*1000),0)</f>
        <v>0</v>
      </c>
      <c r="W226" s="3">
        <f>IF(P226&gt;=O226,(P226*Q226*1000),0)</f>
        <v>8004450</v>
      </c>
      <c r="X226">
        <v>2618</v>
      </c>
      <c r="Y226" s="3">
        <v>48535694900</v>
      </c>
      <c r="Z226" s="40">
        <f>((C4*AB226)/P226)/10</f>
        <v>0.15962422497583145</v>
      </c>
      <c r="AA226" s="40">
        <f>((M226*AB226)*C4)</f>
        <v>-0.23596451057052278</v>
      </c>
      <c r="AB226" s="40">
        <f>AE226/AE323</f>
        <v>0.0014902808991531717</v>
      </c>
      <c r="AC226" s="40">
        <f>AF226/AF323</f>
        <v>0.0014966598770091964</v>
      </c>
      <c r="AD226" s="3">
        <f>IF(ISNA(J226),(I226*Y226)/10,(J226*Y226)/10)</f>
        <v>53146585915.499992</v>
      </c>
      <c r="AE226" s="3">
        <f>IF(ISNA(P226),(I226*Y226)/10,(P226*Y226)/10)</f>
        <v>53146585915.499992</v>
      </c>
      <c r="AF226" s="3">
        <f>(I226*Y226)/10</f>
        <v>53874621339</v>
      </c>
      <c r="AG226">
        <f>IF(AND(P226&lt;=N226,L226&lt;0),IF(Q226&lt;10,"DBL10",IF(Q226&gt;=200,"DBM200",IF(Q226&gt;=150,"DBM150",IF(Q226&gt;=100,"DBM100",IF(Q226&gt;=50,"DBM50","DBM10-50"))))),0)</f>
        <v>0</v>
      </c>
      <c r="AH226" t="s">
        <f>IF(AND(P226&gt;=O226,L226&lt;0),IF(Q226&lt;10,"DAL10",IF(Q226&gt;=200,"DAM200",IF(Q226&gt;=150,"DAM150",IF(Q226&gt;=100,"DAM100",IF(Q226&gt;=50,"DAM50","DAM10-50"))))),0)</f>
        <v>26</v>
      </c>
      <c r="AI226">
        <f>IF(AND(P226&gt;=O226,L226&gt;0),IF(Q226&lt;10,"UAL10",IF(Q226&gt;=200,"UAM200",IF(Q226&gt;=150,"UAM150",IF(Q226&gt;=100,"UAM100",IF(Q226&gt;=50,"UAM50","UAM10-50"))))),0)</f>
        <v>0</v>
      </c>
      <c r="AJ226">
        <f>IF(AND(P226&lt;=N226,L226&gt;0),IF(Q226&lt;10,"UBL10",IF(Q226&gt;=200,"UBM200",IF(Q226&gt;=150,"UBM150",IF(Q226&gt;=100,"UBM100",IF(Q226&gt;=50,"UBM50","UBM10-50"))))),0)</f>
        <v>0</v>
      </c>
      <c r="AK226" t="s">
        <f>IF(Q226&lt;373,"down",IF(Q226=373,373,IF(Q226&gt;373,"up")))</f>
        <v>6</v>
      </c>
    </row>
    <row r="227" spans="1:37">
      <c r="A227">
        <f>IF(X227=1229,1229,"Error")</f>
        <v>1229</v>
      </c>
      <c r="B227" t="s">
        <f>IF(K227&lt;47,"down",IF(K227=47,"low",IF(K227=47.200000000000003,"high",IF(AND(K227&gt;47,K227&lt;47.200000000000003),"normal","up"))))</f>
        <v>84</v>
      </c>
      <c r="C227" t="s">
        <f>IF(K227&lt;47,"down",IF(K227=47,"low",IF(K227=47.200000000000003,"high",IF(AND(K227&gt;47,K227&lt;47.200000000000003),"normal","up"))))</f>
        <v>84</v>
      </c>
      <c r="D227" t="s">
        <f>IF(K227&lt;47,"down",IF(K227=47,"low",IF(K227=47.200000000000003,"high",IF(AND(K227&gt;47,K227&lt;47.200000000000003),"normal","up"))))</f>
        <v>84</v>
      </c>
      <c r="E227" t="s">
        <f>IF(K227&lt;46.700000000000003,"down",IF(K227=46.700000000000003,"low",IF(K227=47.5,"high",IF(AND(K227&gt;46.700000000000003,K227&lt;47.5),"normal","up"))))</f>
        <v>79</v>
      </c>
      <c r="F227" t="s">
        <f>IF(P227&lt;47.100000000000001,"PVP-down",IF(P227=47.100000000000001,47.100000000000001,IF(P227&gt;47.100000000000001,"PVP-up")))</f>
        <v>83</v>
      </c>
      <c r="G227" t="s">
        <f>IF(R227&lt;2128,"PVV-down",IF(R227=2128,2128,IF(R227&gt;2128,"PVV-up")))</f>
        <v>81</v>
      </c>
      <c r="H227" s="40">
        <f>R227/(Y227/10000)</f>
        <v>0.0059896454843253906</v>
      </c>
      <c r="I227">
        <v>47.200000000000003</v>
      </c>
      <c r="J227">
        <v>47.149999999999999</v>
      </c>
      <c r="K227">
        <v>47.200000000000003</v>
      </c>
      <c r="L227">
        <v>-0.050000000000000003</v>
      </c>
      <c r="M227">
        <v>-0.0011000000000000001</v>
      </c>
      <c r="N227">
        <v>47.149999999999999</v>
      </c>
      <c r="O227">
        <v>47.200000000000003</v>
      </c>
      <c r="P227">
        <v>47.149999999999999</v>
      </c>
      <c r="Q227">
        <v>347</v>
      </c>
      <c r="R227">
        <v>6617</v>
      </c>
      <c r="S227">
        <v>5330</v>
      </c>
      <c r="T227" s="40">
        <f>((P227-K227)/K227)</f>
        <v>-0.0010593220338983953</v>
      </c>
      <c r="U227" s="40">
        <f>((T227*AB227)*D4)</f>
        <v>-0.01977423967772305</v>
      </c>
      <c r="V227" s="3">
        <f>IF(P227&lt;=N227,(P227*Q227*1000),0)</f>
        <v>16361050</v>
      </c>
      <c r="W227" s="3">
        <f>IF(P227&gt;=O227,(P227*Q227*1000),0)</f>
        <v>0</v>
      </c>
      <c r="X227">
        <v>1229</v>
      </c>
      <c r="Y227" s="3">
        <v>11047398410</v>
      </c>
      <c r="Z227" s="40">
        <f>((C4*AB227)/P227)/10</f>
        <v>0.036332691080837545</v>
      </c>
      <c r="AA227" s="40">
        <f>((M227*AB227)*C4)</f>
        <v>-0.018843950229076395</v>
      </c>
      <c r="AB227" s="40">
        <f>AE227/AE323</f>
        <v>0.0014606106995098641</v>
      </c>
      <c r="AC227" s="40">
        <f>AF227/AF323</f>
        <v>0.0014485747159517118</v>
      </c>
      <c r="AD227" s="3">
        <f>IF(ISNA(J227),(I227*Y227)/10,(J227*Y227)/10)</f>
        <v>52088483503.150002</v>
      </c>
      <c r="AE227" s="3">
        <f>IF(ISNA(P227),(I227*Y227)/10,(P227*Y227)/10)</f>
        <v>52088483503.150002</v>
      </c>
      <c r="AF227" s="3">
        <f>(I227*Y227)/10</f>
        <v>52143720495.200005</v>
      </c>
      <c r="AG227" t="s">
        <f>IF(AND(P227&lt;=N227,L227&lt;0),IF(Q227&lt;10,"DBL10",IF(Q227&gt;=200,"DBM200",IF(Q227&gt;=150,"DBM150",IF(Q227&gt;=100,"DBM100",IF(Q227&gt;=50,"DBM50","DBM10-50"))))),0)</f>
        <v>16</v>
      </c>
      <c r="AH227">
        <f>IF(AND(P227&gt;=O227,L227&lt;0),IF(Q227&lt;10,"DAL10",IF(Q227&gt;=200,"DAM200",IF(Q227&gt;=150,"DAM150",IF(Q227&gt;=100,"DAM100",IF(Q227&gt;=50,"DAM50","DAM10-50"))))),0)</f>
        <v>0</v>
      </c>
      <c r="AI227">
        <f>IF(AND(P227&gt;=O227,L227&gt;0),IF(Q227&lt;10,"UAL10",IF(Q227&gt;=200,"UAM200",IF(Q227&gt;=150,"UAM150",IF(Q227&gt;=100,"UAM100",IF(Q227&gt;=50,"UAM50","UAM10-50"))))),0)</f>
        <v>0</v>
      </c>
      <c r="AJ227">
        <f>IF(AND(P227&lt;=N227,L227&gt;0),IF(Q227&lt;10,"UBL10",IF(Q227&gt;=200,"UBM200",IF(Q227&gt;=150,"UBM150",IF(Q227&gt;=100,"UBM100",IF(Q227&gt;=50,"UBM50","UBM10-50"))))),0)</f>
        <v>0</v>
      </c>
      <c r="AK227" t="s">
        <f>IF(Q227&lt;74,"down",IF(Q227=74,74,IF(Q227&gt;74,"up")))</f>
        <v>6</v>
      </c>
    </row>
    <row r="228" spans="1:37">
      <c r="A228">
        <f>IF(X228=9945,9945,"Error")</f>
        <v>9945</v>
      </c>
      <c r="B228" t="s">
        <f>IF(K228&lt;53,"down",IF(K228=53,"low",IF(K228=53.799999999999997,"high",IF(AND(K228&gt;53,K228&lt;53.799999999999997),"normal","up"))))</f>
        <v>79</v>
      </c>
      <c r="C228" t="s">
        <f>IF(K228&lt;53,"down",IF(K228=53,"low",IF(K228=53.799999999999997,"high",IF(AND(K228&gt;53,K228&lt;53.799999999999997),"normal","up"))))</f>
        <v>79</v>
      </c>
      <c r="D228" t="s">
        <f>IF(K228&lt;53,"down",IF(K228=53,"low",IF(K228=53.799999999999997,"high",IF(AND(K228&gt;53,K228&lt;53.799999999999997),"normal","up"))))</f>
        <v>79</v>
      </c>
      <c r="E228" t="s">
        <f>IF(K228&lt;51.299999999999997,"down",IF(K228=51.299999999999997,"low",IF(K228=53.899999999999999,"high",IF(AND(K228&gt;51.299999999999997,K228&lt;53.899999999999999),"normal","up"))))</f>
        <v>79</v>
      </c>
      <c r="F228" t="s">
        <f>IF(P228&lt;53.299999999999997,"PVP-down",IF(P228=53.299999999999997,53.299999999999997,IF(P228&gt;53.299999999999997,"PVP-up")))</f>
        <v>80</v>
      </c>
      <c r="G228" t="s">
        <f>IF(R228&lt;1094,"PVV-down",IF(R228=1094,1094,IF(R228&gt;1094,"PVV-up")))</f>
        <v>81</v>
      </c>
      <c r="H228" s="40">
        <f>R228/(Y228/10000)</f>
        <v>0.0037218889769907613</v>
      </c>
      <c r="I228">
        <v>53.299999999999997</v>
      </c>
      <c r="J228">
        <v>52.600000000000001</v>
      </c>
      <c r="K228">
        <v>53.5</v>
      </c>
      <c r="L228">
        <v>-0.59999999999999998</v>
      </c>
      <c r="M228">
        <v>-0.011299999999999999</v>
      </c>
      <c r="N228">
        <v>52.700000000000003</v>
      </c>
      <c r="O228">
        <v>52.799999999999997</v>
      </c>
      <c r="P228">
        <v>52.700000000000003</v>
      </c>
      <c r="Q228">
        <v>308</v>
      </c>
      <c r="R228">
        <v>3734</v>
      </c>
      <c r="S228">
        <v>2563</v>
      </c>
      <c r="T228" s="40">
        <f>((P228-K228)/K228)</f>
        <v>-0.01495327102803733</v>
      </c>
      <c r="U228" s="40">
        <f>((T228*AB228)*D4)</f>
        <v>-0.28332688978202702</v>
      </c>
      <c r="V228" s="3">
        <f>IF(P228&lt;=N228,(P228*Q228*1000),0)</f>
        <v>16231600</v>
      </c>
      <c r="W228" s="3">
        <f>IF(P228&gt;=O228,(P228*Q228*1000),0)</f>
        <v>0</v>
      </c>
      <c r="X228">
        <v>9945</v>
      </c>
      <c r="Y228" s="3">
        <v>10032539990</v>
      </c>
      <c r="Z228" s="40">
        <f>((C4*AB228)/P228)/10</f>
        <v>0.032995024048636537</v>
      </c>
      <c r="AA228" s="40">
        <f>((M228*AB228)*C4)</f>
        <v>-0.19648866771203544</v>
      </c>
      <c r="AB228" s="40">
        <f>AE228/AE323</f>
        <v>0.0014825668283627335</v>
      </c>
      <c r="AC228" s="40">
        <f>AF228/AF323</f>
        <v>0.001485514837427986</v>
      </c>
      <c r="AD228" s="3">
        <f>IF(ISNA(J228),(I228*Y228)/10,(J228*Y228)/10)</f>
        <v>52771160347.400002</v>
      </c>
      <c r="AE228" s="3">
        <f>IF(ISNA(P228),(I228*Y228)/10,(P228*Y228)/10)</f>
        <v>52871485747.300003</v>
      </c>
      <c r="AF228" s="3">
        <f>(I228*Y228)/10</f>
        <v>53473438146.699997</v>
      </c>
      <c r="AG228" t="s">
        <f>IF(AND(P228&lt;=N228,L228&lt;0),IF(Q228&lt;10,"DBL10",IF(Q228&gt;=200,"DBM200",IF(Q228&gt;=150,"DBM150",IF(Q228&gt;=100,"DBM100",IF(Q228&gt;=50,"DBM50","DBM10-50"))))),0)</f>
        <v>16</v>
      </c>
      <c r="AH228">
        <f>IF(AND(P228&gt;=O228,L228&lt;0),IF(Q228&lt;10,"DAL10",IF(Q228&gt;=200,"DAM200",IF(Q228&gt;=150,"DAM150",IF(Q228&gt;=100,"DAM100",IF(Q228&gt;=50,"DAM50","DAM10-50"))))),0)</f>
        <v>0</v>
      </c>
      <c r="AI228">
        <f>IF(AND(P228&gt;=O228,L228&gt;0),IF(Q228&lt;10,"UAL10",IF(Q228&gt;=200,"UAM200",IF(Q228&gt;=150,"UAM150",IF(Q228&gt;=100,"UAM100",IF(Q228&gt;=50,"UAM50","UAM10-50"))))),0)</f>
        <v>0</v>
      </c>
      <c r="AJ228">
        <f>IF(AND(P228&lt;=N228,L228&gt;0),IF(Q228&lt;10,"UBL10",IF(Q228&gt;=200,"UBM200",IF(Q228&gt;=150,"UBM150",IF(Q228&gt;=100,"UBM100",IF(Q228&gt;=50,"UBM50","UBM10-50"))))),0)</f>
        <v>0</v>
      </c>
      <c r="AK228" t="s">
        <f>IF(Q228&lt;56,"down",IF(Q228=56,56,IF(Q228&gt;56,"up")))</f>
        <v>6</v>
      </c>
    </row>
    <row r="229" spans="1:37">
      <c r="A229">
        <f>IF(X229=1434,1434,"Error")</f>
        <v>1434</v>
      </c>
      <c r="B229" t="s">
        <f>IF(K229&lt;30.300000000000001,"down",IF(K229=30.300000000000001,"low",IF(K229=31.100000000000001,"high",IF(AND(K229&gt;30.300000000000001,K229&lt;31.100000000000001),"normal","up"))))</f>
        <v>79</v>
      </c>
      <c r="C229" t="s">
        <f>IF(K229&lt;30.300000000000001,"down",IF(K229=30.300000000000001,"low",IF(K229=31.100000000000001,"high",IF(AND(K229&gt;30.300000000000001,K229&lt;31.100000000000001),"normal","up"))))</f>
        <v>79</v>
      </c>
      <c r="D229" t="s">
        <f>IF(K229&lt;30.300000000000001,"down",IF(K229=30.300000000000001,"low",IF(K229=31.100000000000001,"high",IF(AND(K229&gt;30.300000000000001,K229&lt;31.100000000000001),"normal","up"))))</f>
        <v>79</v>
      </c>
      <c r="E229" t="s">
        <f>IF(K229&lt;29.699999999999999,"down",IF(K229=29.699999999999999,"low",IF(K229=31.100000000000001,"high",IF(AND(K229&gt;29.699999999999999,K229&lt;31.100000000000001),"normal","up"))))</f>
        <v>79</v>
      </c>
      <c r="F229" t="s">
        <f>IF(P229&lt;30.75,"PVP-down",IF(P229=30.75,30.75,IF(P229&gt;30.75,"PVP-up")))</f>
        <v>83</v>
      </c>
      <c r="G229" t="s">
        <f>IF(R229&lt;448,"PVV-down",IF(R229=448,448,IF(R229&gt;448,"PVV-up")))</f>
        <v>81</v>
      </c>
      <c r="H229" s="40">
        <f>R229/(Y229/10000)</f>
        <v>0.0014839748784968411</v>
      </c>
      <c r="I229">
        <v>30.800000000000001</v>
      </c>
      <c r="J229">
        <v>30.850000000000001</v>
      </c>
      <c r="K229">
        <v>31</v>
      </c>
      <c r="L229">
        <v>0.050000000000000003</v>
      </c>
      <c r="M229">
        <v>0.0016000000000000001</v>
      </c>
      <c r="N229">
        <v>30.850000000000001</v>
      </c>
      <c r="O229">
        <v>30.899999999999999</v>
      </c>
      <c r="P229">
        <v>30.850000000000001</v>
      </c>
      <c r="Q229">
        <v>141</v>
      </c>
      <c r="R229">
        <v>2500</v>
      </c>
      <c r="S229">
        <v>2575</v>
      </c>
      <c r="T229" s="40">
        <f>((P229-K229)/K229)</f>
        <v>-0.0048387096774193091</v>
      </c>
      <c r="U229" s="40">
        <f>((T229*AB229)*D4)</f>
        <v>-0.09012147013987741</v>
      </c>
      <c r="V229" s="3">
        <f>IF(P229&lt;=N229,(P229*Q229*1000),0)</f>
        <v>4349850</v>
      </c>
      <c r="W229" s="3">
        <f>IF(P229&gt;=O229,(P229*Q229*1000),0)</f>
        <v>0</v>
      </c>
      <c r="X229">
        <v>1434</v>
      </c>
      <c r="Y229" s="3">
        <v>16846646370</v>
      </c>
      <c r="Z229" s="40">
        <f>((C4*AB229)/P229)/10</f>
        <v>0.055405261546036991</v>
      </c>
      <c r="AA229" s="40">
        <f>((M229*AB229)*C4)</f>
        <v>0.027348037099123861</v>
      </c>
      <c r="AB229" s="40">
        <f>AE229/AE323</f>
        <v>0.0014573417006248086</v>
      </c>
      <c r="AC229" s="40">
        <f>AF229/AF323</f>
        <v>0.0014414615471448188</v>
      </c>
      <c r="AD229" s="3">
        <f>IF(ISNA(J229),(I229*Y229)/10,(J229*Y229)/10)</f>
        <v>51971904051.449997</v>
      </c>
      <c r="AE229" s="3">
        <f>IF(ISNA(P229),(I229*Y229)/10,(P229*Y229)/10)</f>
        <v>51971904051.449997</v>
      </c>
      <c r="AF229" s="3">
        <f>(I229*Y229)/10</f>
        <v>51887670819.599998</v>
      </c>
      <c r="AG229">
        <f>IF(AND(P229&lt;=N229,L229&lt;0),IF(Q229&lt;10,"DBL10",IF(Q229&gt;=200,"DBM200",IF(Q229&gt;=150,"DBM150",IF(Q229&gt;=100,"DBM100",IF(Q229&gt;=50,"DBM50","DBM10-50"))))),0)</f>
        <v>0</v>
      </c>
      <c r="AH229">
        <f>IF(AND(P229&gt;=O229,L229&lt;0),IF(Q229&lt;10,"DAL10",IF(Q229&gt;=200,"DAM200",IF(Q229&gt;=150,"DAM150",IF(Q229&gt;=100,"DAM100",IF(Q229&gt;=50,"DAM50","DAM10-50"))))),0)</f>
        <v>0</v>
      </c>
      <c r="AI229">
        <f>IF(AND(P229&gt;=O229,L229&gt;0),IF(Q229&lt;10,"UAL10",IF(Q229&gt;=200,"UAM200",IF(Q229&gt;=150,"UAM150",IF(Q229&gt;=100,"UAM100",IF(Q229&gt;=50,"UAM50","UAM10-50"))))),0)</f>
        <v>0</v>
      </c>
      <c r="AJ229" t="s">
        <f>IF(AND(P229&lt;=N229,L229&gt;0),IF(Q229&lt;10,"UBL10",IF(Q229&gt;=200,"UBM200",IF(Q229&gt;=150,"UBM150",IF(Q229&gt;=100,"UBM100",IF(Q229&gt;=50,"UBM50","UBM10-50"))))),0)</f>
        <v>19</v>
      </c>
      <c r="AK229" t="s">
        <f>IF(Q229&lt;25,"down",IF(Q229=25,25,IF(Q229&gt;25,"up")))</f>
        <v>6</v>
      </c>
    </row>
    <row r="230" spans="1:37">
      <c r="A230">
        <f>IF(X230=2542,2542,"Error")</f>
        <v>2542</v>
      </c>
      <c r="B230" t="s">
        <f>IF(K230&lt;42.799999999999997,"down",IF(K230=42.799999999999997,"low",IF(K230=43.049999999999997,"high",IF(AND(K230&gt;42.799999999999997,K230&lt;43.049999999999997),"normal","up"))))</f>
        <v>79</v>
      </c>
      <c r="C230" t="s">
        <f>IF(K230&lt;42.799999999999997,"down",IF(K230=42.799999999999997,"low",IF(K230=43.049999999999997,"high",IF(AND(K230&gt;42.799999999999997,K230&lt;43.049999999999997),"normal","up"))))</f>
        <v>79</v>
      </c>
      <c r="D230" t="s">
        <f>IF(K230&lt;42.799999999999997,"down",IF(K230=42.799999999999997,"low",IF(K230=43.049999999999997,"high",IF(AND(K230&gt;42.799999999999997,K230&lt;43.049999999999997),"normal","up"))))</f>
        <v>79</v>
      </c>
      <c r="E230" t="s">
        <f>IF(K230&lt;42.149999999999999,"down",IF(K230=42.149999999999999,"low",IF(K230=43.25,"high",IF(AND(K230&gt;42.149999999999999,K230&lt;43.25),"normal","up"))))</f>
        <v>79</v>
      </c>
      <c r="F230" t="s">
        <f>IF(P230&lt;42.899999999999999,"PVP-down",IF(P230=42.899999999999999,42.899999999999999,IF(P230&gt;42.899999999999999,"PVP-up")))</f>
        <v>80</v>
      </c>
      <c r="G230" t="s">
        <f>IF(R230&lt;504,"PVV-down",IF(R230=504,504,IF(R230&gt;504,"PVV-up")))</f>
        <v>81</v>
      </c>
      <c r="H230" s="40">
        <f>R230/(Y230/10000)</f>
        <v>0.0010508912950227031</v>
      </c>
      <c r="I230">
        <v>42.899999999999999</v>
      </c>
      <c r="J230">
        <v>42.700000000000003</v>
      </c>
      <c r="K230">
        <v>43</v>
      </c>
      <c r="L230">
        <v>-0.20000000000000001</v>
      </c>
      <c r="M230">
        <v>-0.0047000000000000002</v>
      </c>
      <c r="N230">
        <v>42.700000000000003</v>
      </c>
      <c r="O230">
        <v>42.75</v>
      </c>
      <c r="P230">
        <v>42.700000000000003</v>
      </c>
      <c r="Q230">
        <v>100</v>
      </c>
      <c r="R230">
        <v>1226</v>
      </c>
      <c r="S230">
        <v>1415</v>
      </c>
      <c r="T230" s="40">
        <f>((P230-K230)/K230)</f>
        <v>-0.0069767441860464456</v>
      </c>
      <c r="U230" s="40">
        <f>((T230*AB230)*D4)</f>
        <v>-0.12454991176865787</v>
      </c>
      <c r="V230" s="3">
        <f>IF(P230&lt;=N230,(P230*Q230*1000),0)</f>
        <v>4270000</v>
      </c>
      <c r="W230" s="3">
        <f>IF(P230&gt;=O230,(P230*Q230*1000),0)</f>
        <v>0</v>
      </c>
      <c r="X230">
        <v>2542</v>
      </c>
      <c r="Y230" s="3">
        <v>11666287520</v>
      </c>
      <c r="Z230" s="40">
        <f>((C4*AB230)/P230)/10</f>
        <v>0.03836809398860002</v>
      </c>
      <c r="AA230" s="40">
        <f>((M230*AB230)*C4)</f>
        <v>-0.077000927825721391</v>
      </c>
      <c r="AB230" s="40">
        <f>AE230/AE323</f>
        <v>0.0013968613940930818</v>
      </c>
      <c r="AC230" s="40">
        <f>AF230/AF323</f>
        <v>0.0013903650848331257</v>
      </c>
      <c r="AD230" s="3">
        <f>IF(ISNA(J230),(I230*Y230)/10,(J230*Y230)/10)</f>
        <v>49815047710.400009</v>
      </c>
      <c r="AE230" s="3">
        <f>IF(ISNA(P230),(I230*Y230)/10,(P230*Y230)/10)</f>
        <v>49815047710.400009</v>
      </c>
      <c r="AF230" s="3">
        <f>(I230*Y230)/10</f>
        <v>50048373460.800003</v>
      </c>
      <c r="AG230" t="s">
        <f>IF(AND(P230&lt;=N230,L230&lt;0),IF(Q230&lt;10,"DBL10",IF(Q230&gt;=200,"DBM200",IF(Q230&gt;=150,"DBM150",IF(Q230&gt;=100,"DBM100",IF(Q230&gt;=50,"DBM50","DBM10-50"))))),0)</f>
        <v>14</v>
      </c>
      <c r="AH230">
        <f>IF(AND(P230&gt;=O230,L230&lt;0),IF(Q230&lt;10,"DAL10",IF(Q230&gt;=200,"DAM200",IF(Q230&gt;=150,"DAM150",IF(Q230&gt;=100,"DAM100",IF(Q230&gt;=50,"DAM50","DAM10-50"))))),0)</f>
        <v>0</v>
      </c>
      <c r="AI230">
        <f>IF(AND(P230&gt;=O230,L230&gt;0),IF(Q230&lt;10,"UAL10",IF(Q230&gt;=200,"UAM200",IF(Q230&gt;=150,"UAM150",IF(Q230&gt;=100,"UAM100",IF(Q230&gt;=50,"UAM50","UAM10-50"))))),0)</f>
        <v>0</v>
      </c>
      <c r="AJ230">
        <f>IF(AND(P230&lt;=N230,L230&gt;0),IF(Q230&lt;10,"UBL10",IF(Q230&gt;=200,"UBM200",IF(Q230&gt;=150,"UBM150",IF(Q230&gt;=100,"UBM100",IF(Q230&gt;=50,"UBM50","UBM10-50"))))),0)</f>
        <v>0</v>
      </c>
      <c r="AK230" t="s">
        <f>IF(Q230&lt;26,"down",IF(Q230=26,26,IF(Q230&gt;26,"up")))</f>
        <v>6</v>
      </c>
    </row>
    <row r="231" spans="1:37">
      <c r="A231">
        <f>IF(X231=1605,1605,"Error")</f>
        <v>1605</v>
      </c>
      <c r="B231" t="s">
        <f>IF(K231&lt;15.800000000000001,"down",IF(K231=15.800000000000001,"low",IF(K231=16.100000000000001,"high",IF(AND(K231&gt;15.800000000000001,K231&lt;16.100000000000001),"normal","up"))))</f>
        <v>79</v>
      </c>
      <c r="C231" t="s">
        <f>IF(K231&lt;15.800000000000001,"down",IF(K231=15.800000000000001,"low",IF(K231=16.100000000000001,"high",IF(AND(K231&gt;15.800000000000001,K231&lt;16.100000000000001),"normal","up"))))</f>
        <v>79</v>
      </c>
      <c r="D231" t="s">
        <f>IF(K231&lt;15.800000000000001,"down",IF(K231=15.800000000000001,"low",IF(K231=16.100000000000001,"high",IF(AND(K231&gt;15.800000000000001,K231&lt;16.100000000000001),"normal","up"))))</f>
        <v>79</v>
      </c>
      <c r="E231" t="s">
        <f>IF(K231&lt;14.300000000000001,"down",IF(K231=14.300000000000001,"low",IF(K231=16.149999999999999,"high",IF(AND(K231&gt;14.300000000000001,K231&lt;16.149999999999999),"normal","up"))))</f>
        <v>79</v>
      </c>
      <c r="F231" t="s">
        <f>IF(P231&lt;15.949999999999999,"PVP-down",IF(P231=15.949999999999999,15.949999999999999,IF(P231&gt;15.949999999999999,"PVP-up")))</f>
        <v>80</v>
      </c>
      <c r="G231" t="s">
        <f>IF(R231&lt;5410,"PVV-down",IF(R231=5410,5410,IF(R231&gt;5410,"PVV-up")))</f>
        <v>81</v>
      </c>
      <c r="H231" s="40">
        <f>R231/(Y231/10000)</f>
        <v>0.0040637399132757374</v>
      </c>
      <c r="I231">
        <v>15.949999999999999</v>
      </c>
      <c r="J231">
        <v>15.65</v>
      </c>
      <c r="K231">
        <v>15.949999999999999</v>
      </c>
      <c r="L231">
        <v>-0.29999999999999999</v>
      </c>
      <c r="M231">
        <v>-0.018800000000000001</v>
      </c>
      <c r="N231">
        <v>15.65</v>
      </c>
      <c r="O231">
        <v>15.699999999999999</v>
      </c>
      <c r="P231">
        <v>15.65</v>
      </c>
      <c r="Q231">
        <v>226</v>
      </c>
      <c r="R231">
        <v>13516</v>
      </c>
      <c r="S231">
        <v>11875</v>
      </c>
      <c r="T231" s="40">
        <f>((P231-K231)/K231)</f>
        <v>-0.01880877742946702</v>
      </c>
      <c r="U231" s="40">
        <f>((T231*AB231)*D4)</f>
        <v>-0.3508546705992252</v>
      </c>
      <c r="V231" s="3">
        <f>IF(P231&lt;=N231,(P231*Q231*1000),0)</f>
        <v>3536900</v>
      </c>
      <c r="W231" s="3">
        <f>IF(P231&gt;=O231,(P231*Q231*1000),0)</f>
        <v>0</v>
      </c>
      <c r="X231">
        <v>1605</v>
      </c>
      <c r="Y231" s="3">
        <v>33260002580</v>
      </c>
      <c r="Z231" s="40">
        <f>((C4*AB231)/P231)/10</f>
        <v>0.10938551813186574</v>
      </c>
      <c r="AA231" s="40">
        <f>((M231*AB231)*C4)</f>
        <v>-0.32183407144757542</v>
      </c>
      <c r="AB231" s="40">
        <f>AE231/AE323</f>
        <v>0.0014595849764512268</v>
      </c>
      <c r="AC231" s="40">
        <f>AF231/AF323</f>
        <v>0.0014737433259471252</v>
      </c>
      <c r="AD231" s="3">
        <f>IF(ISNA(J231),(I231*Y231)/10,(J231*Y231)/10)</f>
        <v>52051904037.699997</v>
      </c>
      <c r="AE231" s="3">
        <f>IF(ISNA(P231),(I231*Y231)/10,(P231*Y231)/10)</f>
        <v>52051904037.699997</v>
      </c>
      <c r="AF231" s="3">
        <f>(I231*Y231)/10</f>
        <v>53049704115.099998</v>
      </c>
      <c r="AG231" t="s">
        <f>IF(AND(P231&lt;=N231,L231&lt;0),IF(Q231&lt;10,"DBL10",IF(Q231&gt;=200,"DBM200",IF(Q231&gt;=150,"DBM150",IF(Q231&gt;=100,"DBM100",IF(Q231&gt;=50,"DBM50","DBM10-50"))))),0)</f>
        <v>16</v>
      </c>
      <c r="AH231">
        <f>IF(AND(P231&gt;=O231,L231&lt;0),IF(Q231&lt;10,"DAL10",IF(Q231&gt;=200,"DAM200",IF(Q231&gt;=150,"DAM150",IF(Q231&gt;=100,"DAM100",IF(Q231&gt;=50,"DAM50","DAM10-50"))))),0)</f>
        <v>0</v>
      </c>
      <c r="AI231">
        <f>IF(AND(P231&gt;=O231,L231&gt;0),IF(Q231&lt;10,"UAL10",IF(Q231&gt;=200,"UAM200",IF(Q231&gt;=150,"UAM150",IF(Q231&gt;=100,"UAM100",IF(Q231&gt;=50,"UAM50","UAM10-50"))))),0)</f>
        <v>0</v>
      </c>
      <c r="AJ231">
        <f>IF(AND(P231&lt;=N231,L231&gt;0),IF(Q231&lt;10,"UBL10",IF(Q231&gt;=200,"UBM200",IF(Q231&gt;=150,"UBM150",IF(Q231&gt;=100,"UBM100",IF(Q231&gt;=50,"UBM50","UBM10-50"))))),0)</f>
        <v>0</v>
      </c>
      <c r="AK231" t="s">
        <f>IF(Q231&lt;271,"down",IF(Q231=271,271,IF(Q231&gt;271,"up")))</f>
        <v>7</v>
      </c>
    </row>
    <row r="232" spans="1:37">
      <c r="A232">
        <f>IF(X232=2923,2923,"Error")</f>
        <v>2923</v>
      </c>
      <c r="B232" t="s">
        <f>IF(K232&lt;24.5,"down",IF(K232=24.5,"low",IF(K232=25.300000000000001,"high",IF(AND(K232&gt;24.5,K232&lt;25.300000000000001),"normal","up"))))</f>
        <v>79</v>
      </c>
      <c r="C232" t="s">
        <f>IF(K232&lt;24.5,"down",IF(K232=24.5,"low",IF(K232=25.300000000000001,"high",IF(AND(K232&gt;24.5,K232&lt;25.300000000000001),"normal","up"))))</f>
        <v>79</v>
      </c>
      <c r="D232" t="s">
        <f>IF(K232&lt;24.5,"down",IF(K232=24.5,"low",IF(K232=25.300000000000001,"high",IF(AND(K232&gt;24.5,K232&lt;25.300000000000001),"normal","up"))))</f>
        <v>79</v>
      </c>
      <c r="E232" t="s">
        <f>IF(K232&lt;23.899999999999999,"down",IF(K232=23.899999999999999,"low",IF(K232=25.850000000000001,"high",IF(AND(K232&gt;23.899999999999999,K232&lt;25.850000000000001),"normal","up"))))</f>
        <v>79</v>
      </c>
      <c r="F232" t="s">
        <f>IF(P232&lt;25.100000000000001,"PVP-down",IF(P232=25.100000000000001,25.100000000000001,IF(P232&gt;25.100000000000001,"PVP-up")))</f>
        <v>83</v>
      </c>
      <c r="G232" t="s">
        <f>IF(R232&lt;29,"PVV-down",IF(R232=29,29,IF(R232&gt;29,"PVV-up")))</f>
        <v>81</v>
      </c>
      <c r="H232" s="40">
        <f>R232/(Y232/10000)</f>
        <v>3.9073790682468701e-05</v>
      </c>
      <c r="I232">
        <v>25.100000000000001</v>
      </c>
      <c r="J232" t="e">
        <v>#"#\"#N/A\""</v>
      </c>
      <c r="K232">
        <v>25</v>
      </c>
      <c r="L232">
        <v>0.050000000000000003</v>
      </c>
      <c r="M232">
        <v>0.002</v>
      </c>
      <c r="N232">
        <v>25.100000000000001</v>
      </c>
      <c r="O232">
        <v>25.25</v>
      </c>
      <c r="P232">
        <v>25.149999999999999</v>
      </c>
      <c r="Q232">
        <v>1</v>
      </c>
      <c r="R232">
        <v>68</v>
      </c>
      <c r="S232">
        <v>113</v>
      </c>
      <c r="T232" s="40">
        <f>((P232-K232)/K232)</f>
        <v>0.0059999999999999429</v>
      </c>
      <c r="U232" s="40">
        <f>((T232*AB232)*D4)</f>
        <v>0.094111496922940255</v>
      </c>
      <c r="V232" s="3">
        <f>IF(P232&lt;=N232,(P232*Q232*1000),0)</f>
        <v>0</v>
      </c>
      <c r="W232" s="3">
        <f>IF(P232&gt;=O232,(P232*Q232*1000),0)</f>
        <v>0</v>
      </c>
      <c r="X232">
        <v>2923</v>
      </c>
      <c r="Y232" s="3">
        <v>17402969820</v>
      </c>
      <c r="Z232" s="40">
        <f>((C4*AB232)/P232)/10</f>
        <v>0.057234898470471571</v>
      </c>
      <c r="AA232" s="40">
        <f>((M232*AB232)*C4)</f>
        <v>0.028789153930647203</v>
      </c>
      <c r="AB232" s="40">
        <f>AE232/AE323</f>
        <v>0.0012273095695100665</v>
      </c>
      <c r="AC232" s="40">
        <f>AF232/AF323</f>
        <v>0.0012134893632257933</v>
      </c>
      <c r="AD232" s="3">
        <f>IF(ISNA(J232),(I232*Y232)/10,(J232*Y232)/10)</f>
        <v>43681454248.199997</v>
      </c>
      <c r="AE232" s="3">
        <f>IF(ISNA(P232),(I232*Y232)/10,(P232*Y232)/10)</f>
        <v>43768469097.300003</v>
      </c>
      <c r="AF232" s="3">
        <f>(I232*Y232)/10</f>
        <v>43681454248.199997</v>
      </c>
      <c r="AG232">
        <f>IF(AND(P232&lt;=N232,L232&lt;0),IF(Q232&lt;10,"DBL10",IF(Q232&gt;=200,"DBM200",IF(Q232&gt;=150,"DBM150",IF(Q232&gt;=100,"DBM100",IF(Q232&gt;=50,"DBM50","DBM10-50"))))),0)</f>
        <v>0</v>
      </c>
      <c r="AH232">
        <f>IF(AND(P232&gt;=O232,L232&lt;0),IF(Q232&lt;10,"DAL10",IF(Q232&gt;=200,"DAM200",IF(Q232&gt;=150,"DAM150",IF(Q232&gt;=100,"DAM100",IF(Q232&gt;=50,"DAM50","DAM10-50"))))),0)</f>
        <v>0</v>
      </c>
      <c r="AI232">
        <f>IF(AND(P232&gt;=O232,L232&gt;0),IF(Q232&lt;10,"UAL10",IF(Q232&gt;=200,"UAM200",IF(Q232&gt;=150,"UAM150",IF(Q232&gt;=100,"UAM100",IF(Q232&gt;=50,"UAM50","UAM10-50"))))),0)</f>
        <v>0</v>
      </c>
      <c r="AJ232">
        <f>IF(AND(P232&lt;=N232,L232&gt;0),IF(Q232&lt;10,"UBL10",IF(Q232&gt;=200,"UBM200",IF(Q232&gt;=150,"UBM150",IF(Q232&gt;=100,"UBM100",IF(Q232&gt;=50,"UBM50","UBM10-50"))))),0)</f>
        <v>0</v>
      </c>
      <c r="AK232" t="s">
        <f>IF(Q232&lt;3,"down",IF(Q232=3,3,IF(Q232&gt;3,"up")))</f>
        <v>7</v>
      </c>
    </row>
    <row r="233" spans="1:37">
      <c r="A233">
        <f>IF(X233=2610,2610,"Error")</f>
        <v>2610</v>
      </c>
      <c r="B233" t="s">
        <f>IF(K233&lt;8.1799999999999997,"down",IF(K233=8.1799999999999997,"low",IF(K233=8.4000000000000004,"high",IF(AND(K233&gt;8.1799999999999997,K233&lt;8.4000000000000004),"normal","up"))))</f>
        <v>6</v>
      </c>
      <c r="C233" t="s">
        <f>IF(K233&lt;8.1799999999999997,"down",IF(K233=8.1799999999999997,"low",IF(K233=8.4000000000000004,"high",IF(AND(K233&gt;8.1799999999999997,K233&lt;8.4000000000000004),"normal","up"))))</f>
        <v>6</v>
      </c>
      <c r="D233" t="s">
        <f>IF(K233&lt;8.1799999999999997,"down",IF(K233=8.1799999999999997,"low",IF(K233=8.4000000000000004,"high",IF(AND(K233&gt;8.1799999999999997,K233&lt;8.4000000000000004),"normal","up"))))</f>
        <v>6</v>
      </c>
      <c r="E233" t="s">
        <f>IF(K233&lt;7.6200000000000001,"down",IF(K233=7.6200000000000001,"low",IF(K233=8.4000000000000004,"high",IF(AND(K233&gt;7.6200000000000001,K233&lt;8.4000000000000004),"normal","up"))))</f>
        <v>6</v>
      </c>
      <c r="F233" t="s">
        <f>IF(P233&lt;8.3399999999999999,"PVP-down",IF(P233=8.3399999999999999,8.3399999999999999,IF(P233&gt;8.3399999999999999,"PVP-up")))</f>
        <v>80</v>
      </c>
      <c r="G233" t="s">
        <f>IF(R233&lt;4908,"PVV-down",IF(R233=4908,4908,IF(R233&gt;4908,"PVV-up")))</f>
        <v>81</v>
      </c>
      <c r="H233" s="40">
        <f>R233/(Y233/10000)</f>
        <v>0.0041328285259025774</v>
      </c>
      <c r="I233">
        <v>8.3900000000000006</v>
      </c>
      <c r="J233">
        <v>8.2400000000000002</v>
      </c>
      <c r="K233">
        <v>8.4499999999999993</v>
      </c>
      <c r="L233">
        <v>-0.14999999999999999</v>
      </c>
      <c r="M233">
        <v>-0.017899999999999999</v>
      </c>
      <c r="N233">
        <v>8.2400000000000002</v>
      </c>
      <c r="O233">
        <v>8.25</v>
      </c>
      <c r="P233">
        <v>8.2400000000000002</v>
      </c>
      <c r="Q233">
        <v>1010</v>
      </c>
      <c r="R233">
        <v>22404</v>
      </c>
      <c r="S233">
        <v>46117</v>
      </c>
      <c r="T233">
        <f>((P233-K233)/K233)</f>
        <v>-0.024852071005917051</v>
      </c>
      <c r="U233">
        <f>((T233*AB233)*D4)</f>
        <v>-0.39783047608413591</v>
      </c>
      <c r="V233" s="3">
        <f>IF(P233&lt;=N233,(P233*Q233*1000),0)</f>
        <v>8322400</v>
      </c>
      <c r="W233" s="3">
        <f>IF(P233&gt;=O233,(P233*Q233*1000),0)</f>
        <v>0</v>
      </c>
      <c r="X233">
        <v>2610</v>
      </c>
      <c r="Y233" s="3">
        <v>54209846500</v>
      </c>
      <c r="Z233" s="40">
        <f>((C4*AB233)/P233)/10</f>
        <v>0.17828537845084586</v>
      </c>
      <c r="AA233" s="40">
        <f>((M233*AB233)*C4)</f>
        <v>-0.26296380179985962</v>
      </c>
      <c r="AB233" s="40">
        <f>AE233/AE323</f>
        <v>0.0012525588888185777</v>
      </c>
      <c r="AC233" s="40">
        <f>AF233/AF323</f>
        <v>0.0012635109899630003</v>
      </c>
      <c r="AD233" s="3">
        <f>IF(ISNA(J233),(I233*Y233)/10,(J233*Y233)/10)</f>
        <v>44668913516</v>
      </c>
      <c r="AE233" s="3">
        <f>IF(ISNA(P233),(I233*Y233)/10,(P233*Y233)/10)</f>
        <v>44668913516</v>
      </c>
      <c r="AF233" s="3">
        <f>(I233*Y233)/10</f>
        <v>45482061213.500008</v>
      </c>
      <c r="AG233" t="s">
        <f>IF(AND(P233&lt;=N233,L233&lt;0),IF(Q233&lt;10,"DBL10",IF(Q233&gt;=200,"DBM200",IF(Q233&gt;=150,"DBM150",IF(Q233&gt;=100,"DBM100",IF(Q233&gt;=50,"DBM50","DBM10-50"))))),0)</f>
        <v>16</v>
      </c>
      <c r="AH233">
        <f>IF(AND(P233&gt;=O233,L233&lt;0),IF(Q233&lt;10,"DAL10",IF(Q233&gt;=200,"DAM200",IF(Q233&gt;=150,"DAM150",IF(Q233&gt;=100,"DAM100",IF(Q233&gt;=50,"DAM50","DAM10-50"))))),0)</f>
        <v>0</v>
      </c>
      <c r="AI233">
        <f>IF(AND(P233&gt;=O233,L233&gt;0),IF(Q233&lt;10,"UAL10",IF(Q233&gt;=200,"UAM200",IF(Q233&gt;=150,"UAM150",IF(Q233&gt;=100,"UAM100",IF(Q233&gt;=50,"UAM50","UAM10-50"))))),0)</f>
        <v>0</v>
      </c>
      <c r="AJ233">
        <f>IF(AND(P233&lt;=N233,L233&gt;0),IF(Q233&lt;10,"UBL10",IF(Q233&gt;=200,"UBM200",IF(Q233&gt;=150,"UBM150",IF(Q233&gt;=100,"UBM100",IF(Q233&gt;=50,"UBM50","UBM10-50"))))),0)</f>
        <v>0</v>
      </c>
      <c r="AK233" t="s">
        <f>IF(Q233&lt;1847,"down",IF(Q233=1847,1847,IF(Q233&gt;1847,"up")))</f>
        <v>7</v>
      </c>
    </row>
    <row r="234" spans="1:37">
      <c r="A234">
        <f>IF(X234=6592,6592,"Error")</f>
        <v>6592</v>
      </c>
      <c r="B234" t="s">
        <f>IF(K234&lt;78.599999999999994,"down",IF(K234=78.599999999999994,"low",IF(K234=79.900000000000006,"high",IF(AND(K234&gt;78.599999999999994,K234&lt;79.900000000000006),"normal","up"))))</f>
        <v>79</v>
      </c>
      <c r="C234" t="s">
        <f>IF(K234&lt;78.599999999999994,"down",IF(K234=78.599999999999994,"low",IF(K234=79.900000000000006,"high",IF(AND(K234&gt;78.599999999999994,K234&lt;79.900000000000006),"normal","up"))))</f>
        <v>79</v>
      </c>
      <c r="D234" t="s">
        <f>IF(K234&lt;78.599999999999994,"down",IF(K234=78.599999999999994,"low",IF(K234=79.900000000000006,"high",IF(AND(K234&gt;78.599999999999994,K234&lt;79.900000000000006),"normal","up"))))</f>
        <v>79</v>
      </c>
      <c r="E234" t="s">
        <f>IF(K234&lt;78.099999999999994,"down",IF(K234=78.099999999999994,"low",IF(K234=79.900000000000006,"high",IF(AND(K234&gt;78.099999999999994,K234&lt;79.900000000000006),"normal","up"))))</f>
        <v>79</v>
      </c>
      <c r="F234" t="s">
        <f>IF(P234&lt;79.200000000000003,"PVP-down",IF(P234=79.200000000000003,79.200000000000003,IF(P234&gt;79.200000000000003,"PVP-up")))</f>
        <v>80</v>
      </c>
      <c r="G234" t="s">
        <f>IF(R234&lt;285,"PVV-down",IF(R234=285,285,IF(R234&gt;285,"PVV-up")))</f>
        <v>81</v>
      </c>
      <c r="H234" s="40">
        <f>R234/(Y234/10000)</f>
        <v>0.0020097071496100777</v>
      </c>
      <c r="I234">
        <v>79.200000000000003</v>
      </c>
      <c r="J234">
        <v>78.900000000000006</v>
      </c>
      <c r="K234">
        <v>79.5</v>
      </c>
      <c r="L234">
        <v>-0.29999999999999999</v>
      </c>
      <c r="M234">
        <v>-0.0038</v>
      </c>
      <c r="N234">
        <v>78.900000000000006</v>
      </c>
      <c r="O234">
        <v>79</v>
      </c>
      <c r="P234">
        <v>78.900000000000006</v>
      </c>
      <c r="Q234">
        <v>13</v>
      </c>
      <c r="R234">
        <v>1035</v>
      </c>
      <c r="S234">
        <v>938</v>
      </c>
      <c r="T234">
        <f>((P234-K234)/K234)</f>
        <v>-0.0075471698113206828</v>
      </c>
      <c r="U234">
        <f>((T234*AB234)*D4)</f>
        <v>-0.10990027310919594</v>
      </c>
      <c r="V234" s="3">
        <f>IF(P234&lt;=N234,(P234*Q234*1000),0)</f>
        <v>1025700</v>
      </c>
      <c r="W234" s="3">
        <f>IF(P234&gt;=O234,(P234*Q234*1000),0)</f>
        <v>0</v>
      </c>
      <c r="X234">
        <v>6592</v>
      </c>
      <c r="Y234" s="3">
        <v>5150004070</v>
      </c>
      <c r="Z234" s="40">
        <f>((C4*AB234)/P234)/10</f>
        <v>0.016937336737217035</v>
      </c>
      <c r="AA234" s="40">
        <f>((M234*AB234)*C4)</f>
        <v>-0.050781523005524125</v>
      </c>
      <c r="AB234" s="40">
        <f>AE234/AE323</f>
        <v>0.0011394029499536861</v>
      </c>
      <c r="AC234" s="40">
        <f>AF234/AF323</f>
        <v>0.0011331088700050501</v>
      </c>
      <c r="AD234" s="3">
        <f>IF(ISNA(J234),(I234*Y234)/10,(J234*Y234)/10)</f>
        <v>40633532112.300003</v>
      </c>
      <c r="AE234" s="3">
        <f>IF(ISNA(P234),(I234*Y234)/10,(P234*Y234)/10)</f>
        <v>40633532112.300003</v>
      </c>
      <c r="AF234" s="3">
        <f>(I234*Y234)/10</f>
        <v>40788032234.400002</v>
      </c>
      <c r="AG234" t="s">
        <f>IF(AND(P234&lt;=N234,L234&lt;0),IF(Q234&lt;10,"DBL10",IF(Q234&gt;=200,"DBM200",IF(Q234&gt;=150,"DBM150",IF(Q234&gt;=100,"DBM100",IF(Q234&gt;=50,"DBM50","DBM10-50"))))),0)</f>
        <v>12</v>
      </c>
      <c r="AH234">
        <f>IF(AND(P234&gt;=O234,L234&lt;0),IF(Q234&lt;10,"DAL10",IF(Q234&gt;=200,"DAM200",IF(Q234&gt;=150,"DAM150",IF(Q234&gt;=100,"DAM100",IF(Q234&gt;=50,"DAM50","DAM10-50"))))),0)</f>
        <v>0</v>
      </c>
      <c r="AI234">
        <f>IF(AND(P234&gt;=O234,L234&gt;0),IF(Q234&lt;10,"UAL10",IF(Q234&gt;=200,"UAM200",IF(Q234&gt;=150,"UAM150",IF(Q234&gt;=100,"UAM100",IF(Q234&gt;=50,"UAM50","UAM10-50"))))),0)</f>
        <v>0</v>
      </c>
      <c r="AJ234">
        <f>IF(AND(P234&lt;=N234,L234&gt;0),IF(Q234&lt;10,"UBL10",IF(Q234&gt;=200,"UBM200",IF(Q234&gt;=150,"UBM150",IF(Q234&gt;=100,"UBM100",IF(Q234&gt;=50,"UBM50","UBM10-50"))))),0)</f>
        <v>0</v>
      </c>
      <c r="AK234">
        <f>IF(Q234&lt;13,"down",IF(Q234=13,13,IF(Q234&gt;13,"up")))</f>
        <v>13</v>
      </c>
    </row>
    <row r="235" spans="1:37">
      <c r="A235">
        <f>IF(X235=1477,1477,"Error")</f>
        <v>1477</v>
      </c>
      <c r="B235" t="s">
        <f>IF(K235&lt;178,"down",IF(K235=178,"low",IF(K235=181,"high",IF(AND(K235&gt;178,K235&lt;181),"normal","up"))))</f>
        <v>79</v>
      </c>
      <c r="C235" t="s">
        <f>IF(K235&lt;178,"down",IF(K235=178,"low",IF(K235=181,"high",IF(AND(K235&gt;178,K235&lt;181),"normal","up"))))</f>
        <v>79</v>
      </c>
      <c r="D235" t="s">
        <f>IF(K235&lt;178,"down",IF(K235=178,"low",IF(K235=181,"high",IF(AND(K235&gt;178,K235&lt;181),"normal","up"))))</f>
        <v>79</v>
      </c>
      <c r="E235" t="s">
        <f>IF(K235&lt;176.5,"down",IF(K235=176.5,"low",IF(K235=187.5,"high",IF(AND(K235&gt;176.5,K235&lt;187.5),"normal","up"))))</f>
        <v>79</v>
      </c>
      <c r="F235" t="s">
        <f>IF(P235&lt;179,"PVP-down",IF(P235=179,179,IF(P235&gt;179,"PVP-up")))</f>
        <v>83</v>
      </c>
      <c r="G235" t="s">
        <f>IF(R235&lt;450,"PVV-down",IF(R235=450,450,IF(R235&gt;450,"PVV-up")))</f>
        <v>81</v>
      </c>
      <c r="H235" s="40">
        <f>R235/(Y235/10000)</f>
        <v>0.0076140545458586928</v>
      </c>
      <c r="I235">
        <v>178</v>
      </c>
      <c r="J235">
        <v>181</v>
      </c>
      <c r="K235">
        <v>178.5</v>
      </c>
      <c r="L235">
        <v>3</v>
      </c>
      <c r="M235">
        <v>0.016899999999999998</v>
      </c>
      <c r="N235">
        <v>180.5</v>
      </c>
      <c r="O235">
        <v>181</v>
      </c>
      <c r="P235">
        <v>181</v>
      </c>
      <c r="Q235">
        <v>51</v>
      </c>
      <c r="R235">
        <v>1674</v>
      </c>
      <c r="S235">
        <v>1075</v>
      </c>
      <c r="T235">
        <f>((P235-K235)/K235)</f>
        <v>0.014005602240896359</v>
      </c>
      <c r="U235">
        <f>((T235*AB235)*D4)</f>
        <v>0.19973303786931387</v>
      </c>
      <c r="V235" s="3">
        <f>IF(P235&lt;=N235,(P235*Q235*1000),0)</f>
        <v>0</v>
      </c>
      <c r="W235" s="3">
        <f>IF(P235&gt;=O235,(P235*Q235*1000),0)</f>
        <v>9231000</v>
      </c>
      <c r="X235">
        <v>1477</v>
      </c>
      <c r="Y235" s="3">
        <v>2198565810</v>
      </c>
      <c r="Z235" s="40">
        <f>((C4*AB235)/P235)/10</f>
        <v>0.0072306446668307846</v>
      </c>
      <c r="AA235" s="40">
        <f>((M235*AB235)*C4)</f>
        <v>0.22117818971368683</v>
      </c>
      <c r="AB235" s="40">
        <f>AE235/AE323</f>
        <v>0.0011158628239383772</v>
      </c>
      <c r="AC235" s="40">
        <f>AF235/AF323</f>
        <v>0.0010871722477775278</v>
      </c>
      <c r="AD235" s="3">
        <f>IF(ISNA(J235),(I235*Y235)/10,(J235*Y235)/10)</f>
        <v>39794041161</v>
      </c>
      <c r="AE235" s="3">
        <f>IF(ISNA(P235),(I235*Y235)/10,(P235*Y235)/10)</f>
        <v>39794041161</v>
      </c>
      <c r="AF235" s="3">
        <f>(I235*Y235)/10</f>
        <v>39134471418</v>
      </c>
      <c r="AG235">
        <f>IF(AND(P235&lt;=N235,L235&lt;0),IF(Q235&lt;10,"DBL10",IF(Q235&gt;=200,"DBM200",IF(Q235&gt;=150,"DBM150",IF(Q235&gt;=100,"DBM100",IF(Q235&gt;=50,"DBM50","DBM10-50"))))),0)</f>
        <v>0</v>
      </c>
      <c r="AH235">
        <f>IF(AND(P235&gt;=O235,L235&lt;0),IF(Q235&lt;10,"DAL10",IF(Q235&gt;=200,"DAM200",IF(Q235&gt;=150,"DAM150",IF(Q235&gt;=100,"DAM100",IF(Q235&gt;=50,"DAM50","DAM10-50"))))),0)</f>
        <v>0</v>
      </c>
      <c r="AI235" t="s">
        <f>IF(AND(P235&gt;=O235,L235&gt;0),IF(Q235&lt;10,"UAL10",IF(Q235&gt;=200,"UAM200",IF(Q235&gt;=150,"UAM150",IF(Q235&gt;=100,"UAM100",IF(Q235&gt;=50,"UAM50","UAM10-50"))))),0)</f>
        <v>28</v>
      </c>
      <c r="AJ235">
        <f>IF(AND(P235&lt;=N235,L235&gt;0),IF(Q235&lt;10,"UBL10",IF(Q235&gt;=200,"UBM200",IF(Q235&gt;=150,"UBM150",IF(Q235&gt;=100,"UBM100",IF(Q235&gt;=50,"UBM50","UBM10-50"))))),0)</f>
        <v>0</v>
      </c>
      <c r="AK235" t="s">
        <f>IF(Q235&lt;35,"down",IF(Q235=35,35,IF(Q235&gt;35,"up")))</f>
        <v>6</v>
      </c>
    </row>
    <row r="236" spans="1:37">
      <c r="A236">
        <f>IF(X236=9917,9917,"Error")</f>
        <v>9917</v>
      </c>
      <c r="B236" t="s">
        <f>IF(K236&lt;85.799999999999997,"down",IF(K236=85.799999999999997,"low",IF(K236=86.099999999999994,"high",IF(AND(K236&gt;85.799999999999997,K236&lt;86.099999999999994),"normal","up"))))</f>
        <v>79</v>
      </c>
      <c r="C236" t="s">
        <f>IF(K236&lt;85.799999999999997,"down",IF(K236=85.799999999999997,"low",IF(K236=86.099999999999994,"high",IF(AND(K236&gt;85.799999999999997,K236&lt;86.099999999999994),"normal","up"))))</f>
        <v>79</v>
      </c>
      <c r="D236" t="s">
        <f>IF(K236&lt;85.799999999999997,"down",IF(K236=85.799999999999997,"low",IF(K236=86.099999999999994,"high",IF(AND(K236&gt;85.799999999999997,K236&lt;86.099999999999994),"normal","up"))))</f>
        <v>79</v>
      </c>
      <c r="E236" t="s">
        <f>IF(K236&lt;85.099999999999994,"down",IF(K236=85.099999999999994,"low",IF(K236=86.299999999999997,"high",IF(AND(K236&gt;85.099999999999994,K236&lt;86.299999999999997),"normal","up"))))</f>
        <v>79</v>
      </c>
      <c r="F236">
        <f>IF(P236&lt;85.900000000000006,"PVP-down",IF(P236=85.900000000000006,85.900000000000006,IF(P236&gt;85.900000000000006,"PVP-up")))</f>
        <v>85.900000000000006</v>
      </c>
      <c r="G236" t="s">
        <f>IF(R236&lt;59,"PVV-down",IF(R236=59,59,IF(R236&gt;59,"PVV-up")))</f>
        <v>81</v>
      </c>
      <c r="H236" s="40">
        <f>R236/(Y236/10000)</f>
        <v>0.00040337139317517723</v>
      </c>
      <c r="I236">
        <v>85.900000000000006</v>
      </c>
      <c r="J236">
        <v>85.900000000000006</v>
      </c>
      <c r="K236">
        <v>85.900000000000006</v>
      </c>
      <c r="L236">
        <v>0</v>
      </c>
      <c r="M236">
        <v>0</v>
      </c>
      <c r="N236">
        <v>85.900000000000006</v>
      </c>
      <c r="O236">
        <v>86</v>
      </c>
      <c r="P236">
        <v>85.900000000000006</v>
      </c>
      <c r="Q236">
        <v>3</v>
      </c>
      <c r="R236">
        <v>182</v>
      </c>
      <c r="S236">
        <v>123</v>
      </c>
      <c r="T236">
        <f>((P236-K236)/K236)</f>
        <v>0</v>
      </c>
      <c r="U236">
        <f>((T236*AB236)*D4)</f>
        <v>0</v>
      </c>
      <c r="V236" s="3">
        <f>IF(P236&lt;=N236,(P236*Q236*1000),0)</f>
        <v>257700.00000000006</v>
      </c>
      <c r="W236" s="3">
        <f>IF(P236&gt;=O236,(P236*Q236*1000),0)</f>
        <v>0</v>
      </c>
      <c r="X236">
        <v>9917</v>
      </c>
      <c r="Y236" s="3">
        <v>4511970930</v>
      </c>
      <c r="Z236" s="40">
        <f>((C4*AB236)/P236)/10</f>
        <v>0.014838972931130966</v>
      </c>
      <c r="AA236" s="40">
        <f>((M236*AB236)*C4)</f>
        <v>0</v>
      </c>
      <c r="AB236" s="40">
        <f>AE236/AE323</f>
        <v>0.0010868064839330417</v>
      </c>
      <c r="AC236" s="40">
        <f>AF236/AF323</f>
        <v>0.0010767089971366053</v>
      </c>
      <c r="AD236" s="3">
        <f>IF(ISNA(J236),(I236*Y236)/10,(J236*Y236)/10)</f>
        <v>38757830288.699997</v>
      </c>
      <c r="AE236" s="3">
        <f>IF(ISNA(P236),(I236*Y236)/10,(P236*Y236)/10)</f>
        <v>38757830288.699997</v>
      </c>
      <c r="AF236" s="3">
        <f>(I236*Y236)/10</f>
        <v>38757830288.699997</v>
      </c>
      <c r="AG236">
        <f>IF(AND(P236&lt;=N236,L236&lt;0),IF(Q236&lt;10,"DBL10",IF(Q236&gt;=200,"DBM200",IF(Q236&gt;=150,"DBM150",IF(Q236&gt;=100,"DBM100",IF(Q236&gt;=50,"DBM50","DBM10-50"))))),0)</f>
        <v>0</v>
      </c>
      <c r="AH236">
        <f>IF(AND(P236&gt;=O236,L236&lt;0),IF(Q236&lt;10,"DAL10",IF(Q236&gt;=200,"DAM200",IF(Q236&gt;=150,"DAM150",IF(Q236&gt;=100,"DAM100",IF(Q236&gt;=50,"DAM50","DAM10-50"))))),0)</f>
        <v>0</v>
      </c>
      <c r="AI236">
        <f>IF(AND(P236&gt;=O236,L236&gt;0),IF(Q236&lt;10,"UAL10",IF(Q236&gt;=200,"UAM200",IF(Q236&gt;=150,"UAM150",IF(Q236&gt;=100,"UAM100",IF(Q236&gt;=50,"UAM50","UAM10-50"))))),0)</f>
        <v>0</v>
      </c>
      <c r="AJ236">
        <f>IF(AND(P236&lt;=N236,L236&gt;0),IF(Q236&lt;10,"UBL10",IF(Q236&gt;=200,"UBM200",IF(Q236&gt;=150,"UBM150",IF(Q236&gt;=100,"UBM100",IF(Q236&gt;=50,"UBM50","UBM10-50"))))),0)</f>
        <v>0</v>
      </c>
      <c r="AK236" t="s">
        <f>IF(Q236&lt;4,"down",IF(Q236=4,4,IF(Q236&gt;4,"up")))</f>
        <v>7</v>
      </c>
    </row>
    <row r="237" spans="1:37">
      <c r="A237">
        <f>IF(X237=2615,2615,"Error")</f>
        <v>2615</v>
      </c>
      <c r="B237" t="s">
        <f>IF(K237&lt;18.199999999999999,"down",IF(K237=18.199999999999999,"low",IF(K237=19.149999999999999,"high",IF(AND(K237&gt;18.199999999999999,K237&lt;19.149999999999999),"normal","up"))))</f>
        <v>79</v>
      </c>
      <c r="C237" t="s">
        <f>IF(K237&lt;18.199999999999999,"down",IF(K237=18.199999999999999,"low",IF(K237=19.149999999999999,"high",IF(AND(K237&gt;18.199999999999999,K237&lt;19.149999999999999),"normal","up"))))</f>
        <v>79</v>
      </c>
      <c r="D237" t="s">
        <f>IF(K237&lt;18.199999999999999,"down",IF(K237=18.199999999999999,"low",IF(K237=19.149999999999999,"high",IF(AND(K237&gt;18.199999999999999,K237&lt;19.149999999999999),"normal","up"))))</f>
        <v>79</v>
      </c>
      <c r="E237" t="s">
        <f>IF(K237&lt;16.949999999999999,"down",IF(K237=16.949999999999999,"low",IF(K237=19.149999999999999,"high",IF(AND(K237&gt;16.949999999999999,K237&lt;19.149999999999999),"normal","up"))))</f>
        <v>79</v>
      </c>
      <c r="F237" t="s">
        <f>IF(P237&lt;19,"PVP-down",IF(P237=19,19,IF(P237&gt;19,"PVP-up")))</f>
        <v>80</v>
      </c>
      <c r="G237" t="s">
        <f>IF(R237&lt;975,"PVV-down",IF(R237=975,975,IF(R237&gt;975,"PVV-up")))</f>
        <v>81</v>
      </c>
      <c r="H237" s="40">
        <f>R237/(Y237/10000)</f>
        <v>0.0019046138152149878</v>
      </c>
      <c r="I237">
        <v>19</v>
      </c>
      <c r="J237">
        <v>18.800000000000001</v>
      </c>
      <c r="K237">
        <v>19</v>
      </c>
      <c r="L237">
        <v>-0.20000000000000001</v>
      </c>
      <c r="M237">
        <v>-0.010500000000000001</v>
      </c>
      <c r="N237">
        <v>18.699999999999999</v>
      </c>
      <c r="O237">
        <v>18.800000000000001</v>
      </c>
      <c r="P237">
        <v>18.800000000000001</v>
      </c>
      <c r="Q237">
        <v>228</v>
      </c>
      <c r="R237">
        <v>4225</v>
      </c>
      <c r="S237">
        <v>8067</v>
      </c>
      <c r="T237">
        <f>((P237-K237)/K237)</f>
        <v>-0.010526315789473648</v>
      </c>
      <c r="U237">
        <f>((T237*AB237)*D4)</f>
        <v>-0.15732005934164769</v>
      </c>
      <c r="V237" s="3">
        <f>IF(P237&lt;=N237,(P237*Q237*1000),0)</f>
        <v>0</v>
      </c>
      <c r="W237" s="3">
        <f>IF(P237&gt;=O237,(P237*Q237*1000),0)</f>
        <v>4286400.0000000009</v>
      </c>
      <c r="X237">
        <v>2615</v>
      </c>
      <c r="Y237" s="3">
        <v>22182974660</v>
      </c>
      <c r="Z237" s="40">
        <f>((C4*AB237)/P237)/10</f>
        <v>0.072955381499256303</v>
      </c>
      <c r="AA237" s="40">
        <f>((M237*AB237)*C4)</f>
        <v>-0.14401392307953195</v>
      </c>
      <c r="AB237" s="40">
        <f>AE237/AE323</f>
        <v>0.0011694196750953298</v>
      </c>
      <c r="AC237" s="40">
        <f>AF237/AF323</f>
        <v>0.0011708796808632001</v>
      </c>
      <c r="AD237" s="3">
        <f>IF(ISNA(J237),(I237*Y237)/10,(J237*Y237)/10)</f>
        <v>41703992360.800003</v>
      </c>
      <c r="AE237" s="3">
        <f>IF(ISNA(P237),(I237*Y237)/10,(P237*Y237)/10)</f>
        <v>41703992360.800003</v>
      </c>
      <c r="AF237" s="3">
        <f>(I237*Y237)/10</f>
        <v>42147651854</v>
      </c>
      <c r="AG237">
        <f>IF(AND(P237&lt;=N237,L237&lt;0),IF(Q237&lt;10,"DBL10",IF(Q237&gt;=200,"DBM200",IF(Q237&gt;=150,"DBM150",IF(Q237&gt;=100,"DBM100",IF(Q237&gt;=50,"DBM50","DBM10-50"))))),0)</f>
        <v>0</v>
      </c>
      <c r="AH237" t="s">
        <f>IF(AND(P237&gt;=O237,L237&lt;0),IF(Q237&lt;10,"DAL10",IF(Q237&gt;=200,"DAM200",IF(Q237&gt;=150,"DAM150",IF(Q237&gt;=100,"DAM100",IF(Q237&gt;=50,"DAM50","DAM10-50"))))),0)</f>
        <v>26</v>
      </c>
      <c r="AI237">
        <f>IF(AND(P237&gt;=O237,L237&gt;0),IF(Q237&lt;10,"UAL10",IF(Q237&gt;=200,"UAM200",IF(Q237&gt;=150,"UAM150",IF(Q237&gt;=100,"UAM100",IF(Q237&gt;=50,"UAM50","UAM10-50"))))),0)</f>
        <v>0</v>
      </c>
      <c r="AJ237">
        <f>IF(AND(P237&lt;=N237,L237&gt;0),IF(Q237&lt;10,"UBL10",IF(Q237&gt;=200,"UBM200",IF(Q237&gt;=150,"UBM150",IF(Q237&gt;=100,"UBM100",IF(Q237&gt;=50,"UBM50","UBM10-50"))))),0)</f>
        <v>0</v>
      </c>
      <c r="AK237" t="s">
        <f>IF(Q237&lt;20,"down",IF(Q237=20,20,IF(Q237&gt;20,"up")))</f>
        <v>6</v>
      </c>
    </row>
    <row r="238" spans="1:37">
      <c r="A238">
        <f>IF(X238=1717,1717,"Error")</f>
        <v>1717</v>
      </c>
      <c r="B238" t="s">
        <f>IF(K238&lt;36.549999999999997,"down",IF(K238=36.549999999999997,"low",IF(K238=38.649999999999999,"high",IF(AND(K238&gt;36.549999999999997,K238&lt;38.649999999999999),"normal","up"))))</f>
        <v>7</v>
      </c>
      <c r="C238" t="s">
        <f>IF(K238&lt;36.549999999999997,"down",IF(K238=36.549999999999997,"low",IF(K238=38.649999999999999,"high",IF(AND(K238&gt;36.549999999999997,K238&lt;38.649999999999999),"normal","up"))))</f>
        <v>7</v>
      </c>
      <c r="D238" t="s">
        <f>IF(K238&lt;36.549999999999997,"down",IF(K238=36.549999999999997,"low",IF(K238=38.649999999999999,"high",IF(AND(K238&gt;36.549999999999997,K238&lt;38.649999999999999),"normal","up"))))</f>
        <v>7</v>
      </c>
      <c r="E238" t="s">
        <f>IF(K238&lt;31.199999999999999,"down",IF(K238=31.199999999999999,"low",IF(K238=40.299999999999997,"high",IF(AND(K238&gt;31.199999999999999,K238&lt;40.299999999999997),"normal","up"))))</f>
        <v>79</v>
      </c>
      <c r="F238" t="s">
        <f>IF(P238&lt;36.600000000000001,"PVP-down",IF(P238=36.600000000000001,36.600000000000001,IF(P238&gt;36.600000000000001,"PVP-up")))</f>
        <v>80</v>
      </c>
      <c r="G238" t="s">
        <f>IF(R238&lt;1256,"PVV-down",IF(R238=1256,1256,IF(R238&gt;1256,"PVV-up")))</f>
        <v>81</v>
      </c>
      <c r="H238" s="40">
        <f>R238/(Y238/10000)</f>
        <v>0.011315998135275085</v>
      </c>
      <c r="I238">
        <v>36.549999999999997</v>
      </c>
      <c r="J238">
        <v>35</v>
      </c>
      <c r="K238">
        <v>36.049999999999997</v>
      </c>
      <c r="L238">
        <v>-1.5</v>
      </c>
      <c r="M238">
        <v>-0.041000000000000002</v>
      </c>
      <c r="N238">
        <v>35</v>
      </c>
      <c r="O238">
        <v>35.049999999999997</v>
      </c>
      <c r="P238">
        <v>35.049999999999997</v>
      </c>
      <c r="Q238">
        <v>439</v>
      </c>
      <c r="R238">
        <v>14035</v>
      </c>
      <c r="S238">
        <v>17579</v>
      </c>
      <c r="T238">
        <f>((P238-K238)/K238)</f>
        <v>-0.027739251040221916</v>
      </c>
      <c r="U238">
        <f>((T238*AB238)*D4)</f>
        <v>-0.43214787071167482</v>
      </c>
      <c r="V238" s="3">
        <f>IF(P238&lt;=N238,(P238*Q238*1000),0)</f>
        <v>0</v>
      </c>
      <c r="W238" s="3">
        <f>IF(P238&gt;=O238,(P238*Q238*1000),0)</f>
        <v>15386949.999999998</v>
      </c>
      <c r="X238">
        <v>1717</v>
      </c>
      <c r="Y238" s="3">
        <v>12402794550</v>
      </c>
      <c r="Z238" s="40">
        <f>((C4*AB238)/P238)/10</f>
        <v>0.040790318788208303</v>
      </c>
      <c r="AA238" s="40">
        <f>((M238*AB238)*C4)</f>
        <v>-0.58617727614594728</v>
      </c>
      <c r="AB238" s="40">
        <f>AE238/AE323</f>
        <v>0.0012189905423280777</v>
      </c>
      <c r="AC238" s="40">
        <f>AF238/AF323</f>
        <v>0.0012593481729176802</v>
      </c>
      <c r="AD238" s="3">
        <f>IF(ISNA(J238),(I238*Y238)/10,(J238*Y238)/10)</f>
        <v>43409780925</v>
      </c>
      <c r="AE238" s="3">
        <f>IF(ISNA(P238),(I238*Y238)/10,(P238*Y238)/10)</f>
        <v>43471794897.749992</v>
      </c>
      <c r="AF238" s="3">
        <f>(I238*Y238)/10</f>
        <v>45332214080.249992</v>
      </c>
      <c r="AG238">
        <f>IF(AND(P238&lt;=N238,L238&lt;0),IF(Q238&lt;10,"DBL10",IF(Q238&gt;=200,"DBM200",IF(Q238&gt;=150,"DBM150",IF(Q238&gt;=100,"DBM100",IF(Q238&gt;=50,"DBM50","DBM10-50"))))),0)</f>
        <v>0</v>
      </c>
      <c r="AH238" t="s">
        <f>IF(AND(P238&gt;=O238,L238&lt;0),IF(Q238&lt;10,"DAL10",IF(Q238&gt;=200,"DAM200",IF(Q238&gt;=150,"DAM150",IF(Q238&gt;=100,"DAM100",IF(Q238&gt;=50,"DAM50","DAM10-50"))))),0)</f>
        <v>26</v>
      </c>
      <c r="AI238">
        <f>IF(AND(P238&gt;=O238,L238&gt;0),IF(Q238&lt;10,"UAL10",IF(Q238&gt;=200,"UAM200",IF(Q238&gt;=150,"UAM150",IF(Q238&gt;=100,"UAM100",IF(Q238&gt;=50,"UAM50","UAM10-50"))))),0)</f>
        <v>0</v>
      </c>
      <c r="AJ238">
        <f>IF(AND(P238&lt;=N238,L238&gt;0),IF(Q238&lt;10,"UBL10",IF(Q238&gt;=200,"UBM200",IF(Q238&gt;=150,"UBM150",IF(Q238&gt;=100,"UBM100",IF(Q238&gt;=50,"UBM50","UBM10-50"))))),0)</f>
        <v>0</v>
      </c>
      <c r="AK238" t="s">
        <f>IF(Q238&lt;574,"down",IF(Q238=574,574,IF(Q238&gt;574,"up")))</f>
        <v>7</v>
      </c>
    </row>
    <row r="239" spans="1:37">
      <c r="A239">
        <f>IF(X239=1210,1210,"Error")</f>
        <v>1210</v>
      </c>
      <c r="B239" t="s">
        <f>IF(K239&lt;46,"down",IF(K239=46,"low",IF(K239=47,"high",IF(AND(K239&gt;46,K239&lt;47),"normal","up"))))</f>
        <v>79</v>
      </c>
      <c r="C239" t="s">
        <f>IF(K239&lt;46,"down",IF(K239=46,"low",IF(K239=47,"high",IF(AND(K239&gt;46,K239&lt;47),"normal","up"))))</f>
        <v>79</v>
      </c>
      <c r="D239" t="s">
        <f>IF(K239&lt;46,"down",IF(K239=46,"low",IF(K239=47,"high",IF(AND(K239&gt;46,K239&lt;47),"normal","up"))))</f>
        <v>79</v>
      </c>
      <c r="E239" t="s">
        <f>IF(K239&lt;45.649999999999999,"down",IF(K239=45.649999999999999,"low",IF(K239=47,"high",IF(AND(K239&gt;45.649999999999999,K239&lt;47),"normal","up"))))</f>
        <v>79</v>
      </c>
      <c r="F239" t="s">
        <f>IF(P239&lt;46.649999999999999,"PVP-down",IF(P239=46.649999999999999,46.649999999999999,IF(P239&gt;46.649999999999999,"PVP-up")))</f>
        <v>80</v>
      </c>
      <c r="G239" t="s">
        <f>IF(R239&lt;502,"PVV-down",IF(R239=502,502,IF(R239&gt;502,"PVV-up")))</f>
        <v>81</v>
      </c>
      <c r="H239" s="40">
        <f>R239/(Y239/10000)</f>
        <v>0.0027062664364439324</v>
      </c>
      <c r="I239">
        <v>47</v>
      </c>
      <c r="J239">
        <v>46.25</v>
      </c>
      <c r="K239">
        <v>46.850000000000001</v>
      </c>
      <c r="L239">
        <v>-0.75</v>
      </c>
      <c r="M239">
        <v>-0.016</v>
      </c>
      <c r="N239">
        <v>46.200000000000003</v>
      </c>
      <c r="O239">
        <v>46.25</v>
      </c>
      <c r="P239">
        <v>46.25</v>
      </c>
      <c r="Q239">
        <v>54</v>
      </c>
      <c r="R239">
        <v>2239</v>
      </c>
      <c r="S239">
        <v>2954</v>
      </c>
      <c r="T239">
        <f>((P239-K239)/K239)</f>
        <v>-0.012806830309498429</v>
      </c>
      <c r="U239">
        <f>((T239*AB239)*D4)</f>
        <v>-0.17561718395732087</v>
      </c>
      <c r="V239" s="3">
        <f>IF(P239&lt;=N239,(P239*Q239*1000),0)</f>
        <v>0</v>
      </c>
      <c r="W239" s="3">
        <f>IF(P239&gt;=O239,(P239*Q239*1000),0)</f>
        <v>2497500</v>
      </c>
      <c r="X239">
        <v>1210</v>
      </c>
      <c r="Y239" s="3">
        <v>8273390860</v>
      </c>
      <c r="Z239" s="40">
        <f>((C4*AB239)/P239)/10</f>
        <v>0.027209533244977345</v>
      </c>
      <c r="AA239" s="40">
        <f>((M239*AB239)*C4)</f>
        <v>-0.20135054601283239</v>
      </c>
      <c r="AB239" s="40">
        <f>AE239/AE323</f>
        <v>0.0010729711462819232</v>
      </c>
      <c r="AC239" s="40">
        <f>AF239/AF323</f>
        <v>0.0010802400767624645</v>
      </c>
      <c r="AD239" s="3">
        <f>IF(ISNA(J239),(I239*Y239)/10,(J239*Y239)/10)</f>
        <v>38264432727.5</v>
      </c>
      <c r="AE239" s="3">
        <f>IF(ISNA(P239),(I239*Y239)/10,(P239*Y239)/10)</f>
        <v>38264432727.5</v>
      </c>
      <c r="AF239" s="3">
        <f>(I239*Y239)/10</f>
        <v>38884937042</v>
      </c>
      <c r="AG239">
        <f>IF(AND(P239&lt;=N239,L239&lt;0),IF(Q239&lt;10,"DBL10",IF(Q239&gt;=200,"DBM200",IF(Q239&gt;=150,"DBM150",IF(Q239&gt;=100,"DBM100",IF(Q239&gt;=50,"DBM50","DBM10-50"))))),0)</f>
        <v>0</v>
      </c>
      <c r="AH239" t="s">
        <f>IF(AND(P239&gt;=O239,L239&lt;0),IF(Q239&lt;10,"DAL10",IF(Q239&gt;=200,"DAM200",IF(Q239&gt;=150,"DAM150",IF(Q239&gt;=100,"DAM100",IF(Q239&gt;=50,"DAM50","DAM10-50"))))),0)</f>
        <v>23</v>
      </c>
      <c r="AI239">
        <f>IF(AND(P239&gt;=O239,L239&gt;0),IF(Q239&lt;10,"UAL10",IF(Q239&gt;=200,"UAM200",IF(Q239&gt;=150,"UAM150",IF(Q239&gt;=100,"UAM100",IF(Q239&gt;=50,"UAM50","UAM10-50"))))),0)</f>
        <v>0</v>
      </c>
      <c r="AJ239">
        <f>IF(AND(P239&lt;=N239,L239&gt;0),IF(Q239&lt;10,"UBL10",IF(Q239&gt;=200,"UBM200",IF(Q239&gt;=150,"UBM150",IF(Q239&gt;=100,"UBM100",IF(Q239&gt;=50,"UBM50","UBM10-50"))))),0)</f>
        <v>0</v>
      </c>
      <c r="AK239" t="s">
        <f>IF(Q239&lt;127,"down",IF(Q239=127,127,IF(Q239&gt;127,"up")))</f>
        <v>7</v>
      </c>
    </row>
    <row r="240" spans="1:37">
      <c r="A240">
        <f>IF(X240=2101,2101,"Error")</f>
        <v>2101</v>
      </c>
      <c r="B240" t="s">
        <f>IF(K240&lt;44.200000000000003,"down",IF(K240=44.200000000000003,"low",IF(K240=45.299999999999997,"high",IF(AND(K240&gt;44.200000000000003,K240&lt;45.299999999999997),"normal","up"))))</f>
        <v>79</v>
      </c>
      <c r="C240" t="s">
        <f>IF(K240&lt;44.200000000000003,"down",IF(K240=44.200000000000003,"low",IF(K240=45.299999999999997,"high",IF(AND(K240&gt;44.200000000000003,K240&lt;45.299999999999997),"normal","up"))))</f>
        <v>79</v>
      </c>
      <c r="D240" t="s">
        <f>IF(K240&lt;44.200000000000003,"down",IF(K240=44.200000000000003,"low",IF(K240=45.299999999999997,"high",IF(AND(K240&gt;44.200000000000003,K240&lt;45.299999999999997),"normal","up"))))</f>
        <v>79</v>
      </c>
      <c r="E240" t="s">
        <f>IF(K240&lt;44.200000000000003,"down",IF(K240=44.200000000000003,"low",IF(K240=45.649999999999999,"high",IF(AND(K240&gt;44.200000000000003,K240&lt;45.649999999999999),"normal","up"))))</f>
        <v>79</v>
      </c>
      <c r="F240" t="s">
        <f>IF(P240&lt;44.5,"PVP-down",IF(P240=44.5,44.5,IF(P240&gt;44.5,"PVP-up")))</f>
        <v>80</v>
      </c>
      <c r="G240" t="s">
        <f>IF(R240&lt;119,"PVV-down",IF(R240=119,119,IF(R240&gt;119,"PVV-up")))</f>
        <v>81</v>
      </c>
      <c r="H240" s="40">
        <f>R240/(Y240/10000)</f>
        <v>0.00133583568052693</v>
      </c>
      <c r="I240">
        <v>44.5</v>
      </c>
      <c r="J240">
        <v>44.450000000000003</v>
      </c>
      <c r="K240">
        <v>44.600000000000001</v>
      </c>
      <c r="L240">
        <v>-0.050000000000000003</v>
      </c>
      <c r="M240">
        <v>-0.0011000000000000001</v>
      </c>
      <c r="N240">
        <v>44.450000000000003</v>
      </c>
      <c r="O240">
        <v>44.5</v>
      </c>
      <c r="P240">
        <v>44.450000000000003</v>
      </c>
      <c r="Q240">
        <v>62</v>
      </c>
      <c r="R240">
        <v>1114</v>
      </c>
      <c r="S240">
        <v>1232</v>
      </c>
      <c r="T240">
        <f>((P240-K240)/K240)</f>
        <v>-0.0033632286995515376</v>
      </c>
      <c r="U240">
        <f>((T240*AB240)*D4)</f>
        <v>-0.044677657198513951</v>
      </c>
      <c r="V240" s="3">
        <f>IF(P240&lt;=N240,(P240*Q240*1000),0)</f>
        <v>2755900</v>
      </c>
      <c r="W240" s="3">
        <f>IF(P240&gt;=O240,(P240*Q240*1000),0)</f>
        <v>0</v>
      </c>
      <c r="X240">
        <v>2101</v>
      </c>
      <c r="Y240" s="3">
        <v>8339349040</v>
      </c>
      <c r="Z240" s="40">
        <f>((C4*AB240)/P240)/10</f>
        <v>0.027426456550289219</v>
      </c>
      <c r="AA240" s="40">
        <f>((M240*AB240)*C4)</f>
        <v>-0.013410165930263914</v>
      </c>
      <c r="AB240" s="40">
        <f>AE240/AE323</f>
        <v>0.0010394334309864152</v>
      </c>
      <c r="AC240" s="40">
        <f>AF240/AF323</f>
        <v>0.001030934439121721</v>
      </c>
      <c r="AD240" s="3">
        <f>IF(ISNA(J240),(I240*Y240)/10,(J240*Y240)/10)</f>
        <v>37068406482.800003</v>
      </c>
      <c r="AE240" s="3">
        <f>IF(ISNA(P240),(I240*Y240)/10,(P240*Y240)/10)</f>
        <v>37068406482.800003</v>
      </c>
      <c r="AF240" s="3">
        <f>(I240*Y240)/10</f>
        <v>37110103228</v>
      </c>
      <c r="AG240" t="s">
        <f>IF(AND(P240&lt;=N240,L240&lt;0),IF(Q240&lt;10,"DBL10",IF(Q240&gt;=200,"DBM200",IF(Q240&gt;=150,"DBM150",IF(Q240&gt;=100,"DBM100",IF(Q240&gt;=50,"DBM50","DBM10-50"))))),0)</f>
        <v>13</v>
      </c>
      <c r="AH240">
        <f>IF(AND(P240&gt;=O240,L240&lt;0),IF(Q240&lt;10,"DAL10",IF(Q240&gt;=200,"DAM200",IF(Q240&gt;=150,"DAM150",IF(Q240&gt;=100,"DAM100",IF(Q240&gt;=50,"DAM50","DAM10-50"))))),0)</f>
        <v>0</v>
      </c>
      <c r="AI240">
        <f>IF(AND(P240&gt;=O240,L240&gt;0),IF(Q240&lt;10,"UAL10",IF(Q240&gt;=200,"UAM200",IF(Q240&gt;=150,"UAM150",IF(Q240&gt;=100,"UAM100",IF(Q240&gt;=50,"UAM50","UAM10-50"))))),0)</f>
        <v>0</v>
      </c>
      <c r="AJ240">
        <f>IF(AND(P240&lt;=N240,L240&gt;0),IF(Q240&lt;10,"UBL10",IF(Q240&gt;=200,"UBM200",IF(Q240&gt;=150,"UBM150",IF(Q240&gt;=100,"UBM100",IF(Q240&gt;=50,"UBM50","UBM10-50"))))),0)</f>
        <v>0</v>
      </c>
      <c r="AK240" t="s">
        <f>IF(Q240&lt;17,"down",IF(Q240=17,17,IF(Q240&gt;17,"up")))</f>
        <v>6</v>
      </c>
    </row>
    <row r="241" spans="1:37">
      <c r="A241">
        <f>IF(X241=2201,2201,"Error")</f>
        <v>2201</v>
      </c>
      <c r="B241" t="s">
        <f>IF(K241&lt;23.850000000000001,"down",IF(K241=23.850000000000001,"low",IF(K241=24.600000000000001,"high",IF(AND(K241&gt;23.850000000000001,K241&lt;24.600000000000001),"normal","up"))))</f>
        <v>79</v>
      </c>
      <c r="C241" t="s">
        <f>IF(K241&lt;23.850000000000001,"down",IF(K241=23.850000000000001,"low",IF(K241=24.600000000000001,"high",IF(AND(K241&gt;23.850000000000001,K241&lt;24.600000000000001),"normal","up"))))</f>
        <v>79</v>
      </c>
      <c r="D241" t="s">
        <f>IF(K241&lt;23.850000000000001,"down",IF(K241=23.850000000000001,"low",IF(K241=24.600000000000001,"high",IF(AND(K241&gt;23.850000000000001,K241&lt;24.600000000000001),"normal","up"))))</f>
        <v>79</v>
      </c>
      <c r="E241" t="s">
        <f>IF(K241&lt;22.899999999999999,"down",IF(K241=22.899999999999999,"low",IF(K241=24.899999999999999,"high",IF(AND(K241&gt;22.899999999999999,K241&lt;24.899999999999999),"normal","up"))))</f>
        <v>79</v>
      </c>
      <c r="F241" t="s">
        <f>IF(P241&lt;24.199999999999999,"PVP-down",IF(P241=24.199999999999999,24.199999999999999,IF(P241&gt;24.199999999999999,"PVP-up")))</f>
        <v>83</v>
      </c>
      <c r="G241" t="s">
        <f>IF(R241&lt;1711,"PVV-down",IF(R241=1711,1711,IF(R241&gt;1711,"PVV-up")))</f>
        <v>81</v>
      </c>
      <c r="H241" s="40">
        <f>R241/(Y241/10000)</f>
        <v>0.0077028715388966443</v>
      </c>
      <c r="I241">
        <v>24.199999999999999</v>
      </c>
      <c r="J241">
        <v>24.550000000000001</v>
      </c>
      <c r="K241">
        <v>24.149999999999999</v>
      </c>
      <c r="L241">
        <v>0.34999999999999998</v>
      </c>
      <c r="M241">
        <v>0.014500000000000001</v>
      </c>
      <c r="N241">
        <v>24.5</v>
      </c>
      <c r="O241">
        <v>24.550000000000001</v>
      </c>
      <c r="P241">
        <v>24.550000000000001</v>
      </c>
      <c r="Q241">
        <v>337</v>
      </c>
      <c r="R241">
        <v>12116</v>
      </c>
      <c r="S241">
        <v>9115</v>
      </c>
      <c r="T241">
        <f>((P241-K241)/K241)</f>
        <v>0.016563146997929695</v>
      </c>
      <c r="U241">
        <f>((T241*AB241)*D4)</f>
        <v>0.22920866763729286</v>
      </c>
      <c r="V241" s="3">
        <f>IF(P241&lt;=N241,(P241*Q241*1000),0)</f>
        <v>0</v>
      </c>
      <c r="W241" s="3">
        <f>IF(P241&gt;=O241,(P241*Q241*1000),0)</f>
        <v>8273350</v>
      </c>
      <c r="X241">
        <v>2201</v>
      </c>
      <c r="Y241" s="3">
        <v>15729199090</v>
      </c>
      <c r="Z241" s="40">
        <f>((C4*AB241)/P241)/10</f>
        <v>0.051730200204299602</v>
      </c>
      <c r="AA241" s="40">
        <f>((M241*AB241)*C4)</f>
        <v>0.18414658017725552</v>
      </c>
      <c r="AB241" s="40">
        <f>AE241/AE323</f>
        <v>0.0010828065395429554</v>
      </c>
      <c r="AC241" s="40">
        <f>AF241/AF323</f>
        <v>0.0010574524818692576</v>
      </c>
      <c r="AD241" s="3">
        <f>IF(ISNA(J241),(I241*Y241)/10,(J241*Y241)/10)</f>
        <v>38615183765.949997</v>
      </c>
      <c r="AE241" s="3">
        <f>IF(ISNA(P241),(I241*Y241)/10,(P241*Y241)/10)</f>
        <v>38615183765.949997</v>
      </c>
      <c r="AF241" s="3">
        <f>(I241*Y241)/10</f>
        <v>38064661797.800003</v>
      </c>
      <c r="AG241">
        <f>IF(AND(P241&lt;=N241,L241&lt;0),IF(Q241&lt;10,"DBL10",IF(Q241&gt;=200,"DBM200",IF(Q241&gt;=150,"DBM150",IF(Q241&gt;=100,"DBM100",IF(Q241&gt;=50,"DBM50","DBM10-50"))))),0)</f>
        <v>0</v>
      </c>
      <c r="AH241">
        <f>IF(AND(P241&gt;=O241,L241&lt;0),IF(Q241&lt;10,"DAL10",IF(Q241&gt;=200,"DAM200",IF(Q241&gt;=150,"DAM150",IF(Q241&gt;=100,"DAM100",IF(Q241&gt;=50,"DAM50","DAM10-50"))))),0)</f>
        <v>0</v>
      </c>
      <c r="AI241" t="s">
        <f>IF(AND(P241&gt;=O241,L241&gt;0),IF(Q241&lt;10,"UAL10",IF(Q241&gt;=200,"UAM200",IF(Q241&gt;=150,"UAM150",IF(Q241&gt;=100,"UAM100",IF(Q241&gt;=50,"UAM50","UAM10-50"))))),0)</f>
        <v>31</v>
      </c>
      <c r="AJ241">
        <f>IF(AND(P241&lt;=N241,L241&gt;0),IF(Q241&lt;10,"UBL10",IF(Q241&gt;=200,"UBM200",IF(Q241&gt;=150,"UBM150",IF(Q241&gt;=100,"UBM100",IF(Q241&gt;=50,"UBM50","UBM10-50"))))),0)</f>
        <v>0</v>
      </c>
      <c r="AK241" t="s">
        <f>IF(Q241&lt;189,"down",IF(Q241=189,189,IF(Q241&gt;189,"up")))</f>
        <v>6</v>
      </c>
    </row>
    <row r="242" spans="1:37">
      <c r="A242">
        <f>IF(X242=2915,2915,"Error")</f>
        <v>2915</v>
      </c>
      <c r="B242" t="s">
        <f>IF(K242&lt;65.5,"down",IF(K242=65.5,"low",IF(K242=66,"high",IF(AND(K242&gt;65.5,K242&lt;66),"normal","up"))))</f>
        <v>6</v>
      </c>
      <c r="C242" t="s">
        <f>IF(K242&lt;65.5,"down",IF(K242=65.5,"low",IF(K242=66,"high",IF(AND(K242&gt;65.5,K242&lt;66),"normal","up"))))</f>
        <v>6</v>
      </c>
      <c r="D242" t="s">
        <f>IF(K242&lt;65.5,"down",IF(K242=65.5,"low",IF(K242=66,"high",IF(AND(K242&gt;65.5,K242&lt;66),"normal","up"))))</f>
        <v>6</v>
      </c>
      <c r="E242" t="s">
        <f>IF(K242&lt;64.099999999999994,"down",IF(K242=64.099999999999994,"low",IF(K242=66.299999999999997,"high",IF(AND(K242&gt;64.099999999999994,K242&lt;66.299999999999997),"normal","up"))))</f>
        <v>79</v>
      </c>
      <c r="F242" t="s">
        <f>IF(P242&lt;65.799999999999997,"PVP-down",IF(P242=65.799999999999997,65.799999999999997,IF(P242&gt;65.799999999999997,"PVP-up")))</f>
        <v>83</v>
      </c>
      <c r="G242" t="s">
        <f>IF(R242&lt;451,"PVV-down",IF(R242=451,451,IF(R242&gt;451,"PVV-up")))</f>
        <v>81</v>
      </c>
      <c r="H242" s="40">
        <f>R242/(Y242/10000)</f>
        <v>0.0043816120761293537</v>
      </c>
      <c r="I242">
        <v>65.900000000000006</v>
      </c>
      <c r="J242">
        <v>66.299999999999997</v>
      </c>
      <c r="K242">
        <v>66.099999999999994</v>
      </c>
      <c r="L242">
        <v>0.5</v>
      </c>
      <c r="M242">
        <v>0.0076</v>
      </c>
      <c r="N242">
        <v>66.299999999999997</v>
      </c>
      <c r="O242">
        <v>66.400000000000006</v>
      </c>
      <c r="P242">
        <v>66.400000000000006</v>
      </c>
      <c r="Q242">
        <v>89</v>
      </c>
      <c r="R242">
        <v>2475</v>
      </c>
      <c r="S242">
        <v>959</v>
      </c>
      <c r="T242">
        <f>((P242-K242)/K242)</f>
        <v>0.0045385779122543331</v>
      </c>
      <c r="U242">
        <f>((T242*AB242)*D4)</f>
        <v>0.061004128536786509</v>
      </c>
      <c r="V242" s="3">
        <f>IF(P242&lt;=N242,(P242*Q242*1000),0)</f>
        <v>0</v>
      </c>
      <c r="W242" s="3">
        <f>IF(P242&gt;=O242,(P242*Q242*1000),0)</f>
        <v>5909600</v>
      </c>
      <c r="X242">
        <v>2915</v>
      </c>
      <c r="Y242" s="3">
        <v>5648605940</v>
      </c>
      <c r="Z242" s="40">
        <f>((C4*AB242)/P242)/10</f>
        <v>0.018577138891780406</v>
      </c>
      <c r="AA242" s="40">
        <f>((M242*AB242)*C4)</f>
        <v>0.093747673703480638</v>
      </c>
      <c r="AB242" s="40">
        <f>AE242/AE323</f>
        <v>0.0010517248168927678</v>
      </c>
      <c r="AC242" s="40">
        <f>AF242/AF323</f>
        <v>0.0010341072391430188</v>
      </c>
      <c r="AD242" s="3">
        <f>IF(ISNA(J242),(I242*Y242)/10,(J242*Y242)/10)</f>
        <v>37450257382.199997</v>
      </c>
      <c r="AE242" s="3">
        <f>IF(ISNA(P242),(I242*Y242)/10,(P242*Y242)/10)</f>
        <v>37506743441.600006</v>
      </c>
      <c r="AF242" s="3">
        <f>(I242*Y242)/10</f>
        <v>37224313144.600006</v>
      </c>
      <c r="AG242">
        <f>IF(AND(P242&lt;=N242,L242&lt;0),IF(Q242&lt;10,"DBL10",IF(Q242&gt;=200,"DBM200",IF(Q242&gt;=150,"DBM150",IF(Q242&gt;=100,"DBM100",IF(Q242&gt;=50,"DBM50","DBM10-50"))))),0)</f>
        <v>0</v>
      </c>
      <c r="AH242">
        <f>IF(AND(P242&gt;=O242,L242&lt;0),IF(Q242&lt;10,"DAL10",IF(Q242&gt;=200,"DAM200",IF(Q242&gt;=150,"DAM150",IF(Q242&gt;=100,"DAM100",IF(Q242&gt;=50,"DAM50","DAM10-50"))))),0)</f>
        <v>0</v>
      </c>
      <c r="AI242" t="s">
        <f>IF(AND(P242&gt;=O242,L242&gt;0),IF(Q242&lt;10,"UAL10",IF(Q242&gt;=200,"UAM200",IF(Q242&gt;=150,"UAM150",IF(Q242&gt;=100,"UAM100",IF(Q242&gt;=50,"UAM50","UAM10-50"))))),0)</f>
        <v>28</v>
      </c>
      <c r="AJ242">
        <f>IF(AND(P242&lt;=N242,L242&gt;0),IF(Q242&lt;10,"UBL10",IF(Q242&gt;=200,"UBM200",IF(Q242&gt;=150,"UBM150",IF(Q242&gt;=100,"UBM100",IF(Q242&gt;=50,"UBM50","UBM10-50"))))),0)</f>
        <v>0</v>
      </c>
      <c r="AK242" t="s">
        <f>IF(Q242&lt;14,"down",IF(Q242=14,14,IF(Q242&gt;14,"up")))</f>
        <v>6</v>
      </c>
    </row>
    <row r="243" spans="1:37">
      <c r="A243">
        <f>IF(X243=5522,5522,"Error")</f>
        <v>5522</v>
      </c>
      <c r="B243" t="s">
        <f>IF(K243&lt;43.299999999999997,"down",IF(K243=43.299999999999997,"low",IF(K243=44.299999999999997,"high",IF(AND(K243&gt;43.299999999999997,K243&lt;44.299999999999997),"normal","up"))))</f>
        <v>79</v>
      </c>
      <c r="C243" t="s">
        <f>IF(K243&lt;43.299999999999997,"down",IF(K243=43.299999999999997,"low",IF(K243=44.299999999999997,"high",IF(AND(K243&gt;43.299999999999997,K243&lt;44.299999999999997),"normal","up"))))</f>
        <v>79</v>
      </c>
      <c r="D243" t="s">
        <f>IF(K243&lt;43.299999999999997,"down",IF(K243=43.299999999999997,"low",IF(K243=44.299999999999997,"high",IF(AND(K243&gt;43.299999999999997,K243&lt;44.299999999999997),"normal","up"))))</f>
        <v>79</v>
      </c>
      <c r="E243" t="s">
        <f>IF(K243&lt;42,"down",IF(K243=42,"low",IF(K243=44.299999999999997,"high",IF(AND(K243&gt;42,K243&lt;44.299999999999997),"normal","up"))))</f>
        <v>79</v>
      </c>
      <c r="F243" t="s">
        <f>IF(P243&lt;43.899999999999999,"PVP-down",IF(P243=43.899999999999999,43.899999999999999,IF(P243&gt;43.899999999999999,"PVP-up")))</f>
        <v>83</v>
      </c>
      <c r="G243" t="s">
        <f>IF(R243&lt;287,"PVV-down",IF(R243=287,287,IF(R243&gt;287,"PVV-up")))</f>
        <v>81</v>
      </c>
      <c r="H243" s="40">
        <f>R243/(Y243/10000)</f>
        <v>0.0030424916027711551</v>
      </c>
      <c r="I243">
        <v>43.899999999999999</v>
      </c>
      <c r="J243">
        <v>44.549999999999997</v>
      </c>
      <c r="K243">
        <v>43.950000000000003</v>
      </c>
      <c r="L243">
        <v>0.65000000000000002</v>
      </c>
      <c r="M243">
        <v>0.014800000000000001</v>
      </c>
      <c r="N243">
        <v>44.549999999999997</v>
      </c>
      <c r="O243">
        <v>44.600000000000001</v>
      </c>
      <c r="P243">
        <v>44.549999999999997</v>
      </c>
      <c r="Q243">
        <v>28</v>
      </c>
      <c r="R243">
        <v>2378</v>
      </c>
      <c r="S243">
        <v>1594</v>
      </c>
      <c r="T243">
        <f>((P243-K243)/K243)</f>
        <v>0.013651877133105672</v>
      </c>
      <c r="U243">
        <f>((T243*AB243)*D4)</f>
        <v>0.17035410997509831</v>
      </c>
      <c r="V243" s="3">
        <f>IF(P243&lt;=N243,(P243*Q243*1000),0)</f>
        <v>1247399.9999999998</v>
      </c>
      <c r="W243" s="3">
        <f>IF(P243&gt;=O243,(P243*Q243*1000),0)</f>
        <v>0</v>
      </c>
      <c r="X243">
        <v>5522</v>
      </c>
      <c r="Y243" s="3">
        <v>7815962410</v>
      </c>
      <c r="Z243" s="40">
        <f>((C4*AB243)/P243)/10</f>
        <v>0.025705142260907071</v>
      </c>
      <c r="AA243" s="40">
        <f>((M243*AB243)*C4)</f>
        <v>0.16948428498306467</v>
      </c>
      <c r="AB243" s="40">
        <f>AE243/AE323</f>
        <v>0.00097638912689686685</v>
      </c>
      <c r="AC243" s="40">
        <f>AF243/AF323</f>
        <v>0.00095320402525358463</v>
      </c>
      <c r="AD243" s="3">
        <f>IF(ISNA(J243),(I243*Y243)/10,(J243*Y243)/10)</f>
        <v>34820112536.550003</v>
      </c>
      <c r="AE243" s="3">
        <f>IF(ISNA(P243),(I243*Y243)/10,(P243*Y243)/10)</f>
        <v>34820112536.550003</v>
      </c>
      <c r="AF243" s="3">
        <f>(I243*Y243)/10</f>
        <v>34312074979.900002</v>
      </c>
      <c r="AG243">
        <f>IF(AND(P243&lt;=N243,L243&lt;0),IF(Q243&lt;10,"DBL10",IF(Q243&gt;=200,"DBM200",IF(Q243&gt;=150,"DBM150",IF(Q243&gt;=100,"DBM100",IF(Q243&gt;=50,"DBM50","DBM10-50"))))),0)</f>
        <v>0</v>
      </c>
      <c r="AH243">
        <f>IF(AND(P243&gt;=O243,L243&lt;0),IF(Q243&lt;10,"DAL10",IF(Q243&gt;=200,"DAM200",IF(Q243&gt;=150,"DAM150",IF(Q243&gt;=100,"DAM100",IF(Q243&gt;=50,"DAM50","DAM10-50"))))),0)</f>
        <v>0</v>
      </c>
      <c r="AI243">
        <f>IF(AND(P243&gt;=O243,L243&gt;0),IF(Q243&lt;10,"UAL10",IF(Q243&gt;=200,"UAM200",IF(Q243&gt;=150,"UAM150",IF(Q243&gt;=100,"UAM100",IF(Q243&gt;=50,"UAM50","UAM10-50"))))),0)</f>
        <v>0</v>
      </c>
      <c r="AJ243" t="s">
        <f>IF(AND(P243&lt;=N243,L243&gt;0),IF(Q243&lt;10,"UBL10",IF(Q243&gt;=200,"UBM200",IF(Q243&gt;=150,"UBM150",IF(Q243&gt;=100,"UBM100",IF(Q243&gt;=50,"UBM50","UBM10-50"))))),0)</f>
        <v>17</v>
      </c>
      <c r="AK243" t="s">
        <f>IF(Q243&lt;96,"down",IF(Q243=96,96,IF(Q243&gt;96,"up")))</f>
        <v>7</v>
      </c>
    </row>
    <row r="244" spans="1:37">
      <c r="A244">
        <f>IF(X244=2903,2903,"Error")</f>
        <v>2903</v>
      </c>
      <c r="B244" t="s">
        <f>IF(K244&lt;24.800000000000001,"down",IF(K244=24.800000000000001,"low",IF(K244=25,"high",IF(AND(K244&gt;24.800000000000001,K244&lt;25),"normal","up"))))</f>
        <v>7</v>
      </c>
      <c r="C244" t="s">
        <f>IF(K244&lt;24.800000000000001,"down",IF(K244=24.800000000000001,"low",IF(K244=25,"high",IF(AND(K244&gt;24.800000000000001,K244&lt;25),"normal","up"))))</f>
        <v>7</v>
      </c>
      <c r="D244" t="s">
        <f>IF(K244&lt;24.800000000000001,"down",IF(K244=24.800000000000001,"low",IF(K244=25,"high",IF(AND(K244&gt;24.800000000000001,K244&lt;25),"normal","up"))))</f>
        <v>7</v>
      </c>
      <c r="E244" t="s">
        <f>IF(K244&lt;23.550000000000001,"down",IF(K244=23.550000000000001,"low",IF(K244=25.5,"high",IF(AND(K244&gt;23.550000000000001,K244&lt;25.5),"normal","up"))))</f>
        <v>79</v>
      </c>
      <c r="F244" t="s">
        <f>IF(P244&lt;24.899999999999999,"PVP-down",IF(P244=24.899999999999999,24.899999999999999,IF(P244&gt;24.899999999999999,"PVP-up")))</f>
        <v>80</v>
      </c>
      <c r="G244" t="s">
        <f>IF(R244&lt;168,"PVV-down",IF(R244=168,168,IF(R244&gt;168,"PVV-up")))</f>
        <v>81</v>
      </c>
      <c r="H244" s="40">
        <f>R244/(Y244/10000)</f>
        <v>0.00035710742138956398</v>
      </c>
      <c r="I244">
        <v>24.850000000000001</v>
      </c>
      <c r="J244">
        <v>24.75</v>
      </c>
      <c r="K244">
        <v>24.75</v>
      </c>
      <c r="L244">
        <v>-0.10000000000000001</v>
      </c>
      <c r="M244">
        <v>-0.0040000000000000001</v>
      </c>
      <c r="N244">
        <v>24.75</v>
      </c>
      <c r="O244">
        <v>24.800000000000001</v>
      </c>
      <c r="P244">
        <v>24.75</v>
      </c>
      <c r="Q244">
        <v>4</v>
      </c>
      <c r="R244">
        <v>506</v>
      </c>
      <c r="S244">
        <v>367</v>
      </c>
      <c r="T244">
        <f>((P244-K244)/K244)</f>
        <v>0</v>
      </c>
      <c r="U244">
        <f>((T244*AB244)*D4)</f>
        <v>0</v>
      </c>
      <c r="V244" s="3">
        <f>IF(P244&lt;=N244,(P244*Q244*1000),0)</f>
        <v>99000</v>
      </c>
      <c r="W244" s="3">
        <f>IF(P244&gt;=O244,(P244*Q244*1000),0)</f>
        <v>0</v>
      </c>
      <c r="X244">
        <v>2903</v>
      </c>
      <c r="Y244" s="3">
        <v>14169405890</v>
      </c>
      <c r="Z244" s="40">
        <f>((C4*AB244)/P244)/10</f>
        <v>0.046600351312972153</v>
      </c>
      <c r="AA244" s="40">
        <f>((M244*AB244)*C4)</f>
        <v>-0.046134347799842435</v>
      </c>
      <c r="AB244" s="40">
        <f>AE244/AE323</f>
        <v>0.00098337600810103785</v>
      </c>
      <c r="AC244" s="40">
        <f>AF244/AF323</f>
        <v>0.00097817581196164784</v>
      </c>
      <c r="AD244" s="3">
        <f>IF(ISNA(J244),(I244*Y244)/10,(J244*Y244)/10)</f>
        <v>35069279577.75</v>
      </c>
      <c r="AE244" s="3">
        <f>IF(ISNA(P244),(I244*Y244)/10,(P244*Y244)/10)</f>
        <v>35069279577.75</v>
      </c>
      <c r="AF244" s="3">
        <f>(I244*Y244)/10</f>
        <v>35210973636.650002</v>
      </c>
      <c r="AG244" t="s">
        <f>IF(AND(P244&lt;=N244,L244&lt;0),IF(Q244&lt;10,"DBL10",IF(Q244&gt;=200,"DBM200",IF(Q244&gt;=150,"DBM150",IF(Q244&gt;=100,"DBM100",IF(Q244&gt;=50,"DBM50","DBM10-50"))))),0)</f>
        <v>85</v>
      </c>
      <c r="AH244">
        <f>IF(AND(P244&gt;=O244,L244&lt;0),IF(Q244&lt;10,"DAL10",IF(Q244&gt;=200,"DAM200",IF(Q244&gt;=150,"DAM150",IF(Q244&gt;=100,"DAM100",IF(Q244&gt;=50,"DAM50","DAM10-50"))))),0)</f>
        <v>0</v>
      </c>
      <c r="AI244">
        <f>IF(AND(P244&gt;=O244,L244&gt;0),IF(Q244&lt;10,"UAL10",IF(Q244&gt;=200,"UAM200",IF(Q244&gt;=150,"UAM150",IF(Q244&gt;=100,"UAM100",IF(Q244&gt;=50,"UAM50","UAM10-50"))))),0)</f>
        <v>0</v>
      </c>
      <c r="AJ244">
        <f>IF(AND(P244&lt;=N244,L244&gt;0),IF(Q244&lt;10,"UBL10",IF(Q244&gt;=200,"UBM200",IF(Q244&gt;=150,"UBM150",IF(Q244&gt;=100,"UBM100",IF(Q244&gt;=50,"UBM50","UBM10-50"))))),0)</f>
        <v>0</v>
      </c>
      <c r="AK244">
        <f>IF(Q244&lt;4,"down",IF(Q244=4,4,IF(Q244&gt;4,"up")))</f>
        <v>4</v>
      </c>
    </row>
    <row r="245" spans="1:37">
      <c r="A245">
        <f>IF(X245=9941,9941,"Error")</f>
        <v>9941</v>
      </c>
      <c r="B245" t="s">
        <f>IF(K245&lt;105.5,"down",IF(K245=105.5,"low",IF(K245=107.5,"high",IF(AND(K245&gt;105.5,K245&lt;107.5),"normal","up"))))</f>
        <v>6</v>
      </c>
      <c r="C245" t="s">
        <f>IF(K245&lt;105.5,"down",IF(K245=105.5,"low",IF(K245=107.5,"high",IF(AND(K245&gt;105.5,K245&lt;107.5),"normal","up"))))</f>
        <v>6</v>
      </c>
      <c r="D245" t="s">
        <f>IF(K245&lt;105.5,"down",IF(K245=105.5,"low",IF(K245=107.5,"high",IF(AND(K245&gt;105.5,K245&lt;107.5),"normal","up"))))</f>
        <v>6</v>
      </c>
      <c r="E245" t="s">
        <f>IF(K245&lt;103.5,"down",IF(K245=103.5,"low",IF(K245=107.5,"high",IF(AND(K245&gt;103.5,K245&lt;107.5),"normal","up"))))</f>
        <v>6</v>
      </c>
      <c r="F245" t="s">
        <f>IF(P245&lt;107,"PVP-down",IF(P245=107,107,IF(P245&gt;107,"PVP-up")))</f>
        <v>83</v>
      </c>
      <c r="G245" t="s">
        <f>IF(R245&lt;221,"PVV-down",IF(R245=221,221,IF(R245&gt;221,"PVV-up")))</f>
        <v>81</v>
      </c>
      <c r="H245" s="40">
        <f>R245/(Y245/10000)</f>
        <v>0.0023725906096768246</v>
      </c>
      <c r="I245">
        <v>107</v>
      </c>
      <c r="J245">
        <v>109</v>
      </c>
      <c r="K245">
        <v>108</v>
      </c>
      <c r="L245">
        <v>2</v>
      </c>
      <c r="M245">
        <v>0.018700000000000001</v>
      </c>
      <c r="N245">
        <v>109</v>
      </c>
      <c r="O245">
        <v>109.5</v>
      </c>
      <c r="P245">
        <v>109</v>
      </c>
      <c r="Q245">
        <v>36</v>
      </c>
      <c r="R245">
        <v>954</v>
      </c>
      <c r="S245">
        <v>386</v>
      </c>
      <c r="T245">
        <f>((P245-K245)/K245)</f>
        <v>0.0092592592592592587</v>
      </c>
      <c r="U245">
        <f>((T245*AB245)*D4)</f>
        <v>0.14543146682057395</v>
      </c>
      <c r="V245" s="3">
        <f>IF(P245&lt;=N245,(P245*Q245*1000),0)</f>
        <v>3924000</v>
      </c>
      <c r="W245" s="3">
        <f>IF(P245&gt;=O245,(P245*Q245*1000),0)</f>
        <v>0</v>
      </c>
      <c r="X245">
        <v>9941</v>
      </c>
      <c r="Y245" s="3">
        <v>4020921250</v>
      </c>
      <c r="Z245" s="40">
        <f>((C4*AB245)/P245)/10</f>
        <v>0.013224008423954828</v>
      </c>
      <c r="AA245" s="40">
        <f>((M245*AB245)*C4)</f>
        <v>0.26954496370547126</v>
      </c>
      <c r="AB245" s="40">
        <f>AE245/AE323</f>
        <v>0.0012289800399385288</v>
      </c>
      <c r="AC245" s="40">
        <f>AF245/AF323</f>
        <v>0.0011952210426157573</v>
      </c>
      <c r="AD245" s="3">
        <f>IF(ISNA(J245),(I245*Y245)/10,(J245*Y245)/10)</f>
        <v>43828041625</v>
      </c>
      <c r="AE245" s="3">
        <f>IF(ISNA(P245),(I245*Y245)/10,(P245*Y245)/10)</f>
        <v>43828041625</v>
      </c>
      <c r="AF245" s="3">
        <f>(I245*Y245)/10</f>
        <v>43023857375</v>
      </c>
      <c r="AG245">
        <f>IF(AND(P245&lt;=N245,L245&lt;0),IF(Q245&lt;10,"DBL10",IF(Q245&gt;=200,"DBM200",IF(Q245&gt;=150,"DBM150",IF(Q245&gt;=100,"DBM100",IF(Q245&gt;=50,"DBM50","DBM10-50"))))),0)</f>
        <v>0</v>
      </c>
      <c r="AH245">
        <f>IF(AND(P245&gt;=O245,L245&lt;0),IF(Q245&lt;10,"DAL10",IF(Q245&gt;=200,"DAM200",IF(Q245&gt;=150,"DAM150",IF(Q245&gt;=100,"DAM100",IF(Q245&gt;=50,"DAM50","DAM10-50"))))),0)</f>
        <v>0</v>
      </c>
      <c r="AI245">
        <f>IF(AND(P245&gt;=O245,L245&gt;0),IF(Q245&lt;10,"UAL10",IF(Q245&gt;=200,"UAM200",IF(Q245&gt;=150,"UAM150",IF(Q245&gt;=100,"UAM100",IF(Q245&gt;=50,"UAM50","UAM10-50"))))),0)</f>
        <v>0</v>
      </c>
      <c r="AJ245" t="s">
        <f>IF(AND(P245&lt;=N245,L245&gt;0),IF(Q245&lt;10,"UBL10",IF(Q245&gt;=200,"UBM200",IF(Q245&gt;=150,"UBM150",IF(Q245&gt;=100,"UBM100",IF(Q245&gt;=50,"UBM50","UBM10-50"))))),0)</f>
        <v>17</v>
      </c>
      <c r="AK245" t="s">
        <f>IF(Q245&lt;10,"down",IF(Q245=10,10,IF(Q245&gt;10,"up")))</f>
        <v>6</v>
      </c>
    </row>
    <row r="246" spans="1:37">
      <c r="A246">
        <f>IF(X246=2015,2015,"Error")</f>
        <v>2015</v>
      </c>
      <c r="B246" t="s">
        <f>IF(K246&lt;54.299999999999997,"down",IF(K246=54.299999999999997,"low",IF(K246=54.899999999999999,"high",IF(AND(K246&gt;54.299999999999997,K246&lt;54.899999999999999),"normal","up"))))</f>
        <v>6</v>
      </c>
      <c r="C246" t="s">
        <f>IF(K246&lt;54.299999999999997,"down",IF(K246=54.299999999999997,"low",IF(K246=54.899999999999999,"high",IF(AND(K246&gt;54.299999999999997,K246&lt;54.899999999999999),"normal","up"))))</f>
        <v>6</v>
      </c>
      <c r="D246" t="s">
        <f>IF(K246&lt;54.299999999999997,"down",IF(K246=54.299999999999997,"low",IF(K246=54.899999999999999,"high",IF(AND(K246&gt;54.299999999999997,K246&lt;54.899999999999999),"normal","up"))))</f>
        <v>6</v>
      </c>
      <c r="E246" t="s">
        <f>IF(K246&lt;52.399999999999999,"down",IF(K246=52.399999999999999,"low",IF(K246=54.899999999999999,"high",IF(AND(K246&gt;52.399999999999999,K246&lt;54.899999999999999),"normal","up"))))</f>
        <v>6</v>
      </c>
      <c r="F246" t="s">
        <f>IF(P246&lt;54.799999999999997,"PVP-down",IF(P246=54.799999999999997,54.799999999999997,IF(P246&gt;54.799999999999997,"PVP-up")))</f>
        <v>83</v>
      </c>
      <c r="G246" t="s">
        <f>IF(R246&lt;192,"PVV-down",IF(R246=192,192,IF(R246&gt;192,"PVV-up")))</f>
        <v>81</v>
      </c>
      <c r="H246" s="40">
        <f>R246/(Y246/10000)</f>
        <v>0.0015560538106722747</v>
      </c>
      <c r="I246">
        <v>54.799999999999997</v>
      </c>
      <c r="J246">
        <v>55.200000000000003</v>
      </c>
      <c r="K246">
        <v>55</v>
      </c>
      <c r="L246">
        <v>0.40000000000000002</v>
      </c>
      <c r="M246">
        <v>0.0073000000000000001</v>
      </c>
      <c r="N246">
        <v>55.200000000000003</v>
      </c>
      <c r="O246">
        <v>55.299999999999997</v>
      </c>
      <c r="P246">
        <v>55.200000000000003</v>
      </c>
      <c r="Q246">
        <v>8</v>
      </c>
      <c r="R246">
        <v>905</v>
      </c>
      <c r="S246">
        <v>579</v>
      </c>
      <c r="T246">
        <f>((P246-K246)/K246)</f>
        <v>0.003636363636363688</v>
      </c>
      <c r="U246">
        <f>((T246*AB246)*D4)</f>
        <v>0.041836989502891928</v>
      </c>
      <c r="V246" s="3">
        <f>IF(P246&lt;=N246,(P246*Q246*1000),0)</f>
        <v>441600</v>
      </c>
      <c r="W246" s="3">
        <f>IF(P246&gt;=O246,(P246*Q246*1000),0)</f>
        <v>0</v>
      </c>
      <c r="X246">
        <v>2015</v>
      </c>
      <c r="Y246" s="3">
        <v>5815994240</v>
      </c>
      <c r="Z246" s="40">
        <f>((C4*AB246)/P246)/10</f>
        <v>0.019127645641762506</v>
      </c>
      <c r="AA246" s="40">
        <f>((M246*AB246)*C4)</f>
        <v>0.077076760878046199</v>
      </c>
      <c r="AB246" s="40">
        <f>AE246/AE323</f>
        <v>0.00090023482540518699</v>
      </c>
      <c r="AC246" s="40">
        <f>AF246/AF323</f>
        <v>0.00088540793868329001</v>
      </c>
      <c r="AD246" s="3">
        <f>IF(ISNA(J246),(I246*Y246)/10,(J246*Y246)/10)</f>
        <v>32104288204.799999</v>
      </c>
      <c r="AE246" s="3">
        <f>IF(ISNA(P246),(I246*Y246)/10,(P246*Y246)/10)</f>
        <v>32104288204.799999</v>
      </c>
      <c r="AF246" s="3">
        <f>(I246*Y246)/10</f>
        <v>31871648435.200001</v>
      </c>
      <c r="AG246">
        <f>IF(AND(P246&lt;=N246,L246&lt;0),IF(Q246&lt;10,"DBL10",IF(Q246&gt;=200,"DBM200",IF(Q246&gt;=150,"DBM150",IF(Q246&gt;=100,"DBM100",IF(Q246&gt;=50,"DBM50","DBM10-50"))))),0)</f>
        <v>0</v>
      </c>
      <c r="AH246">
        <f>IF(AND(P246&gt;=O246,L246&lt;0),IF(Q246&lt;10,"DAL10",IF(Q246&gt;=200,"DAM200",IF(Q246&gt;=150,"DAM150",IF(Q246&gt;=100,"DAM100",IF(Q246&gt;=50,"DAM50","DAM10-50"))))),0)</f>
        <v>0</v>
      </c>
      <c r="AI246">
        <f>IF(AND(P246&gt;=O246,L246&gt;0),IF(Q246&lt;10,"UAL10",IF(Q246&gt;=200,"UAM200",IF(Q246&gt;=150,"UAM150",IF(Q246&gt;=100,"UAM100",IF(Q246&gt;=50,"UAM50","UAM10-50"))))),0)</f>
        <v>0</v>
      </c>
      <c r="AJ246" t="s">
        <f>IF(AND(P246&lt;=N246,L246&gt;0),IF(Q246&lt;10,"UBL10",IF(Q246&gt;=200,"UBM200",IF(Q246&gt;=150,"UBM150",IF(Q246&gt;=100,"UBM100",IF(Q246&gt;=50,"UBM50","UBM10-50"))))),0)</f>
        <v>86</v>
      </c>
      <c r="AK246" t="s">
        <f>IF(Q246&lt;33,"down",IF(Q246=33,33,IF(Q246&gt;33,"up")))</f>
        <v>7</v>
      </c>
    </row>
    <row r="247" spans="1:37">
      <c r="A247">
        <f>IF(X247=1802,1802,"Error")</f>
        <v>1802</v>
      </c>
      <c r="B247" t="s">
        <f>IF(K247&lt;10,"down",IF(K247=10,"low",IF(K247=10.199999999999999,"high",IF(AND(K247&gt;10,K247&lt;10.199999999999999),"normal","up"))))</f>
        <v>6</v>
      </c>
      <c r="C247" t="s">
        <f>IF(K247&lt;10,"down",IF(K247=10,"low",IF(K247=10.199999999999999,"high",IF(AND(K247&gt;10,K247&lt;10.199999999999999),"normal","up"))))</f>
        <v>6</v>
      </c>
      <c r="D247" t="s">
        <f>IF(K247&lt;10,"down",IF(K247=10,"low",IF(K247=10.199999999999999,"high",IF(AND(K247&gt;10,K247&lt;10.199999999999999),"normal","up"))))</f>
        <v>6</v>
      </c>
      <c r="E247" t="s">
        <f>IF(K247&lt;9.8900000000000006,"down",IF(K247=9.8900000000000006,"low",IF(K247=10.300000000000001,"high",IF(AND(K247&gt;9.8900000000000006,K247&lt;10.300000000000001),"normal","up"))))</f>
        <v>84</v>
      </c>
      <c r="F247" t="s">
        <f>IF(P247&lt;10.15,"PVP-down",IF(P247=10.15,10.15,IF(P247&gt;10.15,"PVP-up")))</f>
        <v>83</v>
      </c>
      <c r="G247" t="s">
        <f>IF(R247&lt;919,"PVV-down",IF(R247=919,919,IF(R247&gt;919,"PVV-up")))</f>
        <v>81</v>
      </c>
      <c r="H247" s="40">
        <f>R247/(Y247/10000)</f>
        <v>0.018134077526852258</v>
      </c>
      <c r="I247">
        <v>10.15</v>
      </c>
      <c r="J247">
        <v>11.15</v>
      </c>
      <c r="K247">
        <v>10.300000000000001</v>
      </c>
      <c r="L247">
        <v>1</v>
      </c>
      <c r="M247">
        <v>0.098500000000000004</v>
      </c>
      <c r="N247">
        <v>11.15</v>
      </c>
      <c r="O247">
        <v>11.15</v>
      </c>
      <c r="P247">
        <v>11.15</v>
      </c>
      <c r="Q247">
        <v>120</v>
      </c>
      <c r="R247">
        <v>52735</v>
      </c>
      <c r="S247">
        <v>1891</v>
      </c>
      <c r="T247">
        <f>((P247-K247)/K247)</f>
        <v>0.082524271844660158</v>
      </c>
      <c r="U247">
        <f>((T247*AB247)*D4)</f>
        <v>0.95893710859910331</v>
      </c>
      <c r="V247" s="3">
        <f>IF(P247&lt;=N247,(P247*Q247*1000),0)</f>
        <v>1338000</v>
      </c>
      <c r="W247" s="3">
        <f>IF(P247&gt;=O247,(P247*Q247*1000),0)</f>
        <v>1338000</v>
      </c>
      <c r="X247">
        <v>1802</v>
      </c>
      <c r="Y247" s="3">
        <v>29080608000</v>
      </c>
      <c r="Z247" s="40">
        <f>((C4*AB247)/P247)/10</f>
        <v>0.095640322517066972</v>
      </c>
      <c r="AA247" s="40">
        <f>((M247*AB247)*C4)</f>
        <v>1.0503937521243174</v>
      </c>
      <c r="AB247" s="40">
        <f>AE247/AE323</f>
        <v>0.00090922446642911162</v>
      </c>
      <c r="AC247" s="40">
        <f>AF247/AF323</f>
        <v>0.00081998972396567997</v>
      </c>
      <c r="AD247" s="3">
        <f>IF(ISNA(J247),(I247*Y247)/10,(J247*Y247)/10)</f>
        <v>32424877920</v>
      </c>
      <c r="AE247" s="3">
        <f>IF(ISNA(P247),(I247*Y247)/10,(P247*Y247)/10)</f>
        <v>32424877920</v>
      </c>
      <c r="AF247" s="3">
        <f>(I247*Y247)/10</f>
        <v>29516817120</v>
      </c>
      <c r="AG247">
        <f>IF(AND(P247&lt;=N247,L247&lt;0),IF(Q247&lt;10,"DBL10",IF(Q247&gt;=200,"DBM200",IF(Q247&gt;=150,"DBM150",IF(Q247&gt;=100,"DBM100",IF(Q247&gt;=50,"DBM50","DBM10-50"))))),0)</f>
        <v>0</v>
      </c>
      <c r="AH247">
        <f>IF(AND(P247&gt;=O247,L247&lt;0),IF(Q247&lt;10,"DAL10",IF(Q247&gt;=200,"DAM200",IF(Q247&gt;=150,"DAM150",IF(Q247&gt;=100,"DAM100",IF(Q247&gt;=50,"DAM50","DAM10-50"))))),0)</f>
        <v>0</v>
      </c>
      <c r="AI247" t="s">
        <f>IF(AND(P247&gt;=O247,L247&gt;0),IF(Q247&lt;10,"UAL10",IF(Q247&gt;=200,"UAM200",IF(Q247&gt;=150,"UAM150",IF(Q247&gt;=100,"UAM100",IF(Q247&gt;=50,"UAM50","UAM10-50"))))),0)</f>
        <v>29</v>
      </c>
      <c r="AJ247" t="s">
        <f>IF(AND(P247&lt;=N247,L247&gt;0),IF(Q247&lt;10,"UBL10",IF(Q247&gt;=200,"UBM200",IF(Q247&gt;=150,"UBM150",IF(Q247&gt;=100,"UBM100",IF(Q247&gt;=50,"UBM50","UBM10-50"))))),0)</f>
        <v>19</v>
      </c>
      <c r="AK247" t="s">
        <f>IF(Q247&lt;32,"down",IF(Q247=32,32,IF(Q247&gt;32,"up")))</f>
        <v>6</v>
      </c>
    </row>
    <row r="248" spans="1:37">
      <c r="A248">
        <f>IF(X248=2027,2027,"Error")</f>
        <v>2027</v>
      </c>
      <c r="B248" t="s">
        <f>IF(K248&lt;22.149999999999999,"down",IF(K248=22.149999999999999,"low",IF(K248=22.550000000000001,"high",IF(AND(K248&gt;22.149999999999999,K248&lt;22.550000000000001),"normal","up"))))</f>
        <v>79</v>
      </c>
      <c r="C248" t="s">
        <f>IF(K248&lt;22.149999999999999,"down",IF(K248=22.149999999999999,"low",IF(K248=22.550000000000001,"high",IF(AND(K248&gt;22.149999999999999,K248&lt;22.550000000000001),"normal","up"))))</f>
        <v>79</v>
      </c>
      <c r="D248" t="s">
        <f>IF(K248&lt;22.149999999999999,"down",IF(K248=22.149999999999999,"low",IF(K248=22.550000000000001,"high",IF(AND(K248&gt;22.149999999999999,K248&lt;22.550000000000001),"normal","up"))))</f>
        <v>79</v>
      </c>
      <c r="E248" t="s">
        <f>IF(K248&lt;22.149999999999999,"down",IF(K248=22.149999999999999,"low",IF(K248=23.550000000000001,"high",IF(AND(K248&gt;22.149999999999999,K248&lt;23.550000000000001),"normal","up"))))</f>
        <v>79</v>
      </c>
      <c r="F248" t="s">
        <f>IF(P248&lt;22.25,"PVP-down",IF(P248=22.25,22.25,IF(P248&gt;22.25,"PVP-up")))</f>
        <v>80</v>
      </c>
      <c r="G248" t="s">
        <f>IF(R248&lt;1141,"PVV-down",IF(R248=1141,1141,IF(R248&gt;1141,"PVV-up")))</f>
        <v>81</v>
      </c>
      <c r="H248" s="40">
        <f>R248/(Y248/10000)</f>
        <v>0.0067113461838205326</v>
      </c>
      <c r="I248">
        <v>22.5</v>
      </c>
      <c r="J248">
        <v>22.199999999999999</v>
      </c>
      <c r="K248">
        <v>22.5</v>
      </c>
      <c r="L248">
        <v>-0.29999999999999999</v>
      </c>
      <c r="M248">
        <v>-0.013299999999999999</v>
      </c>
      <c r="N248">
        <v>22.199999999999999</v>
      </c>
      <c r="O248">
        <v>22.25</v>
      </c>
      <c r="P248">
        <v>22.199999999999999</v>
      </c>
      <c r="Q248">
        <v>593</v>
      </c>
      <c r="R248">
        <v>8446</v>
      </c>
      <c r="S248">
        <v>4656</v>
      </c>
      <c r="T248">
        <f>((P248-K248)/K248)</f>
        <v>-0.013333333333333365</v>
      </c>
      <c r="U248">
        <f>((T248*AB248)*D4)</f>
        <v>-0.13349445341853999</v>
      </c>
      <c r="V248" s="3">
        <f>IF(P248&lt;=N248,(P248*Q248*1000),0)</f>
        <v>13164600</v>
      </c>
      <c r="W248" s="3">
        <f>IF(P248&gt;=O248,(P248*Q248*1000),0)</f>
        <v>0</v>
      </c>
      <c r="X248">
        <v>2027</v>
      </c>
      <c r="Y248" s="3">
        <v>12584658530</v>
      </c>
      <c r="Z248" s="40">
        <f>((C4*AB248)/P248)/10</f>
        <v>0.041388433163995687</v>
      </c>
      <c r="AA248" s="40">
        <f>((M248*AB248)*C4)</f>
        <v>-0.12220348776001363</v>
      </c>
      <c r="AB248" s="40">
        <f>AE248/AE323</f>
        <v>0.00078340650697606806</v>
      </c>
      <c r="AC248" s="40">
        <f>AF248/AF323</f>
        <v>0.00078661611523337381</v>
      </c>
      <c r="AD248" s="3">
        <f>IF(ISNA(J248),(I248*Y248)/10,(J248*Y248)/10)</f>
        <v>27937941936.599998</v>
      </c>
      <c r="AE248" s="3">
        <f>IF(ISNA(P248),(I248*Y248)/10,(P248*Y248)/10)</f>
        <v>27937941936.599998</v>
      </c>
      <c r="AF248" s="3">
        <f>(I248*Y248)/10</f>
        <v>28315481692.5</v>
      </c>
      <c r="AG248" t="s">
        <f>IF(AND(P248&lt;=N248,L248&lt;0),IF(Q248&lt;10,"DBL10",IF(Q248&gt;=200,"DBM200",IF(Q248&gt;=150,"DBM150",IF(Q248&gt;=100,"DBM100",IF(Q248&gt;=50,"DBM50","DBM10-50"))))),0)</f>
        <v>16</v>
      </c>
      <c r="AH248">
        <f>IF(AND(P248&gt;=O248,L248&lt;0),IF(Q248&lt;10,"DAL10",IF(Q248&gt;=200,"DAM200",IF(Q248&gt;=150,"DAM150",IF(Q248&gt;=100,"DAM100",IF(Q248&gt;=50,"DAM50","DAM10-50"))))),0)</f>
        <v>0</v>
      </c>
      <c r="AI248">
        <f>IF(AND(P248&gt;=O248,L248&gt;0),IF(Q248&lt;10,"UAL10",IF(Q248&gt;=200,"UAM200",IF(Q248&gt;=150,"UAM150",IF(Q248&gt;=100,"UAM100",IF(Q248&gt;=50,"UAM50","UAM10-50"))))),0)</f>
        <v>0</v>
      </c>
      <c r="AJ248">
        <f>IF(AND(P248&lt;=N248,L248&gt;0),IF(Q248&lt;10,"UBL10",IF(Q248&gt;=200,"UBM200",IF(Q248&gt;=150,"UBM150",IF(Q248&gt;=100,"UBM100",IF(Q248&gt;=50,"UBM50","UBM10-50"))))),0)</f>
        <v>0</v>
      </c>
      <c r="AK248" t="s">
        <f>IF(Q248&lt;38,"down",IF(Q248=38,38,IF(Q248&gt;38,"up")))</f>
        <v>6</v>
      </c>
    </row>
    <row r="249" spans="1:37">
      <c r="A249">
        <f>IF(X249=8341,8341,"Error")</f>
        <v>8341</v>
      </c>
      <c r="B249" t="s">
        <f>IF(K249&lt;255.5,"down",IF(K249=255.5,"low",IF(K249=260,"high",IF(AND(K249&gt;255.5,K249&lt;260),"normal","up"))))</f>
        <v>79</v>
      </c>
      <c r="C249" t="s">
        <f>IF(K249&lt;255.5,"down",IF(K249=255.5,"low",IF(K249=260,"high",IF(AND(K249&gt;255.5,K249&lt;260),"normal","up"))))</f>
        <v>79</v>
      </c>
      <c r="D249" t="s">
        <f>IF(K249&lt;255.5,"down",IF(K249=255.5,"low",IF(K249=260,"high",IF(AND(K249&gt;255.5,K249&lt;260),"normal","up"))))</f>
        <v>79</v>
      </c>
      <c r="E249" t="s">
        <f>IF(K249&lt;255.5,"down",IF(K249=255.5,"low",IF(K249=265.5,"high",IF(AND(K249&gt;255.5,K249&lt;265.5),"normal","up"))))</f>
        <v>79</v>
      </c>
      <c r="F249" t="s">
        <f>IF(P249&lt;256,"PVP-down",IF(P249=256,256,IF(P249&gt;256,"PVP-up")))</f>
        <v>83</v>
      </c>
      <c r="G249" t="s">
        <f>IF(R249&lt;23,"PVV-down",IF(R249=23,23,IF(R249&gt;23,"PVV-up")))</f>
        <v>81</v>
      </c>
      <c r="H249" s="40">
        <f>R249/(Y249/10000)</f>
        <v>0.00045739910313901343</v>
      </c>
      <c r="I249">
        <v>258.5</v>
      </c>
      <c r="J249">
        <v>258.5</v>
      </c>
      <c r="K249">
        <v>259</v>
      </c>
      <c r="L249">
        <v>-0.5</v>
      </c>
      <c r="M249">
        <v>-0.0019</v>
      </c>
      <c r="N249">
        <v>258</v>
      </c>
      <c r="O249">
        <v>259</v>
      </c>
      <c r="P249">
        <v>258</v>
      </c>
      <c r="Q249">
        <v>4</v>
      </c>
      <c r="R249">
        <v>51</v>
      </c>
      <c r="S249">
        <v>61</v>
      </c>
      <c r="T249">
        <f>((P249-K249)/K249)</f>
        <v>-0.0038610038610038611</v>
      </c>
      <c r="U249">
        <f>((T249*AB249)*D4)</f>
        <v>-0.039803831926596547</v>
      </c>
      <c r="V249" s="3">
        <f>IF(P249&lt;=N249,(P249*Q249*1000),0)</f>
        <v>1032000</v>
      </c>
      <c r="W249" s="3">
        <f>IF(P249&gt;=O249,(P249*Q249*1000),0)</f>
        <v>0</v>
      </c>
      <c r="X249">
        <v>8341</v>
      </c>
      <c r="Y249" s="3">
        <v>1115000000</v>
      </c>
      <c r="Z249" s="40">
        <f>((C4*AB249)/P249)/10</f>
        <v>0.0036670127256806218</v>
      </c>
      <c r="AA249" s="40">
        <f>((M249*AB249)*C4)</f>
        <v>-0.017975696381286408</v>
      </c>
      <c r="AB249" s="40">
        <f>AE249/AE323</f>
        <v>0.00080665408487577293</v>
      </c>
      <c r="AC249" s="40">
        <f>AF249/AF323</f>
        <v>0.00080070824440002508</v>
      </c>
      <c r="AD249" s="3">
        <f>IF(ISNA(J249),(I249*Y249)/10,(J249*Y249)/10)</f>
        <v>28822750000</v>
      </c>
      <c r="AE249" s="3">
        <f>IF(ISNA(P249),(I249*Y249)/10,(P249*Y249)/10)</f>
        <v>28767000000</v>
      </c>
      <c r="AF249" s="3">
        <f>(I249*Y249)/10</f>
        <v>28822750000</v>
      </c>
      <c r="AG249" t="s">
        <f>IF(AND(P249&lt;=N249,L249&lt;0),IF(Q249&lt;10,"DBL10",IF(Q249&gt;=200,"DBM200",IF(Q249&gt;=150,"DBM150",IF(Q249&gt;=100,"DBM100",IF(Q249&gt;=50,"DBM50","DBM10-50"))))),0)</f>
        <v>85</v>
      </c>
      <c r="AH249">
        <f>IF(AND(P249&gt;=O249,L249&lt;0),IF(Q249&lt;10,"DAL10",IF(Q249&gt;=200,"DAM200",IF(Q249&gt;=150,"DAM150",IF(Q249&gt;=100,"DAM100",IF(Q249&gt;=50,"DAM50","DAM10-50"))))),0)</f>
        <v>0</v>
      </c>
      <c r="AI249">
        <f>IF(AND(P249&gt;=O249,L249&gt;0),IF(Q249&lt;10,"UAL10",IF(Q249&gt;=200,"UAM200",IF(Q249&gt;=150,"UAM150",IF(Q249&gt;=100,"UAM100",IF(Q249&gt;=50,"UAM50","UAM10-50"))))),0)</f>
        <v>0</v>
      </c>
      <c r="AJ249">
        <f>IF(AND(P249&lt;=N249,L249&gt;0),IF(Q249&lt;10,"UBL10",IF(Q249&gt;=200,"UBM200",IF(Q249&gt;=150,"UBM150",IF(Q249&gt;=100,"UBM100",IF(Q249&gt;=50,"UBM50","UBM10-50"))))),0)</f>
        <v>0</v>
      </c>
      <c r="AK249" t="s">
        <f>IF(Q249&lt;1,"down",IF(Q249=1,1,IF(Q249&gt;1,"up")))</f>
        <v>6</v>
      </c>
    </row>
    <row r="250" spans="1:37">
      <c r="A250">
        <f>IF(X250=4142,4142,"Error")</f>
        <v>4142</v>
      </c>
      <c r="B250" t="s">
        <f>IF(K250&lt;69.799999999999997,"down",IF(K250=69.799999999999997,"low",IF(K250=73,"high",IF(AND(K250&gt;69.799999999999997,K250&lt;73),"normal","up"))))</f>
        <v>79</v>
      </c>
      <c r="C250" t="s">
        <f>IF(K250&lt;69.799999999999997,"down",IF(K250=69.799999999999997,"low",IF(K250=73,"high",IF(AND(K250&gt;69.799999999999997,K250&lt;73),"normal","up"))))</f>
        <v>79</v>
      </c>
      <c r="D250" t="s">
        <f>IF(K250&lt;69.799999999999997,"down",IF(K250=69.799999999999997,"low",IF(K250=73,"high",IF(AND(K250&gt;69.799999999999997,K250&lt;73),"normal","up"))))</f>
        <v>79</v>
      </c>
      <c r="E250" t="s">
        <f>IF(K250&lt;68.799999999999997,"down",IF(K250=68.799999999999997,"low",IF(K250=75.299999999999997,"high",IF(AND(K250&gt;68.799999999999997,K250&lt;75.299999999999997),"normal","up"))))</f>
        <v>79</v>
      </c>
      <c r="F250" t="s">
        <f>IF(P250&lt;70,"PVP-down",IF(P250=70,70,IF(P250&gt;70,"PVP-up")))</f>
        <v>80</v>
      </c>
      <c r="G250" t="s">
        <f>IF(R250&lt;2666,"PVV-down",IF(R250=2666,2666,IF(R250&gt;2666,"PVV-up")))</f>
        <v>81</v>
      </c>
      <c r="H250" s="40">
        <f>R250/(Y250/10000)</f>
        <v>0.084464509643798105</v>
      </c>
      <c r="I250">
        <v>70</v>
      </c>
      <c r="J250">
        <v>66.799999999999997</v>
      </c>
      <c r="K250">
        <v>70.299999999999997</v>
      </c>
      <c r="L250">
        <v>-3.2999999999999998</v>
      </c>
      <c r="M250">
        <v>-0.047100000000000003</v>
      </c>
      <c r="N250">
        <v>66.700000000000003</v>
      </c>
      <c r="O250">
        <v>66.799999999999997</v>
      </c>
      <c r="P250">
        <v>66.700000000000003</v>
      </c>
      <c r="Q250">
        <v>1359</v>
      </c>
      <c r="R250">
        <v>34542</v>
      </c>
      <c r="S250">
        <v>25461</v>
      </c>
      <c r="T250">
        <f>((P250-K250)/K250)</f>
        <v>-0.05120910384068271</v>
      </c>
      <c r="U250">
        <f>((T250*AB250)*D4)</f>
        <v>-0.50058323300831664</v>
      </c>
      <c r="V250" s="3">
        <f>IF(P250&lt;=N250,(P250*Q250*1000),0)</f>
        <v>90645300</v>
      </c>
      <c r="W250" s="3">
        <f>IF(P250&gt;=O250,(P250*Q250*1000),0)</f>
        <v>0</v>
      </c>
      <c r="X250">
        <v>4142</v>
      </c>
      <c r="Y250" s="3">
        <v>4089528270</v>
      </c>
      <c r="Z250" s="40">
        <f>((C4*AB250)/P250)/10</f>
        <v>0.013449643235982653</v>
      </c>
      <c r="AA250" s="40">
        <f>((M250*AB250)*C4)</f>
        <v>-0.42252995700866031</v>
      </c>
      <c r="AB250" s="40">
        <f>AE250/AE323</f>
        <v>0.00076487737142154973</v>
      </c>
      <c r="AC250" s="40">
        <f>AF250/AF323</f>
        <v>0.0007952618334639062</v>
      </c>
      <c r="AD250" s="3">
        <f>IF(ISNA(J250),(I250*Y250)/10,(J250*Y250)/10)</f>
        <v>27318048843.599998</v>
      </c>
      <c r="AE250" s="3">
        <f>IF(ISNA(P250),(I250*Y250)/10,(P250*Y250)/10)</f>
        <v>27277153560.900002</v>
      </c>
      <c r="AF250" s="3">
        <f>(I250*Y250)/10</f>
        <v>28626697890</v>
      </c>
      <c r="AG250" t="s">
        <f>IF(AND(P250&lt;=N250,L250&lt;0),IF(Q250&lt;10,"DBL10",IF(Q250&gt;=200,"DBM200",IF(Q250&gt;=150,"DBM150",IF(Q250&gt;=100,"DBM100",IF(Q250&gt;=50,"DBM50","DBM10-50"))))),0)</f>
        <v>16</v>
      </c>
      <c r="AH250">
        <f>IF(AND(P250&gt;=O250,L250&lt;0),IF(Q250&lt;10,"DAL10",IF(Q250&gt;=200,"DAM200",IF(Q250&gt;=150,"DAM150",IF(Q250&gt;=100,"DAM100",IF(Q250&gt;=50,"DAM50","DAM10-50"))))),0)</f>
        <v>0</v>
      </c>
      <c r="AI250">
        <f>IF(AND(P250&gt;=O250,L250&gt;0),IF(Q250&lt;10,"UAL10",IF(Q250&gt;=200,"UAM200",IF(Q250&gt;=150,"UAM150",IF(Q250&gt;=100,"UAM100",IF(Q250&gt;=50,"UAM50","UAM10-50"))))),0)</f>
        <v>0</v>
      </c>
      <c r="AJ250">
        <f>IF(AND(P250&lt;=N250,L250&gt;0),IF(Q250&lt;10,"UBL10",IF(Q250&gt;=200,"UBM200",IF(Q250&gt;=150,"UBM150",IF(Q250&gt;=100,"UBM100",IF(Q250&gt;=50,"UBM50","UBM10-50"))))),0)</f>
        <v>0</v>
      </c>
      <c r="AK250" t="s">
        <f>IF(Q250&lt;1665,"down",IF(Q250=1665,1665,IF(Q250&gt;1665,"up")))</f>
        <v>7</v>
      </c>
    </row>
    <row r="251" spans="1:37">
      <c r="A251">
        <f>IF(X251=9933,9933,"Error")</f>
        <v>9933</v>
      </c>
      <c r="B251" t="s">
        <f>IF(K251&lt;35.25,"down",IF(K251=35.25,"low",IF(K251=35.600000000000001,"high",IF(AND(K251&gt;35.25,K251&lt;35.600000000000001),"normal","up"))))</f>
        <v>79</v>
      </c>
      <c r="C251" t="s">
        <f>IF(K251&lt;35.25,"down",IF(K251=35.25,"low",IF(K251=35.600000000000001,"high",IF(AND(K251&gt;35.25,K251&lt;35.600000000000001),"normal","up"))))</f>
        <v>79</v>
      </c>
      <c r="D251" t="s">
        <f>IF(K251&lt;35.25,"down",IF(K251=35.25,"low",IF(K251=35.600000000000001,"high",IF(AND(K251&gt;35.25,K251&lt;35.600000000000001),"normal","up"))))</f>
        <v>79</v>
      </c>
      <c r="E251" t="s">
        <f>IF(K251&lt;35,"down",IF(K251=35,"low",IF(K251=36.700000000000003,"high",IF(AND(K251&gt;35,K251&lt;36.700000000000003),"normal","up"))))</f>
        <v>79</v>
      </c>
      <c r="F251">
        <f>IF(P251&lt;35.399999999999999,"PVP-down",IF(P251=35.399999999999999,35.399999999999999,IF(P251&gt;35.399999999999999,"PVP-up")))</f>
        <v>35.399999999999999</v>
      </c>
      <c r="G251" t="s">
        <f>IF(R251&lt;246,"PVV-down",IF(R251=246,246,IF(R251&gt;246,"PVV-up")))</f>
        <v>81</v>
      </c>
      <c r="H251" s="40">
        <f>R251/(Y251/10000)</f>
        <v>0.00086986681033023581</v>
      </c>
      <c r="I251">
        <v>35.399999999999999</v>
      </c>
      <c r="J251">
        <v>35.399999999999999</v>
      </c>
      <c r="K251">
        <v>35.399999999999999</v>
      </c>
      <c r="L251">
        <v>0</v>
      </c>
      <c r="M251">
        <v>0</v>
      </c>
      <c r="N251">
        <v>35.399999999999999</v>
      </c>
      <c r="O251">
        <v>35.450000000000003</v>
      </c>
      <c r="P251">
        <v>35.399999999999999</v>
      </c>
      <c r="Q251">
        <v>17</v>
      </c>
      <c r="R251">
        <v>664</v>
      </c>
      <c r="S251">
        <v>889</v>
      </c>
      <c r="T251">
        <f>((P251-K251)/K251)</f>
        <v>0</v>
      </c>
      <c r="U251">
        <f>((T251*AB251)*D4)</f>
        <v>0</v>
      </c>
      <c r="V251" s="3">
        <f>IF(P251&lt;=N251,(P251*Q251*1000),0)</f>
        <v>601800</v>
      </c>
      <c r="W251" s="3">
        <f>IF(P251&gt;=O251,(P251*Q251*1000),0)</f>
        <v>0</v>
      </c>
      <c r="X251">
        <v>9933</v>
      </c>
      <c r="Y251" s="3">
        <v>7633352510</v>
      </c>
      <c r="Z251" s="40">
        <f>((C4*AB251)/P251)/10</f>
        <v>0.025104574702938219</v>
      </c>
      <c r="AA251" s="40">
        <f>((M251*AB251)*C4)</f>
        <v>0</v>
      </c>
      <c r="AB251" s="40">
        <f>AE251/AE323</f>
        <v>0.00075772452607322099</v>
      </c>
      <c r="AC251" s="40">
        <f>AF251/AF323</f>
        <v>0.00075068452998332681</v>
      </c>
      <c r="AD251" s="3">
        <f>IF(ISNA(J251),(I251*Y251)/10,(J251*Y251)/10)</f>
        <v>27022067885.400002</v>
      </c>
      <c r="AE251" s="3">
        <f>IF(ISNA(P251),(I251*Y251)/10,(P251*Y251)/10)</f>
        <v>27022067885.400002</v>
      </c>
      <c r="AF251" s="3">
        <f>(I251*Y251)/10</f>
        <v>27022067885.400002</v>
      </c>
      <c r="AG251">
        <f>IF(AND(P251&lt;=N251,L251&lt;0),IF(Q251&lt;10,"DBL10",IF(Q251&gt;=200,"DBM200",IF(Q251&gt;=150,"DBM150",IF(Q251&gt;=100,"DBM100",IF(Q251&gt;=50,"DBM50","DBM10-50"))))),0)</f>
        <v>0</v>
      </c>
      <c r="AH251">
        <f>IF(AND(P251&gt;=O251,L251&lt;0),IF(Q251&lt;10,"DAL10",IF(Q251&gt;=200,"DAM200",IF(Q251&gt;=150,"DAM150",IF(Q251&gt;=100,"DAM100",IF(Q251&gt;=50,"DAM50","DAM10-50"))))),0)</f>
        <v>0</v>
      </c>
      <c r="AI251">
        <f>IF(AND(P251&gt;=O251,L251&gt;0),IF(Q251&lt;10,"UAL10",IF(Q251&gt;=200,"UAM200",IF(Q251&gt;=150,"UAM150",IF(Q251&gt;=100,"UAM100",IF(Q251&gt;=50,"UAM50","UAM10-50"))))),0)</f>
        <v>0</v>
      </c>
      <c r="AJ251">
        <f>IF(AND(P251&lt;=N251,L251&gt;0),IF(Q251&lt;10,"UBL10",IF(Q251&gt;=200,"UBM200",IF(Q251&gt;=150,"UBM150",IF(Q251&gt;=100,"UBM100",IF(Q251&gt;=50,"UBM50","UBM10-50"))))),0)</f>
        <v>0</v>
      </c>
      <c r="AK251" t="s">
        <f>IF(Q251&lt;15,"down",IF(Q251=15,15,IF(Q251&gt;15,"up")))</f>
        <v>6</v>
      </c>
    </row>
    <row r="252" spans="1:37">
      <c r="A252">
        <f>IF(X252=1314,1314,"Error")</f>
        <v>1314</v>
      </c>
      <c r="B252" t="s">
        <f>IF(K252&lt;8.4100000000000001,"down",IF(K252=8.4100000000000001,"low",IF(K252=8.5999999999999996,"high",IF(AND(K252&gt;8.4100000000000001,K252&lt;8.5999999999999996),"normal","up"))))</f>
        <v>7</v>
      </c>
      <c r="C252" t="s">
        <f>IF(K252&lt;8.4100000000000001,"down",IF(K252=8.4100000000000001,"low",IF(K252=8.5999999999999996,"high",IF(AND(K252&gt;8.4100000000000001,K252&lt;8.5999999999999996),"normal","up"))))</f>
        <v>7</v>
      </c>
      <c r="D252" t="s">
        <f>IF(K252&lt;8.4100000000000001,"down",IF(K252=8.4100000000000001,"low",IF(K252=8.5999999999999996,"high",IF(AND(K252&gt;8.4100000000000001,K252&lt;8.5999999999999996),"normal","up"))))</f>
        <v>7</v>
      </c>
      <c r="E252" t="s">
        <f>IF(K252&lt;8.1600000000000001,"down",IF(K252=8.1600000000000001,"low",IF(K252=8.5999999999999996,"high",IF(AND(K252&gt;8.1600000000000001,K252&lt;8.5999999999999996),"normal","up"))))</f>
        <v>79</v>
      </c>
      <c r="F252" t="s">
        <f>IF(P252&lt;8.4299999999999997,"PVP-down",IF(P252=8.4299999999999997,8.4299999999999997,IF(P252&gt;8.4299999999999997,"PVP-up")))</f>
        <v>83</v>
      </c>
      <c r="G252" t="s">
        <f>IF(R252&lt;6718,"PVV-down",IF(R252=6718,6718,IF(R252&gt;6718,"PVV-up")))</f>
        <v>81</v>
      </c>
      <c r="H252" s="40">
        <f>R252/(Y252/10000)</f>
        <v>0.025542717834740304</v>
      </c>
      <c r="I252">
        <v>8.5999999999999996</v>
      </c>
      <c r="J252">
        <v>8.5099999999999998</v>
      </c>
      <c r="K252">
        <v>8.4000000000000004</v>
      </c>
      <c r="L252">
        <v>0.20999999999999999</v>
      </c>
      <c r="M252">
        <v>0.0253</v>
      </c>
      <c r="N252">
        <v>8.5099999999999998</v>
      </c>
      <c r="O252">
        <v>8.5199999999999996</v>
      </c>
      <c r="P252">
        <v>8.5099999999999998</v>
      </c>
      <c r="Q252">
        <v>961</v>
      </c>
      <c r="R252">
        <v>83904</v>
      </c>
      <c r="S252">
        <v>39890</v>
      </c>
      <c r="T252">
        <f>((P252-K252)/K252)</f>
        <v>0.013095238095238026</v>
      </c>
      <c r="U252">
        <f>((T252*AB252)*D4)</f>
        <v>0.13118633327775137</v>
      </c>
      <c r="V252" s="3">
        <f>IF(P252&lt;=N252,(P252*Q252*1000),0)</f>
        <v>8178110</v>
      </c>
      <c r="W252" s="3">
        <f>IF(P252&gt;=O252,(P252*Q252*1000),0)</f>
        <v>0</v>
      </c>
      <c r="X252">
        <v>1314</v>
      </c>
      <c r="Y252" s="3">
        <v>32848501300</v>
      </c>
      <c r="Z252" s="40">
        <f>((C4*AB252)/P252)/10</f>
        <v>0.10803217245438249</v>
      </c>
      <c r="AA252" s="40">
        <f>((M252*AB252)*C4)</f>
        <v>0.23259650825945907</v>
      </c>
      <c r="AB252" s="40">
        <f>AE252/AE323</f>
        <v>0.00078385888240324012</v>
      </c>
      <c r="AC252" s="40">
        <f>AF252/AF323</f>
        <v>0.00078478898072188285</v>
      </c>
      <c r="AD252" s="3">
        <f>IF(ISNA(J252),(I252*Y252)/10,(J252*Y252)/10)</f>
        <v>27954074606.299999</v>
      </c>
      <c r="AE252" s="3">
        <f>IF(ISNA(P252),(I252*Y252)/10,(P252*Y252)/10)</f>
        <v>27954074606.299999</v>
      </c>
      <c r="AF252" s="3">
        <f>(I252*Y252)/10</f>
        <v>28249711118</v>
      </c>
      <c r="AG252">
        <f>IF(AND(P252&lt;=N252,L252&lt;0),IF(Q252&lt;10,"DBL10",IF(Q252&gt;=200,"DBM200",IF(Q252&gt;=150,"DBM150",IF(Q252&gt;=100,"DBM100",IF(Q252&gt;=50,"DBM50","DBM10-50"))))),0)</f>
        <v>0</v>
      </c>
      <c r="AH252">
        <f>IF(AND(P252&gt;=O252,L252&lt;0),IF(Q252&lt;10,"DAL10",IF(Q252&gt;=200,"DAM200",IF(Q252&gt;=150,"DAM150",IF(Q252&gt;=100,"DAM100",IF(Q252&gt;=50,"DAM50","DAM10-50"))))),0)</f>
        <v>0</v>
      </c>
      <c r="AI252">
        <f>IF(AND(P252&gt;=O252,L252&gt;0),IF(Q252&lt;10,"UAL10",IF(Q252&gt;=200,"UAM200",IF(Q252&gt;=150,"UAM150",IF(Q252&gt;=100,"UAM100",IF(Q252&gt;=50,"UAM50","UAM10-50"))))),0)</f>
        <v>0</v>
      </c>
      <c r="AJ252" t="s">
        <f>IF(AND(P252&lt;=N252,L252&gt;0),IF(Q252&lt;10,"UBL10",IF(Q252&gt;=200,"UBM200",IF(Q252&gt;=150,"UBM150",IF(Q252&gt;=100,"UBM100",IF(Q252&gt;=50,"UBM50","UBM10-50"))))),0)</f>
        <v>21</v>
      </c>
      <c r="AK252" t="s">
        <f>IF(Q252&lt;445,"down",IF(Q252=445,445,IF(Q252&gt;445,"up")))</f>
        <v>6</v>
      </c>
    </row>
    <row r="253" spans="1:37">
      <c r="A253">
        <f>IF(X253=5534,5534,"Error")</f>
        <v>5534</v>
      </c>
      <c r="B253" t="s">
        <f>IF(K253&lt;89.799999999999997,"down",IF(K253=89.799999999999997,"low",IF(K253=90.200000000000003,"high",IF(AND(K253&gt;89.799999999999997,K253&lt;90.200000000000003),"normal","up"))))</f>
        <v>79</v>
      </c>
      <c r="C253" t="s">
        <f>IF(K253&lt;89.799999999999997,"down",IF(K253=89.799999999999997,"low",IF(K253=90.200000000000003,"high",IF(AND(K253&gt;89.799999999999997,K253&lt;90.200000000000003),"normal","up"))))</f>
        <v>79</v>
      </c>
      <c r="D253" t="s">
        <f>IF(K253&lt;89.799999999999997,"down",IF(K253=89.799999999999997,"low",IF(K253=90.200000000000003,"high",IF(AND(K253&gt;89.799999999999997,K253&lt;90.200000000000003),"normal","up"))))</f>
        <v>79</v>
      </c>
      <c r="E253" t="s">
        <f>IF(K253&lt;88.700000000000003,"down",IF(K253=88.700000000000003,"low",IF(K253=90.200000000000003,"high",IF(AND(K253&gt;88.700000000000003,K253&lt;90.200000000000003),"normal","up"))))</f>
        <v>79</v>
      </c>
      <c r="F253" t="s">
        <f>IF(P253&lt;90,"PVP-down",IF(P253=90,90,IF(P253&gt;90,"PVP-up")))</f>
        <v>83</v>
      </c>
      <c r="G253" t="s">
        <f>IF(R253&lt;195,"PVV-down",IF(R253=195,195,IF(R253&gt;195,"PVV-up")))</f>
        <v>81</v>
      </c>
      <c r="H253" s="40">
        <f>R253/(Y253/10000)</f>
        <v>0.0022560848502834537</v>
      </c>
      <c r="I253">
        <v>90</v>
      </c>
      <c r="J253">
        <v>90.099999999999994</v>
      </c>
      <c r="K253">
        <v>89.900000000000006</v>
      </c>
      <c r="L253">
        <v>0.10000000000000001</v>
      </c>
      <c r="M253">
        <v>0.0011000000000000001</v>
      </c>
      <c r="N253">
        <v>90</v>
      </c>
      <c r="O253">
        <v>90.099999999999994</v>
      </c>
      <c r="P253">
        <v>90.099999999999994</v>
      </c>
      <c r="Q253">
        <v>7</v>
      </c>
      <c r="R253">
        <v>655</v>
      </c>
      <c r="S253">
        <v>375</v>
      </c>
      <c r="T253">
        <f>((P253-K253)/K253)</f>
        <v>0.0022246941045604963</v>
      </c>
      <c r="U253">
        <f>((T253*AB253)*D4)</f>
        <v>0.020855040623815317</v>
      </c>
      <c r="V253" s="3">
        <f>IF(P253&lt;=N253,(P253*Q253*1000),0)</f>
        <v>0</v>
      </c>
      <c r="W253" s="3">
        <f>IF(P253&gt;=O253,(P253*Q253*1000),0)</f>
        <v>630699.99999999988</v>
      </c>
      <c r="X253">
        <v>5534</v>
      </c>
      <c r="Y253" s="3">
        <v>2903259600</v>
      </c>
      <c r="Z253" s="40">
        <f>((C4*AB253)/P253)/10</f>
        <v>0.0095482420620219121</v>
      </c>
      <c r="AA253" s="40">
        <f>((M253*AB253)*C4)</f>
        <v>0.0094632627076699158</v>
      </c>
      <c r="AB253" s="40">
        <f>AE253/AE323</f>
        <v>0.00073350558641190142</v>
      </c>
      <c r="AC253" s="40">
        <f>AF253/AF323</f>
        <v>0.00072588406991635677</v>
      </c>
      <c r="AD253" s="3">
        <f>IF(ISNA(J253),(I253*Y253)/10,(J253*Y253)/10)</f>
        <v>26158368995.999996</v>
      </c>
      <c r="AE253" s="3">
        <f>IF(ISNA(P253),(I253*Y253)/10,(P253*Y253)/10)</f>
        <v>26158368995.999996</v>
      </c>
      <c r="AF253" s="3">
        <f>(I253*Y253)/10</f>
        <v>26129336400</v>
      </c>
      <c r="AG253">
        <f>IF(AND(P253&lt;=N253,L253&lt;0),IF(Q253&lt;10,"DBL10",IF(Q253&gt;=200,"DBM200",IF(Q253&gt;=150,"DBM150",IF(Q253&gt;=100,"DBM100",IF(Q253&gt;=50,"DBM50","DBM10-50"))))),0)</f>
        <v>0</v>
      </c>
      <c r="AH253">
        <f>IF(AND(P253&gt;=O253,L253&lt;0),IF(Q253&lt;10,"DAL10",IF(Q253&gt;=200,"DAM200",IF(Q253&gt;=150,"DAM150",IF(Q253&gt;=100,"DAM100",IF(Q253&gt;=50,"DAM50","DAM10-50"))))),0)</f>
        <v>0</v>
      </c>
      <c r="AI253" t="s">
        <f>IF(AND(P253&gt;=O253,L253&gt;0),IF(Q253&lt;10,"UAL10",IF(Q253&gt;=200,"UAM200",IF(Q253&gt;=150,"UAM150",IF(Q253&gt;=100,"UAM100",IF(Q253&gt;=50,"UAM50","UAM10-50"))))),0)</f>
        <v>89</v>
      </c>
      <c r="AJ253">
        <f>IF(AND(P253&lt;=N253,L253&gt;0),IF(Q253&lt;10,"UBL10",IF(Q253&gt;=200,"UBM200",IF(Q253&gt;=150,"UBM150",IF(Q253&gt;=100,"UBM100",IF(Q253&gt;=50,"UBM50","UBM10-50"))))),0)</f>
        <v>0</v>
      </c>
      <c r="AK253" t="s">
        <f>IF(Q253&lt;12,"down",IF(Q253=12,12,IF(Q253&gt;12,"up")))</f>
        <v>7</v>
      </c>
    </row>
    <row r="254" spans="1:37">
      <c r="A254">
        <f>IF(X254=1904,1904,"Error")</f>
        <v>1904</v>
      </c>
      <c r="B254" t="s">
        <f>IF(K254&lt;23.75,"down",IF(K254=23.75,"low",IF(K254=24.399999999999999,"high",IF(AND(K254&gt;23.75,K254&lt;24.399999999999999),"normal","up"))))</f>
        <v>79</v>
      </c>
      <c r="C254" t="s">
        <f>IF(K254&lt;23.75,"down",IF(K254=23.75,"low",IF(K254=24.399999999999999,"high",IF(AND(K254&gt;23.75,K254&lt;24.399999999999999),"normal","up"))))</f>
        <v>79</v>
      </c>
      <c r="D254" t="s">
        <f>IF(K254&lt;23.75,"down",IF(K254=23.75,"low",IF(K254=24.399999999999999,"high",IF(AND(K254&gt;23.75,K254&lt;24.399999999999999),"normal","up"))))</f>
        <v>79</v>
      </c>
      <c r="E254" t="s">
        <f>IF(K254&lt;23,"down",IF(K254=23,"low",IF(K254=24.399999999999999,"high",IF(AND(K254&gt;23,K254&lt;24.399999999999999),"normal","up"))))</f>
        <v>79</v>
      </c>
      <c r="F254" t="s">
        <f>IF(P254&lt;23.850000000000001,"PVP-down",IF(P254=23.850000000000001,23.850000000000001,IF(P254&gt;23.850000000000001,"PVP-up")))</f>
        <v>83</v>
      </c>
      <c r="G254" t="s">
        <f>IF(R254&lt;1327,"PVV-down",IF(R254=1327,1327,IF(R254&gt;1327,"PVV-up")))</f>
        <v>81</v>
      </c>
      <c r="H254" s="40">
        <f>R254/(Y254/10000)</f>
        <v>0.013602225532348742</v>
      </c>
      <c r="I254">
        <v>23.899999999999999</v>
      </c>
      <c r="J254">
        <v>25.149999999999999</v>
      </c>
      <c r="K254">
        <v>24</v>
      </c>
      <c r="L254">
        <v>1.25</v>
      </c>
      <c r="M254">
        <v>0.052299999999999999</v>
      </c>
      <c r="N254">
        <v>25.100000000000001</v>
      </c>
      <c r="O254">
        <v>25.149999999999999</v>
      </c>
      <c r="P254">
        <v>25.149999999999999</v>
      </c>
      <c r="Q254">
        <v>519</v>
      </c>
      <c r="R254">
        <v>15075</v>
      </c>
      <c r="S254">
        <v>4835</v>
      </c>
      <c r="T254">
        <f>((P254-K254)/K254)</f>
        <v>0.047916666666666607</v>
      </c>
      <c r="U254">
        <f>((T254*AB254)*D4)</f>
        <v>0.47863230963050823</v>
      </c>
      <c r="V254" s="3">
        <f>IF(P254&lt;=N254,(P254*Q254*1000),0)</f>
        <v>0</v>
      </c>
      <c r="W254" s="3">
        <f>IF(P254&gt;=O254,(P254*Q254*1000),0)</f>
        <v>13052849.999999998</v>
      </c>
      <c r="X254">
        <v>1904</v>
      </c>
      <c r="Y254" s="3">
        <v>11082745220</v>
      </c>
      <c r="Z254" s="40">
        <f>((C4*AB254)/P254)/10</f>
        <v>0.036448939692570473</v>
      </c>
      <c r="AA254" s="40">
        <f>((M254*AB254)*C4)</f>
        <v>0.47942930579924115</v>
      </c>
      <c r="AB254" s="40">
        <f>AE254/AE323</f>
        <v>0.00078158839586770857</v>
      </c>
      <c r="AC254" s="40">
        <f>AF254/AF323</f>
        <v>0.00073584125973722608</v>
      </c>
      <c r="AD254" s="3">
        <f>IF(ISNA(J254),(I254*Y254)/10,(J254*Y254)/10)</f>
        <v>27873104228.299999</v>
      </c>
      <c r="AE254" s="3">
        <f>IF(ISNA(P254),(I254*Y254)/10,(P254*Y254)/10)</f>
        <v>27873104228.299999</v>
      </c>
      <c r="AF254" s="3">
        <f>(I254*Y254)/10</f>
        <v>26487761075.799995</v>
      </c>
      <c r="AG254">
        <f>IF(AND(P254&lt;=N254,L254&lt;0),IF(Q254&lt;10,"DBL10",IF(Q254&gt;=200,"DBM200",IF(Q254&gt;=150,"DBM150",IF(Q254&gt;=100,"DBM100",IF(Q254&gt;=50,"DBM50","DBM10-50"))))),0)</f>
        <v>0</v>
      </c>
      <c r="AH254">
        <f>IF(AND(P254&gt;=O254,L254&lt;0),IF(Q254&lt;10,"DAL10",IF(Q254&gt;=200,"DAM200",IF(Q254&gt;=150,"DAM150",IF(Q254&gt;=100,"DAM100",IF(Q254&gt;=50,"DAM50","DAM10-50"))))),0)</f>
        <v>0</v>
      </c>
      <c r="AI254" t="s">
        <f>IF(AND(P254&gt;=O254,L254&gt;0),IF(Q254&lt;10,"UAL10",IF(Q254&gt;=200,"UAM200",IF(Q254&gt;=150,"UAM150",IF(Q254&gt;=100,"UAM100",IF(Q254&gt;=50,"UAM50","UAM10-50"))))),0)</f>
        <v>31</v>
      </c>
      <c r="AJ254">
        <f>IF(AND(P254&lt;=N254,L254&gt;0),IF(Q254&lt;10,"UBL10",IF(Q254&gt;=200,"UBM200",IF(Q254&gt;=150,"UBM150",IF(Q254&gt;=100,"UBM100",IF(Q254&gt;=50,"UBM50","UBM10-50"))))),0)</f>
        <v>0</v>
      </c>
      <c r="AK254" t="s">
        <f>IF(Q254&lt;344,"down",IF(Q254=344,344,IF(Q254&gt;344,"up")))</f>
        <v>6</v>
      </c>
    </row>
    <row r="255" spans="1:37">
      <c r="A255">
        <f>IF(X255=1707,1707,"Error")</f>
        <v>1707</v>
      </c>
      <c r="B255" t="s">
        <f>IF(K255&lt;183.5,"down",IF(K255=183.5,"low",IF(K255=184.5,"high",IF(AND(K255&gt;183.5,K255&lt;184.5),"normal","up"))))</f>
        <v>79</v>
      </c>
      <c r="C255" t="s">
        <f>IF(K255&lt;183.5,"down",IF(K255=183.5,"low",IF(K255=184.5,"high",IF(AND(K255&gt;183.5,K255&lt;184.5),"normal","up"))))</f>
        <v>79</v>
      </c>
      <c r="D255" t="s">
        <f>IF(K255&lt;183.5,"down",IF(K255=183.5,"low",IF(K255=184.5,"high",IF(AND(K255&gt;183.5,K255&lt;184.5),"normal","up"))))</f>
        <v>79</v>
      </c>
      <c r="E255" t="s">
        <f>IF(K255&lt;183.5,"down",IF(K255=183.5,"low",IF(K255=188,"high",IF(AND(K255&gt;183.5,K255&lt;188),"normal","up"))))</f>
        <v>79</v>
      </c>
      <c r="F255" t="s">
        <f>IF(P255&lt;184,"PVP-down",IF(P255=184,184,IF(P255&gt;184,"PVP-up")))</f>
        <v>80</v>
      </c>
      <c r="G255" t="s">
        <f>IF(R255&lt;163,"PVV-down",IF(R255=163,163,IF(R255&gt;163,"PVV-up")))</f>
        <v>81</v>
      </c>
      <c r="H255" s="40">
        <f>R255/(Y255/10000)</f>
        <v>0.0045932692038110077</v>
      </c>
      <c r="I255">
        <v>184</v>
      </c>
      <c r="J255">
        <v>183</v>
      </c>
      <c r="K255">
        <v>184</v>
      </c>
      <c r="L255">
        <v>-1</v>
      </c>
      <c r="M255">
        <v>-0.0054000000000000003</v>
      </c>
      <c r="N255">
        <v>183</v>
      </c>
      <c r="O255">
        <v>183.5</v>
      </c>
      <c r="P255">
        <v>183</v>
      </c>
      <c r="Q255">
        <v>19</v>
      </c>
      <c r="R255">
        <v>626</v>
      </c>
      <c r="S255">
        <v>243</v>
      </c>
      <c r="T255">
        <f>((P255-K255)/K255)</f>
        <v>-0.005434782608695652</v>
      </c>
      <c r="U255">
        <f>((T255*AB255)*D4)</f>
        <v>-0.04857533170911351</v>
      </c>
      <c r="V255" s="3">
        <f>IF(P255&lt;=N255,(P255*Q255*1000),0)</f>
        <v>3477000</v>
      </c>
      <c r="W255" s="3">
        <f>IF(P255&gt;=O255,(P255*Q255*1000),0)</f>
        <v>0</v>
      </c>
      <c r="X255">
        <v>1707</v>
      </c>
      <c r="Y255" s="3">
        <v>1362863730</v>
      </c>
      <c r="Z255" s="40">
        <f>((C4*AB255)/P255)/10</f>
        <v>0.0044821871222229231</v>
      </c>
      <c r="AA255" s="40">
        <f>((M255*AB255)*C4)</f>
        <v>-0.044292973141806927</v>
      </c>
      <c r="AB255" s="40">
        <f>AE255/AE323</f>
        <v>0.00069935275097450706</v>
      </c>
      <c r="AC255" s="40">
        <f>AF255/AF323</f>
        <v>0.00069664117867752949</v>
      </c>
      <c r="AD255" s="3">
        <f>IF(ISNA(J255),(I255*Y255)/10,(J255*Y255)/10)</f>
        <v>24940406259</v>
      </c>
      <c r="AE255" s="3">
        <f>IF(ISNA(P255),(I255*Y255)/10,(P255*Y255)/10)</f>
        <v>24940406259</v>
      </c>
      <c r="AF255" s="3">
        <f>(I255*Y255)/10</f>
        <v>25076692632</v>
      </c>
      <c r="AG255" t="s">
        <f>IF(AND(P255&lt;=N255,L255&lt;0),IF(Q255&lt;10,"DBL10",IF(Q255&gt;=200,"DBM200",IF(Q255&gt;=150,"DBM150",IF(Q255&gt;=100,"DBM100",IF(Q255&gt;=50,"DBM50","DBM10-50"))))),0)</f>
        <v>12</v>
      </c>
      <c r="AH255">
        <f>IF(AND(P255&gt;=O255,L255&lt;0),IF(Q255&lt;10,"DAL10",IF(Q255&gt;=200,"DAM200",IF(Q255&gt;=150,"DAM150",IF(Q255&gt;=100,"DAM100",IF(Q255&gt;=50,"DAM50","DAM10-50"))))),0)</f>
        <v>0</v>
      </c>
      <c r="AI255">
        <f>IF(AND(P255&gt;=O255,L255&gt;0),IF(Q255&lt;10,"UAL10",IF(Q255&gt;=200,"UAM200",IF(Q255&gt;=150,"UAM150",IF(Q255&gt;=100,"UAM100",IF(Q255&gt;=50,"UAM50","UAM10-50"))))),0)</f>
        <v>0</v>
      </c>
      <c r="AJ255">
        <f>IF(AND(P255&lt;=N255,L255&gt;0),IF(Q255&lt;10,"UBL10",IF(Q255&gt;=200,"UBM200",IF(Q255&gt;=150,"UBM150",IF(Q255&gt;=100,"UBM100",IF(Q255&gt;=50,"UBM50","UBM10-50"))))),0)</f>
        <v>0</v>
      </c>
      <c r="AK255" t="s">
        <f>IF(Q255&lt;9,"down",IF(Q255=9,9,IF(Q255&gt;9,"up")))</f>
        <v>6</v>
      </c>
    </row>
    <row r="256" spans="1:37">
      <c r="A256">
        <f>IF(X256=2634,2634,"Error")</f>
        <v>2634</v>
      </c>
      <c r="B256" t="s">
        <f>IF(K256&lt;26.800000000000001,"down",IF(K256=26.800000000000001,"low",IF(K256=27.449999999999999,"high",IF(AND(K256&gt;26.800000000000001,K256&lt;27.449999999999999),"normal","up"))))</f>
        <v>79</v>
      </c>
      <c r="C256" t="s">
        <f>IF(K256&lt;26.800000000000001,"down",IF(K256=26.800000000000001,"low",IF(K256=27.449999999999999,"high",IF(AND(K256&gt;26.800000000000001,K256&lt;27.449999999999999),"normal","up"))))</f>
        <v>79</v>
      </c>
      <c r="D256" t="s">
        <f>IF(K256&lt;26.800000000000001,"down",IF(K256=26.800000000000001,"low",IF(K256=27.449999999999999,"high",IF(AND(K256&gt;26.800000000000001,K256&lt;27.449999999999999),"normal","up"))))</f>
        <v>79</v>
      </c>
      <c r="E256" t="s">
        <f>IF(K256&lt;26.649999999999999,"down",IF(K256=26.649999999999999,"low",IF(K256=27.649999999999999,"high",IF(AND(K256&gt;26.649999999999999,K256&lt;27.649999999999999),"normal","up"))))</f>
        <v>79</v>
      </c>
      <c r="F256" t="s">
        <f>IF(P256&lt;27.100000000000001,"PVP-down",IF(P256=27.100000000000001,27.100000000000001,IF(P256&gt;27.100000000000001,"PVP-up")))</f>
        <v>83</v>
      </c>
      <c r="G256" t="s">
        <f>IF(R256&lt;492,"PVV-down",IF(R256=492,492,IF(R256&gt;492,"PVV-up")))</f>
        <v>81</v>
      </c>
      <c r="H256" s="40">
        <f>R256/(Y256/10000)</f>
        <v>0.0026128951710778568</v>
      </c>
      <c r="I256">
        <v>27.199999999999999</v>
      </c>
      <c r="J256">
        <v>27.300000000000001</v>
      </c>
      <c r="K256">
        <v>27.25</v>
      </c>
      <c r="L256">
        <v>0.10000000000000001</v>
      </c>
      <c r="M256">
        <v>0.0037000000000000002</v>
      </c>
      <c r="N256">
        <v>27.300000000000001</v>
      </c>
      <c r="O256">
        <v>27.399999999999999</v>
      </c>
      <c r="P256">
        <v>27.300000000000001</v>
      </c>
      <c r="Q256">
        <v>54</v>
      </c>
      <c r="R256">
        <v>2461</v>
      </c>
      <c r="S256">
        <v>2570</v>
      </c>
      <c r="T256">
        <f>((P256-K256)/K256)</f>
        <v>0.001834862385321127</v>
      </c>
      <c r="U256">
        <f>((T256*AB256)*D4)</f>
        <v>0.016907751129629247</v>
      </c>
      <c r="V256" s="3">
        <f>IF(P256&lt;=N256,(P256*Q256*1000),0)</f>
        <v>1474200</v>
      </c>
      <c r="W256" s="3">
        <f>IF(P256&gt;=O256,(P256*Q256*1000),0)</f>
        <v>0</v>
      </c>
      <c r="X256">
        <v>2634</v>
      </c>
      <c r="Y256" s="3">
        <v>9418671010</v>
      </c>
      <c r="Z256" s="40">
        <f>((C4*AB256)/P256)/10</f>
        <v>0.030976131347685336</v>
      </c>
      <c r="AA256" s="40">
        <f>((M256*AB256)*C4)</f>
        <v>0.031288990274296963</v>
      </c>
      <c r="AB256" s="40">
        <f>AE256/AE323</f>
        <v>0.0007210162263352742</v>
      </c>
      <c r="AC256" s="40">
        <f>AF256/AF323</f>
        <v>0.0007117007391340503</v>
      </c>
      <c r="AD256" s="3">
        <f>IF(ISNA(J256),(I256*Y256)/10,(J256*Y256)/10)</f>
        <v>25712971857.299999</v>
      </c>
      <c r="AE256" s="3">
        <f>IF(ISNA(P256),(I256*Y256)/10,(P256*Y256)/10)</f>
        <v>25712971857.299999</v>
      </c>
      <c r="AF256" s="3">
        <f>(I256*Y256)/10</f>
        <v>25618785147.200001</v>
      </c>
      <c r="AG256">
        <f>IF(AND(P256&lt;=N256,L256&lt;0),IF(Q256&lt;10,"DBL10",IF(Q256&gt;=200,"DBM200",IF(Q256&gt;=150,"DBM150",IF(Q256&gt;=100,"DBM100",IF(Q256&gt;=50,"DBM50","DBM10-50"))))),0)</f>
        <v>0</v>
      </c>
      <c r="AH256">
        <f>IF(AND(P256&gt;=O256,L256&lt;0),IF(Q256&lt;10,"DAL10",IF(Q256&gt;=200,"DAM200",IF(Q256&gt;=150,"DAM150",IF(Q256&gt;=100,"DAM100",IF(Q256&gt;=50,"DAM50","DAM10-50"))))),0)</f>
        <v>0</v>
      </c>
      <c r="AI256">
        <f>IF(AND(P256&gt;=O256,L256&gt;0),IF(Q256&lt;10,"UAL10",IF(Q256&gt;=200,"UAM200",IF(Q256&gt;=150,"UAM150",IF(Q256&gt;=100,"UAM100",IF(Q256&gt;=50,"UAM50","UAM10-50"))))),0)</f>
        <v>0</v>
      </c>
      <c r="AJ256" t="s">
        <f>IF(AND(P256&lt;=N256,L256&gt;0),IF(Q256&lt;10,"UBL10",IF(Q256&gt;=200,"UBM200",IF(Q256&gt;=150,"UBM150",IF(Q256&gt;=100,"UBM100",IF(Q256&gt;=50,"UBM50","UBM10-50"))))),0)</f>
        <v>18</v>
      </c>
      <c r="AK256" t="s">
        <f>IF(Q256&lt;79,"down",IF(Q256=79,79,IF(Q256&gt;79,"up")))</f>
        <v>7</v>
      </c>
    </row>
    <row r="257" spans="1:37">
      <c r="A257">
        <f>IF(X257=1789,1789,"Error")</f>
        <v>1789</v>
      </c>
      <c r="B257" t="s">
        <f>IF(K257&lt;33.049999999999997,"down",IF(K257=33.049999999999997,"low",IF(K257=34.899999999999999,"high",IF(AND(K257&gt;33.049999999999997,K257&lt;34.899999999999999),"normal","up"))))</f>
        <v>79</v>
      </c>
      <c r="C257" t="s">
        <f>IF(K257&lt;33.049999999999997,"down",IF(K257=33.049999999999997,"low",IF(K257=34.899999999999999,"high",IF(AND(K257&gt;33.049999999999997,K257&lt;34.899999999999999),"normal","up"))))</f>
        <v>79</v>
      </c>
      <c r="D257" t="s">
        <f>IF(K257&lt;33.049999999999997,"down",IF(K257=33.049999999999997,"low",IF(K257=34.899999999999999,"high",IF(AND(K257&gt;33.049999999999997,K257&lt;34.899999999999999),"normal","up"))))</f>
        <v>79</v>
      </c>
      <c r="E257" t="s">
        <f>IF(K257&lt;32.049999999999997,"down",IF(K257=32.049999999999997,"low",IF(K257=35,"high",IF(AND(K257&gt;32.049999999999997,K257&lt;35),"normal","up"))))</f>
        <v>79</v>
      </c>
      <c r="F257" t="s">
        <f>IF(P257&lt;33.200000000000003,"PVP-down",IF(P257=33.200000000000003,33.200000000000003,IF(P257&gt;33.200000000000003,"PVP-up")))</f>
        <v>80</v>
      </c>
      <c r="G257" t="s">
        <f>IF(R257&lt;304,"PVV-down",IF(R257=304,304,IF(R257&gt;304,"PVV-up")))</f>
        <v>81</v>
      </c>
      <c r="H257" s="40">
        <f>R257/(Y257/10000)</f>
        <v>0.0031628632176285295</v>
      </c>
      <c r="I257">
        <v>33.049999999999997</v>
      </c>
      <c r="J257">
        <v>32.049999999999997</v>
      </c>
      <c r="K257">
        <v>33.350000000000001</v>
      </c>
      <c r="L257">
        <v>-0.94999999999999996</v>
      </c>
      <c r="M257">
        <v>-0.0287</v>
      </c>
      <c r="N257">
        <v>32.049999999999997</v>
      </c>
      <c r="O257">
        <v>32.100000000000001</v>
      </c>
      <c r="P257">
        <v>32.100000000000001</v>
      </c>
      <c r="Q257">
        <v>120</v>
      </c>
      <c r="R257">
        <v>2501</v>
      </c>
      <c r="S257">
        <v>4404</v>
      </c>
      <c r="T257">
        <f>((P257-K257)/K257)</f>
        <v>-0.037481259370314844</v>
      </c>
      <c r="U257">
        <f>((T257*AB257)*D4)</f>
        <v>-0.34094361584365418</v>
      </c>
      <c r="V257" s="3">
        <f>IF(P257&lt;=N257,(P257*Q257*1000),0)</f>
        <v>0</v>
      </c>
      <c r="W257" s="3">
        <f>IF(P257&gt;=O257,(P257*Q257*1000),0)</f>
        <v>3852000</v>
      </c>
      <c r="X257">
        <v>1789</v>
      </c>
      <c r="Y257" s="3">
        <v>7907392220</v>
      </c>
      <c r="Z257" s="40">
        <f>((C4*AB257)/P257)/10</f>
        <v>0.026005836679540754</v>
      </c>
      <c r="AA257" s="40">
        <f>((M257*AB257)*C4)</f>
        <v>-0.23958397157760514</v>
      </c>
      <c r="AB257" s="40">
        <f>AE257/AE323</f>
        <v>0.00071175590274547506</v>
      </c>
      <c r="AC257" s="40">
        <f>AF257/AF323</f>
        <v>0.00072601171783277883</v>
      </c>
      <c r="AD257" s="3">
        <f>IF(ISNA(J257),(I257*Y257)/10,(J257*Y257)/10)</f>
        <v>25343192065.099998</v>
      </c>
      <c r="AE257" s="3">
        <f>IF(ISNA(P257),(I257*Y257)/10,(P257*Y257)/10)</f>
        <v>25382729026.200001</v>
      </c>
      <c r="AF257" s="3">
        <f>(I257*Y257)/10</f>
        <v>26133931287.099998</v>
      </c>
      <c r="AG257">
        <f>IF(AND(P257&lt;=N257,L257&lt;0),IF(Q257&lt;10,"DBL10",IF(Q257&gt;=200,"DBM200",IF(Q257&gt;=150,"DBM150",IF(Q257&gt;=100,"DBM100",IF(Q257&gt;=50,"DBM50","DBM10-50"))))),0)</f>
        <v>0</v>
      </c>
      <c r="AH257" t="s">
        <f>IF(AND(P257&gt;=O257,L257&lt;0),IF(Q257&lt;10,"DAL10",IF(Q257&gt;=200,"DAM200",IF(Q257&gt;=150,"DAM150",IF(Q257&gt;=100,"DAM100",IF(Q257&gt;=50,"DAM50","DAM10-50"))))),0)</f>
        <v>24</v>
      </c>
      <c r="AI257">
        <f>IF(AND(P257&gt;=O257,L257&gt;0),IF(Q257&lt;10,"UAL10",IF(Q257&gt;=200,"UAM200",IF(Q257&gt;=150,"UAM150",IF(Q257&gt;=100,"UAM100",IF(Q257&gt;=50,"UAM50","UAM10-50"))))),0)</f>
        <v>0</v>
      </c>
      <c r="AJ257">
        <f>IF(AND(P257&lt;=N257,L257&gt;0),IF(Q257&lt;10,"UBL10",IF(Q257&gt;=200,"UBM200",IF(Q257&gt;=150,"UBM150",IF(Q257&gt;=100,"UBM100",IF(Q257&gt;=50,"UBM50","UBM10-50"))))),0)</f>
        <v>0</v>
      </c>
      <c r="AK257" t="s">
        <f>IF(Q257&lt;231,"down",IF(Q257=231,231,IF(Q257&gt;231,"up")))</f>
        <v>7</v>
      </c>
    </row>
    <row r="258" spans="1:37">
      <c r="A258">
        <f>IF(X258=2106,2106,"Error")</f>
        <v>2106</v>
      </c>
      <c r="B258" t="s">
        <f>IF(K258&lt;28.449999999999999,"down",IF(K258=28.449999999999999,"low",IF(K258=28.649999999999999,"high",IF(AND(K258&gt;28.449999999999999,K258&lt;28.649999999999999),"normal","up"))))</f>
        <v>6</v>
      </c>
      <c r="C258" t="s">
        <f>IF(K258&lt;28.449999999999999,"down",IF(K258=28.449999999999999,"low",IF(K258=28.649999999999999,"high",IF(AND(K258&gt;28.449999999999999,K258&lt;28.649999999999999),"normal","up"))))</f>
        <v>6</v>
      </c>
      <c r="D258" t="s">
        <f>IF(K258&lt;28.449999999999999,"down",IF(K258=28.449999999999999,"low",IF(K258=28.649999999999999,"high",IF(AND(K258&gt;28.449999999999999,K258&lt;28.649999999999999),"normal","up"))))</f>
        <v>6</v>
      </c>
      <c r="E258" t="s">
        <f>IF(K258&lt;27.800000000000001,"down",IF(K258=27.800000000000001,"low",IF(K258=29.25,"high",IF(AND(K258&gt;27.800000000000001,K258&lt;29.25),"normal","up"))))</f>
        <v>6</v>
      </c>
      <c r="F258" t="s">
        <f>IF(P258&lt;28.5,"PVP-down",IF(P258=28.5,28.5,IF(P258&gt;28.5,"PVP-up")))</f>
        <v>83</v>
      </c>
      <c r="G258" t="s">
        <f>IF(R258&lt;895,"PVV-down",IF(R258=895,895,IF(R258&gt;895,"PVV-up")))</f>
        <v>81</v>
      </c>
      <c r="H258" s="40">
        <f>R258/(Y258/10000)</f>
        <v>0.0019166771496860811</v>
      </c>
      <c r="I258">
        <v>28.5</v>
      </c>
      <c r="J258">
        <v>28.949999999999999</v>
      </c>
      <c r="K258">
        <v>29.949999999999999</v>
      </c>
      <c r="L258">
        <v>0.45000000000000001</v>
      </c>
      <c r="M258">
        <v>0.015800000000000002</v>
      </c>
      <c r="N258">
        <v>28.949999999999999</v>
      </c>
      <c r="O258">
        <v>29</v>
      </c>
      <c r="P258">
        <v>28.949999999999999</v>
      </c>
      <c r="Q258">
        <v>35</v>
      </c>
      <c r="R258">
        <v>1676</v>
      </c>
      <c r="S258">
        <v>1174</v>
      </c>
      <c r="T258">
        <f>((P258-K258)/K258)</f>
        <v>-0.033388981636060099</v>
      </c>
      <c r="U258">
        <f>((T258*AB258)*D4)</f>
        <v>-0.30290529474889061</v>
      </c>
      <c r="V258" s="3">
        <f>IF(P258&lt;=N258,(P258*Q258*1000),0)</f>
        <v>1013250</v>
      </c>
      <c r="W258" s="3">
        <f>IF(P258&gt;=O258,(P258*Q258*1000),0)</f>
        <v>0</v>
      </c>
      <c r="X258">
        <v>2106</v>
      </c>
      <c r="Y258" s="3">
        <v>8744300000</v>
      </c>
      <c r="Z258" s="40">
        <f>((C4*AB258)/P258)/10</f>
        <v>0.028758259531093327</v>
      </c>
      <c r="AA258" s="40">
        <f>((M258*AB258)*C4)</f>
        <v>0.13154315492117399</v>
      </c>
      <c r="AB258" s="40">
        <f>AE258/AE323</f>
        <v>0.00070984966402919472</v>
      </c>
      <c r="AC258" s="40">
        <f>AF258/AF323</f>
        <v>0.00069232305520102507</v>
      </c>
      <c r="AD258" s="3">
        <f>IF(ISNA(J258),(I258*Y258)/10,(J258*Y258)/10)</f>
        <v>25314748500</v>
      </c>
      <c r="AE258" s="3">
        <f>IF(ISNA(P258),(I258*Y258)/10,(P258*Y258)/10)</f>
        <v>25314748500</v>
      </c>
      <c r="AF258" s="3">
        <f>(I258*Y258)/10</f>
        <v>24921255000</v>
      </c>
      <c r="AG258">
        <f>IF(AND(P258&lt;=N258,L258&lt;0),IF(Q258&lt;10,"DBL10",IF(Q258&gt;=200,"DBM200",IF(Q258&gt;=150,"DBM150",IF(Q258&gt;=100,"DBM100",IF(Q258&gt;=50,"DBM50","DBM10-50"))))),0)</f>
        <v>0</v>
      </c>
      <c r="AH258">
        <f>IF(AND(P258&gt;=O258,L258&lt;0),IF(Q258&lt;10,"DAL10",IF(Q258&gt;=200,"DAM200",IF(Q258&gt;=150,"DAM150",IF(Q258&gt;=100,"DAM100",IF(Q258&gt;=50,"DAM50","DAM10-50"))))),0)</f>
        <v>0</v>
      </c>
      <c r="AI258">
        <f>IF(AND(P258&gt;=O258,L258&gt;0),IF(Q258&lt;10,"UAL10",IF(Q258&gt;=200,"UAM200",IF(Q258&gt;=150,"UAM150",IF(Q258&gt;=100,"UAM100",IF(Q258&gt;=50,"UAM50","UAM10-50"))))),0)</f>
        <v>0</v>
      </c>
      <c r="AJ258" t="s">
        <f>IF(AND(P258&lt;=N258,L258&gt;0),IF(Q258&lt;10,"UBL10",IF(Q258&gt;=200,"UBM200",IF(Q258&gt;=150,"UBM150",IF(Q258&gt;=100,"UBM100",IF(Q258&gt;=50,"UBM50","UBM10-50"))))),0)</f>
        <v>17</v>
      </c>
      <c r="AK258" t="s">
        <f>IF(Q258&lt;10,"down",IF(Q258=10,10,IF(Q258&gt;10,"up")))</f>
        <v>6</v>
      </c>
    </row>
    <row r="259" spans="1:37">
      <c r="A259">
        <f>IF(X259=2905,2905,"Error")</f>
        <v>2905</v>
      </c>
      <c r="B259" t="s">
        <f>IF(K259&lt;25.149999999999999,"down",IF(K259=25.149999999999999,"low",IF(K259=25.75,"high",IF(AND(K259&gt;25.149999999999999,K259&lt;25.75),"normal","up"))))</f>
        <v>79</v>
      </c>
      <c r="C259" t="s">
        <f>IF(K259&lt;25.149999999999999,"down",IF(K259=25.149999999999999,"low",IF(K259=25.75,"high",IF(AND(K259&gt;25.149999999999999,K259&lt;25.75),"normal","up"))))</f>
        <v>79</v>
      </c>
      <c r="D259" t="s">
        <f>IF(K259&lt;25.149999999999999,"down",IF(K259=25.149999999999999,"low",IF(K259=25.75,"high",IF(AND(K259&gt;25.149999999999999,K259&lt;25.75),"normal","up"))))</f>
        <v>79</v>
      </c>
      <c r="E259" t="s">
        <f>IF(K259&lt;25.149999999999999,"down",IF(K259=25.149999999999999,"low",IF(K259=30.949999999999999,"high",IF(AND(K259&gt;25.149999999999999,K259&lt;30.949999999999999),"normal","up"))))</f>
        <v>79</v>
      </c>
      <c r="F259" t="s">
        <f>IF(P259&lt;25.600000000000001,"PVP-down",IF(P259=25.600000000000001,25.600000000000001,IF(P259&gt;25.600000000000001,"PVP-up")))</f>
        <v>80</v>
      </c>
      <c r="G259" t="s">
        <f>IF(R259&lt;417,"PVV-down",IF(R259=417,417,IF(R259&gt;417,"PVV-up")))</f>
        <v>81</v>
      </c>
      <c r="H259" s="40">
        <f>R259/(Y259/10000)</f>
        <v>0.0014031986115572315</v>
      </c>
      <c r="I259">
        <v>25.550000000000001</v>
      </c>
      <c r="J259">
        <v>25.199999999999999</v>
      </c>
      <c r="K259">
        <v>25.300000000000001</v>
      </c>
      <c r="L259">
        <v>-0.34999999999999998</v>
      </c>
      <c r="M259">
        <v>-0.0137</v>
      </c>
      <c r="N259">
        <v>25.149999999999999</v>
      </c>
      <c r="O259">
        <v>25.199999999999999</v>
      </c>
      <c r="P259">
        <v>25.199999999999999</v>
      </c>
      <c r="Q259">
        <v>36</v>
      </c>
      <c r="R259">
        <v>1160</v>
      </c>
      <c r="S259">
        <v>1268</v>
      </c>
      <c r="T259">
        <f>((P259-K259)/K259)</f>
        <v>-0.0039525691699605304</v>
      </c>
      <c r="U259">
        <f>((T259*AB259)*D4)</f>
        <v>-0.029508622531306383</v>
      </c>
      <c r="V259" s="3">
        <f>IF(P259&lt;=N259,(P259*Q259*1000),0)</f>
        <v>0</v>
      </c>
      <c r="W259" s="3">
        <f>IF(P259&gt;=O259,(P259*Q259*1000),0)</f>
        <v>907199.99999999988</v>
      </c>
      <c r="X259">
        <v>2905</v>
      </c>
      <c r="Y259" s="3">
        <v>8266826880</v>
      </c>
      <c r="Z259" s="40">
        <f>((C4*AB259)/P259)/10</f>
        <v>0.027187945623281286</v>
      </c>
      <c r="AA259" s="40">
        <f>((M259*AB259)*C4)</f>
        <v>-0.093863663469816311</v>
      </c>
      <c r="AB259" s="40">
        <f>AE259/AE323</f>
        <v>0.00058416044678681676</v>
      </c>
      <c r="AC259" s="40">
        <f>AF259/AF323</f>
        <v>0.00058677098814966465</v>
      </c>
      <c r="AD259" s="3">
        <f>IF(ISNA(J259),(I259*Y259)/10,(J259*Y259)/10)</f>
        <v>20832403737.599998</v>
      </c>
      <c r="AE259" s="3">
        <f>IF(ISNA(P259),(I259*Y259)/10,(P259*Y259)/10)</f>
        <v>20832403737.599998</v>
      </c>
      <c r="AF259" s="3">
        <f>(I259*Y259)/10</f>
        <v>21121742678.400002</v>
      </c>
      <c r="AG259">
        <f>IF(AND(P259&lt;=N259,L259&lt;0),IF(Q259&lt;10,"DBL10",IF(Q259&gt;=200,"DBM200",IF(Q259&gt;=150,"DBM150",IF(Q259&gt;=100,"DBM100",IF(Q259&gt;=50,"DBM50","DBM10-50"))))),0)</f>
        <v>0</v>
      </c>
      <c r="AH259" t="s">
        <f>IF(AND(P259&gt;=O259,L259&lt;0),IF(Q259&lt;10,"DAL10",IF(Q259&gt;=200,"DAM200",IF(Q259&gt;=150,"DAM150",IF(Q259&gt;=100,"DAM100",IF(Q259&gt;=50,"DAM50","DAM10-50"))))),0)</f>
        <v>22</v>
      </c>
      <c r="AI259">
        <f>IF(AND(P259&gt;=O259,L259&gt;0),IF(Q259&lt;10,"UAL10",IF(Q259&gt;=200,"UAM200",IF(Q259&gt;=150,"UAM150",IF(Q259&gt;=100,"UAM100",IF(Q259&gt;=50,"UAM50","UAM10-50"))))),0)</f>
        <v>0</v>
      </c>
      <c r="AJ259">
        <f>IF(AND(P259&lt;=N259,L259&gt;0),IF(Q259&lt;10,"UBL10",IF(Q259&gt;=200,"UBM200",IF(Q259&gt;=150,"UBM150",IF(Q259&gt;=100,"UBM100",IF(Q259&gt;=50,"UBM50","UBM10-50"))))),0)</f>
        <v>0</v>
      </c>
      <c r="AK259" t="s">
        <f>IF(Q259&lt;135,"down",IF(Q259=135,135,IF(Q259&gt;135,"up")))</f>
        <v>7</v>
      </c>
    </row>
    <row r="260" spans="1:37">
      <c r="A260">
        <f>IF(X260=1536,1536,"Error")</f>
        <v>1536</v>
      </c>
      <c r="B260" t="s">
        <f>IF(K260&lt;95.299999999999997,"down",IF(K260=95.299999999999997,"low",IF(K260=97.5,"high",IF(AND(K260&gt;95.299999999999997,K260&lt;97.5),"normal","up"))))</f>
        <v>79</v>
      </c>
      <c r="C260" t="s">
        <f>IF(K260&lt;95.299999999999997,"down",IF(K260=95.299999999999997,"low",IF(K260=97.5,"high",IF(AND(K260&gt;95.299999999999997,K260&lt;97.5),"normal","up"))))</f>
        <v>79</v>
      </c>
      <c r="D260" t="s">
        <f>IF(K260&lt;95.299999999999997,"down",IF(K260=95.299999999999997,"low",IF(K260=97.5,"high",IF(AND(K260&gt;95.299999999999997,K260&lt;97.5),"normal","up"))))</f>
        <v>79</v>
      </c>
      <c r="E260" t="s">
        <f>IF(K260&lt;93.299999999999997,"down",IF(K260=93.299999999999997,"low",IF(K260=99.400000000000006,"high",IF(AND(K260&gt;93.299999999999997,K260&lt;99.400000000000006),"normal","up"))))</f>
        <v>79</v>
      </c>
      <c r="F260" t="s">
        <f>IF(P260&lt;95.5,"PVP-down",IF(P260=95.5,95.5,IF(P260&gt;95.5,"PVP-up")))</f>
        <v>83</v>
      </c>
      <c r="G260" t="s">
        <f>IF(R260&lt;217,"PVV-down",IF(R260=217,217,IF(R260&gt;217,"PVV-up")))</f>
        <v>81</v>
      </c>
      <c r="H260" s="40">
        <f>R260/(Y260/10000)</f>
        <v>0.0037575035394369393</v>
      </c>
      <c r="I260">
        <v>95.900000000000006</v>
      </c>
      <c r="J260">
        <v>97.799999999999997</v>
      </c>
      <c r="K260">
        <v>96.099999999999994</v>
      </c>
      <c r="L260">
        <v>1.8999999999999999</v>
      </c>
      <c r="M260">
        <v>0.019800000000000002</v>
      </c>
      <c r="N260">
        <v>97.5</v>
      </c>
      <c r="O260">
        <v>97.799999999999997</v>
      </c>
      <c r="P260">
        <v>97.799999999999997</v>
      </c>
      <c r="Q260">
        <v>97</v>
      </c>
      <c r="R260">
        <v>958</v>
      </c>
      <c r="S260">
        <v>1293</v>
      </c>
      <c r="T260">
        <f>((P260-K260)/K260)</f>
        <v>0.01768990634755466</v>
      </c>
      <c r="U260">
        <f>((T260*AB260)*D4)</f>
        <v>0.15807404754388188</v>
      </c>
      <c r="V260" s="3">
        <f>IF(P260&lt;=N260,(P260*Q260*1000),0)</f>
        <v>0</v>
      </c>
      <c r="W260" s="3">
        <f>IF(P260&gt;=O260,(P260*Q260*1000),0)</f>
        <v>9486600</v>
      </c>
      <c r="X260">
        <v>1536</v>
      </c>
      <c r="Y260" s="3">
        <v>2549565130</v>
      </c>
      <c r="Z260" s="40">
        <f>((C4*AB260)/P260)/10</f>
        <v>0.0083850114588893011</v>
      </c>
      <c r="AA260" s="40">
        <f>((M260*AB260)*C4)</f>
        <v>0.16237071589451596</v>
      </c>
      <c r="AB260" s="40">
        <f>AE260/AE323</f>
        <v>0.00069919405915888405</v>
      </c>
      <c r="AC260" s="40">
        <f>AF260/AF323</f>
        <v>0.00067924054735844536</v>
      </c>
      <c r="AD260" s="3">
        <f>IF(ISNA(J260),(I260*Y260)/10,(J260*Y260)/10)</f>
        <v>24934746971.400002</v>
      </c>
      <c r="AE260" s="3">
        <f>IF(ISNA(P260),(I260*Y260)/10,(P260*Y260)/10)</f>
        <v>24934746971.400002</v>
      </c>
      <c r="AF260" s="3">
        <f>(I260*Y260)/10</f>
        <v>24450329596.700001</v>
      </c>
      <c r="AG260">
        <f>IF(AND(P260&lt;=N260,L260&lt;0),IF(Q260&lt;10,"DBL10",IF(Q260&gt;=200,"DBM200",IF(Q260&gt;=150,"DBM150",IF(Q260&gt;=100,"DBM100",IF(Q260&gt;=50,"DBM50","DBM10-50"))))),0)</f>
        <v>0</v>
      </c>
      <c r="AH260">
        <f>IF(AND(P260&gt;=O260,L260&lt;0),IF(Q260&lt;10,"DAL10",IF(Q260&gt;=200,"DAM200",IF(Q260&gt;=150,"DAM150",IF(Q260&gt;=100,"DAM100",IF(Q260&gt;=50,"DAM50","DAM10-50"))))),0)</f>
        <v>0</v>
      </c>
      <c r="AI260" t="s">
        <f>IF(AND(P260&gt;=O260,L260&gt;0),IF(Q260&lt;10,"UAL10",IF(Q260&gt;=200,"UAM200",IF(Q260&gt;=150,"UAM150",IF(Q260&gt;=100,"UAM100",IF(Q260&gt;=50,"UAM50","UAM10-50"))))),0)</f>
        <v>28</v>
      </c>
      <c r="AJ260">
        <f>IF(AND(P260&lt;=N260,L260&gt;0),IF(Q260&lt;10,"UBL10",IF(Q260&gt;=200,"UBM200",IF(Q260&gt;=150,"UBM150",IF(Q260&gt;=100,"UBM100",IF(Q260&gt;=50,"UBM50","UBM10-50"))))),0)</f>
        <v>0</v>
      </c>
      <c r="AK260" t="s">
        <f>IF(Q260&lt;24,"down",IF(Q260=24,24,IF(Q260&gt;24,"up")))</f>
        <v>6</v>
      </c>
    </row>
    <row r="261" spans="1:37">
      <c r="A261">
        <f>IF(X261=1503,1503,"Error")</f>
        <v>1503</v>
      </c>
      <c r="B261" t="s">
        <f>IF(K261&lt;45.600000000000001,"down",IF(K261=45.600000000000001,"low",IF(K261=46.799999999999997,"high",IF(AND(K261&gt;45.600000000000001,K261&lt;46.799999999999997),"normal","up"))))</f>
        <v>6</v>
      </c>
      <c r="C261" t="s">
        <f>IF(K261&lt;45.600000000000001,"down",IF(K261=45.600000000000001,"low",IF(K261=46.799999999999997,"high",IF(AND(K261&gt;45.600000000000001,K261&lt;46.799999999999997),"normal","up"))))</f>
        <v>6</v>
      </c>
      <c r="D261" t="s">
        <f>IF(K261&lt;45.600000000000001,"down",IF(K261=45.600000000000001,"low",IF(K261=46.799999999999997,"high",IF(AND(K261&gt;45.600000000000001,K261&lt;46.799999999999997),"normal","up"))))</f>
        <v>6</v>
      </c>
      <c r="E261" t="s">
        <f>IF(K261&lt;45.100000000000001,"down",IF(K261=45.100000000000001,"low",IF(K261=46.799999999999997,"high",IF(AND(K261&gt;45.100000000000001,K261&lt;46.799999999999997),"normal","up"))))</f>
        <v>6</v>
      </c>
      <c r="F261" t="s">
        <f>IF(P261&lt;46.100000000000001,"PVP-down",IF(P261=46.100000000000001,46.100000000000001,IF(P261&gt;46.100000000000001,"PVP-up")))</f>
        <v>83</v>
      </c>
      <c r="G261" t="s">
        <f>IF(R261&lt;62,"PVV-down",IF(R261=62,62,IF(R261&gt;62,"PVV-up")))</f>
        <v>81</v>
      </c>
      <c r="H261" s="40">
        <f>R261/(Y261/10000)</f>
        <v>0.00039925353179530264</v>
      </c>
      <c r="I261">
        <v>46.549999999999997</v>
      </c>
      <c r="J261">
        <v>46.350000000000001</v>
      </c>
      <c r="K261">
        <v>47.149999999999999</v>
      </c>
      <c r="L261">
        <v>-0.20000000000000001</v>
      </c>
      <c r="M261">
        <v>-0.0043</v>
      </c>
      <c r="N261">
        <v>46.299999999999997</v>
      </c>
      <c r="O261">
        <v>46.350000000000001</v>
      </c>
      <c r="P261">
        <v>46.350000000000001</v>
      </c>
      <c r="Q261">
        <v>8</v>
      </c>
      <c r="R261">
        <v>208</v>
      </c>
      <c r="S261">
        <v>238</v>
      </c>
      <c r="T261">
        <f>((P261-K261)/K261)</f>
        <v>-0.016967126193001</v>
      </c>
      <c r="U261">
        <f>((T261*AB261)*D4)</f>
        <v>-0.14682589987243627</v>
      </c>
      <c r="V261" s="3">
        <f>IF(P261&lt;=N261,(P261*Q261*1000),0)</f>
        <v>0</v>
      </c>
      <c r="W261" s="3">
        <f>IF(P261&gt;=O261,(P261*Q261*1000),0)</f>
        <v>370800</v>
      </c>
      <c r="X261">
        <v>1503</v>
      </c>
      <c r="Y261" s="3">
        <v>5209722230</v>
      </c>
      <c r="Z261" s="40">
        <f>((C4*AB261)/P261)/10</f>
        <v>0.017133737860691681</v>
      </c>
      <c r="AA261" s="40">
        <f>((M261*AB261)*C4)</f>
        <v>-0.034148396243251555</v>
      </c>
      <c r="AB261" s="40">
        <f>AE261/AE323</f>
        <v>0.00067710663720427818</v>
      </c>
      <c r="AC261" s="40">
        <f>AF261/AF323</f>
        <v>0.00067371022548057052</v>
      </c>
      <c r="AD261" s="3">
        <f>IF(ISNA(J261),(I261*Y261)/10,(J261*Y261)/10)</f>
        <v>24147062536.049999</v>
      </c>
      <c r="AE261" s="3">
        <f>IF(ISNA(P261),(I261*Y261)/10,(P261*Y261)/10)</f>
        <v>24147062536.049999</v>
      </c>
      <c r="AF261" s="3">
        <f>(I261*Y261)/10</f>
        <v>24251256980.650002</v>
      </c>
      <c r="AG261">
        <f>IF(AND(P261&lt;=N261,L261&lt;0),IF(Q261&lt;10,"DBL10",IF(Q261&gt;=200,"DBM200",IF(Q261&gt;=150,"DBM150",IF(Q261&gt;=100,"DBM100",IF(Q261&gt;=50,"DBM50","DBM10-50"))))),0)</f>
        <v>0</v>
      </c>
      <c r="AH261" t="s">
        <f>IF(AND(P261&gt;=O261,L261&lt;0),IF(Q261&lt;10,"DAL10",IF(Q261&gt;=200,"DAM200",IF(Q261&gt;=150,"DAM150",IF(Q261&gt;=100,"DAM100",IF(Q261&gt;=50,"DAM50","DAM10-50"))))),0)</f>
        <v>88</v>
      </c>
      <c r="AI261">
        <f>IF(AND(P261&gt;=O261,L261&gt;0),IF(Q261&lt;10,"UAL10",IF(Q261&gt;=200,"UAM200",IF(Q261&gt;=150,"UAM150",IF(Q261&gt;=100,"UAM100",IF(Q261&gt;=50,"UAM50","UAM10-50"))))),0)</f>
        <v>0</v>
      </c>
      <c r="AJ261">
        <f>IF(AND(P261&lt;=N261,L261&gt;0),IF(Q261&lt;10,"UBL10",IF(Q261&gt;=200,"UBM200",IF(Q261&gt;=150,"UBM150",IF(Q261&gt;=100,"UBM100",IF(Q261&gt;=50,"UBM50","UBM10-50"))))),0)</f>
        <v>0</v>
      </c>
      <c r="AK261" t="s">
        <f>IF(Q261&lt;0,"down",IF(Q261=0,0,IF(Q261&gt;0,"up")))</f>
        <v>6</v>
      </c>
    </row>
    <row r="262" spans="1:37">
      <c r="A262">
        <f>IF(X262=2006,2006,"Error")</f>
        <v>2006</v>
      </c>
      <c r="B262" t="s">
        <f>IF(K262&lt;23.800000000000001,"down",IF(K262=23.800000000000001,"low",IF(K262=24.300000000000001,"high",IF(AND(K262&gt;23.800000000000001,K262&lt;24.300000000000001),"normal","up"))))</f>
        <v>84</v>
      </c>
      <c r="C262" t="s">
        <f>IF(K262&lt;23.800000000000001,"down",IF(K262=23.800000000000001,"low",IF(K262=24.300000000000001,"high",IF(AND(K262&gt;23.800000000000001,K262&lt;24.300000000000001),"normal","up"))))</f>
        <v>84</v>
      </c>
      <c r="D262" t="s">
        <f>IF(K262&lt;23.800000000000001,"down",IF(K262=23.800000000000001,"low",IF(K262=24.300000000000001,"high",IF(AND(K262&gt;23.800000000000001,K262&lt;24.300000000000001),"normal","up"))))</f>
        <v>84</v>
      </c>
      <c r="E262" t="s">
        <f>IF(K262&lt;23.550000000000001,"down",IF(K262=23.550000000000001,"low",IF(K262=24.300000000000001,"high",IF(AND(K262&gt;23.550000000000001,K262&lt;24.300000000000001),"normal","up"))))</f>
        <v>84</v>
      </c>
      <c r="F262" t="s">
        <f>IF(P262&lt;24.149999999999999,"PVP-down",IF(P262=24.149999999999999,24.149999999999999,IF(P262&gt;24.149999999999999,"PVP-up")))</f>
        <v>83</v>
      </c>
      <c r="G262" t="s">
        <f>IF(R262&lt;912,"PVV-down",IF(R262=912,912,IF(R262&gt;912,"PVV-up")))</f>
        <v>81</v>
      </c>
      <c r="H262" s="40">
        <f>R262/(Y262/10000)</f>
        <v>0.0042467555902760802</v>
      </c>
      <c r="I262">
        <v>24.149999999999999</v>
      </c>
      <c r="J262">
        <v>24.550000000000001</v>
      </c>
      <c r="K262">
        <v>24.300000000000001</v>
      </c>
      <c r="L262">
        <v>0.40000000000000002</v>
      </c>
      <c r="M262">
        <v>0.0166</v>
      </c>
      <c r="N262">
        <v>24.5</v>
      </c>
      <c r="O262">
        <v>24.550000000000001</v>
      </c>
      <c r="P262">
        <v>24.550000000000001</v>
      </c>
      <c r="Q262">
        <v>181</v>
      </c>
      <c r="R262">
        <v>4264</v>
      </c>
      <c r="S262">
        <v>2823</v>
      </c>
      <c r="T262">
        <f>((P262-K262)/K262)</f>
        <v>0.010288065843621399</v>
      </c>
      <c r="U262">
        <f>((T262*AB262)*D4)</f>
        <v>0.090881447353785061</v>
      </c>
      <c r="V262" s="3">
        <f>IF(P262&lt;=N262,(P262*Q262*1000),0)</f>
        <v>0</v>
      </c>
      <c r="W262" s="3">
        <f>IF(P262&gt;=O262,(P262*Q262*1000),0)</f>
        <v>4443550</v>
      </c>
      <c r="X262">
        <v>2006</v>
      </c>
      <c r="Y262" s="3">
        <v>10040606080</v>
      </c>
      <c r="Z262" s="40">
        <f>((C4*AB262)/P262)/10</f>
        <v>0.033021551810678229</v>
      </c>
      <c r="AA262" s="40">
        <f>((M262*AB262)*C4)</f>
        <v>0.13457273009405699</v>
      </c>
      <c r="AB262" s="40">
        <f>AE262/AE323</f>
        <v>0.00069120073197565196</v>
      </c>
      <c r="AC262" s="40">
        <f>AF262/AF323</f>
        <v>0.00067362151432028786</v>
      </c>
      <c r="AD262" s="3">
        <f>IF(ISNA(J262),(I262*Y262)/10,(J262*Y262)/10)</f>
        <v>24649687926.400002</v>
      </c>
      <c r="AE262" s="3">
        <f>IF(ISNA(P262),(I262*Y262)/10,(P262*Y262)/10)</f>
        <v>24649687926.400002</v>
      </c>
      <c r="AF262" s="3">
        <f>(I262*Y262)/10</f>
        <v>24248063683.200001</v>
      </c>
      <c r="AG262">
        <f>IF(AND(P262&lt;=N262,L262&lt;0),IF(Q262&lt;10,"DBL10",IF(Q262&gt;=200,"DBM200",IF(Q262&gt;=150,"DBM150",IF(Q262&gt;=100,"DBM100",IF(Q262&gt;=50,"DBM50","DBM10-50"))))),0)</f>
        <v>0</v>
      </c>
      <c r="AH262">
        <f>IF(AND(P262&gt;=O262,L262&lt;0),IF(Q262&lt;10,"DAL10",IF(Q262&gt;=200,"DAM200",IF(Q262&gt;=150,"DAM150",IF(Q262&gt;=100,"DAM100",IF(Q262&gt;=50,"DAM50","DAM10-50"))))),0)</f>
        <v>0</v>
      </c>
      <c r="AI262" t="s">
        <f>IF(AND(P262&gt;=O262,L262&gt;0),IF(Q262&lt;10,"UAL10",IF(Q262&gt;=200,"UAM200",IF(Q262&gt;=150,"UAM150",IF(Q262&gt;=100,"UAM100",IF(Q262&gt;=50,"UAM50","UAM10-50"))))),0)</f>
        <v>30</v>
      </c>
      <c r="AJ262">
        <f>IF(AND(P262&lt;=N262,L262&gt;0),IF(Q262&lt;10,"UBL10",IF(Q262&gt;=200,"UBM200",IF(Q262&gt;=150,"UBM150",IF(Q262&gt;=100,"UBM100",IF(Q262&gt;=50,"UBM50","UBM10-50"))))),0)</f>
        <v>0</v>
      </c>
      <c r="AK262" t="s">
        <f>IF(Q262&lt;21,"down",IF(Q262=21,21,IF(Q262&gt;21,"up")))</f>
        <v>6</v>
      </c>
    </row>
    <row r="263" spans="1:37">
      <c r="A263">
        <f>IF(X263=2548,2548,"Error")</f>
        <v>2548</v>
      </c>
      <c r="B263" t="s">
        <f>IF(K263&lt;85.900000000000006,"down",IF(K263=85.900000000000006,"low",IF(K263=86.5,"high",IF(AND(K263&gt;85.900000000000006,K263&lt;86.5),"normal","up"))))</f>
        <v>6</v>
      </c>
      <c r="C263" t="s">
        <f>IF(K263&lt;85.900000000000006,"down",IF(K263=85.900000000000006,"low",IF(K263=86.5,"high",IF(AND(K263&gt;85.900000000000006,K263&lt;86.5),"normal","up"))))</f>
        <v>6</v>
      </c>
      <c r="D263" t="s">
        <f>IF(K263&lt;85.900000000000006,"down",IF(K263=85.900000000000006,"low",IF(K263=86.5,"high",IF(AND(K263&gt;85.900000000000006,K263&lt;86.5),"normal","up"))))</f>
        <v>6</v>
      </c>
      <c r="E263" t="s">
        <f>IF(K263&lt;84.200000000000003,"down",IF(K263=84.200000000000003,"low",IF(K263=88,"high",IF(AND(K263&gt;84.200000000000003,K263&lt;88),"normal","up"))))</f>
        <v>79</v>
      </c>
      <c r="F263" t="s">
        <f>IF(P263&lt;86,"PVP-down",IF(P263=86,86,IF(P263&gt;86,"PVP-up")))</f>
        <v>83</v>
      </c>
      <c r="G263" t="s">
        <f>IF(R263&lt;233,"PVV-down",IF(R263=233,233,IF(R263&gt;233,"PVV-up")))</f>
        <v>81</v>
      </c>
      <c r="H263" s="40">
        <f>R263/(Y263/10000)</f>
        <v>0.0054296636636568503</v>
      </c>
      <c r="I263">
        <v>86.200000000000003</v>
      </c>
      <c r="J263">
        <v>87.200000000000003</v>
      </c>
      <c r="K263">
        <v>86.599999999999994</v>
      </c>
      <c r="L263">
        <v>1</v>
      </c>
      <c r="M263">
        <v>0.011599999999999999</v>
      </c>
      <c r="N263">
        <v>87.200000000000003</v>
      </c>
      <c r="O263">
        <v>87.299999999999997</v>
      </c>
      <c r="P263">
        <v>87.200000000000003</v>
      </c>
      <c r="Q263">
        <v>38</v>
      </c>
      <c r="R263">
        <v>1503</v>
      </c>
      <c r="S263">
        <v>715</v>
      </c>
      <c r="T263">
        <f>((P263-K263)/K263)</f>
        <v>0.0069284064665128013</v>
      </c>
      <c r="U263">
        <f>((T263*AB263)*D4)</f>
        <v>0.059932993477993898</v>
      </c>
      <c r="V263" s="3">
        <f>IF(P263&lt;=N263,(P263*Q263*1000),0)</f>
        <v>3313600</v>
      </c>
      <c r="W263" s="3">
        <f>IF(P263&gt;=O263,(P263*Q263*1000),0)</f>
        <v>0</v>
      </c>
      <c r="X263">
        <v>2548</v>
      </c>
      <c r="Y263" s="3">
        <v>2768127260</v>
      </c>
      <c r="Z263" s="40">
        <f>((C4*AB263)/P263)/10</f>
        <v>0.0091038187342811043</v>
      </c>
      <c r="AA263" s="40">
        <f>((M263*AB263)*C4)</f>
        <v>0.092086947261000224</v>
      </c>
      <c r="AB263" s="40">
        <f>AE263/AE323</f>
        <v>0.00067685446971630801</v>
      </c>
      <c r="AC263" s="40">
        <f>AF263/AF323</f>
        <v>0.00066287585974948585</v>
      </c>
      <c r="AD263" s="3">
        <f>IF(ISNA(J263),(I263*Y263)/10,(J263*Y263)/10)</f>
        <v>24138069707.200001</v>
      </c>
      <c r="AE263" s="3">
        <f>IF(ISNA(P263),(I263*Y263)/10,(P263*Y263)/10)</f>
        <v>24138069707.200001</v>
      </c>
      <c r="AF263" s="3">
        <f>(I263*Y263)/10</f>
        <v>23861256981.200001</v>
      </c>
      <c r="AG263">
        <f>IF(AND(P263&lt;=N263,L263&lt;0),IF(Q263&lt;10,"DBL10",IF(Q263&gt;=200,"DBM200",IF(Q263&gt;=150,"DBM150",IF(Q263&gt;=100,"DBM100",IF(Q263&gt;=50,"DBM50","DBM10-50"))))),0)</f>
        <v>0</v>
      </c>
      <c r="AH263">
        <f>IF(AND(P263&gt;=O263,L263&lt;0),IF(Q263&lt;10,"DAL10",IF(Q263&gt;=200,"DAM200",IF(Q263&gt;=150,"DAM150",IF(Q263&gt;=100,"DAM100",IF(Q263&gt;=50,"DAM50","DAM10-50"))))),0)</f>
        <v>0</v>
      </c>
      <c r="AI263">
        <f>IF(AND(P263&gt;=O263,L263&gt;0),IF(Q263&lt;10,"UAL10",IF(Q263&gt;=200,"UAM200",IF(Q263&gt;=150,"UAM150",IF(Q263&gt;=100,"UAM100",IF(Q263&gt;=50,"UAM50","UAM10-50"))))),0)</f>
        <v>0</v>
      </c>
      <c r="AJ263" t="s">
        <f>IF(AND(P263&lt;=N263,L263&gt;0),IF(Q263&lt;10,"UBL10",IF(Q263&gt;=200,"UBM200",IF(Q263&gt;=150,"UBM150",IF(Q263&gt;=100,"UBM100",IF(Q263&gt;=50,"UBM50","UBM10-50"))))),0)</f>
        <v>17</v>
      </c>
      <c r="AK263" t="s">
        <f>IF(Q263&lt;13,"down",IF(Q263=13,13,IF(Q263&gt;13,"up")))</f>
        <v>6</v>
      </c>
    </row>
    <row r="264" spans="1:37">
      <c r="A264">
        <f>IF(X264=2606,2606,"Error")</f>
        <v>2606</v>
      </c>
      <c r="B264" t="s">
        <f>IF(K264&lt;27.899999999999999,"down",IF(K264=27.899999999999999,"low",IF(K264=29.5,"high",IF(AND(K264&gt;27.899999999999999,K264&lt;29.5),"normal","up"))))</f>
        <v>6</v>
      </c>
      <c r="C264" t="s">
        <f>IF(K264&lt;27.899999999999999,"down",IF(K264=27.899999999999999,"low",IF(K264=29.5,"high",IF(AND(K264&gt;27.899999999999999,K264&lt;29.5),"normal","up"))))</f>
        <v>6</v>
      </c>
      <c r="D264" t="s">
        <f>IF(K264&lt;27.899999999999999,"down",IF(K264=27.899999999999999,"low",IF(K264=29.5,"high",IF(AND(K264&gt;27.899999999999999,K264&lt;29.5),"normal","up"))))</f>
        <v>6</v>
      </c>
      <c r="E264" t="s">
        <f>IF(K264&lt;27.199999999999999,"down",IF(K264=27.199999999999999,"low",IF(K264=29.5,"high",IF(AND(K264&gt;27.199999999999999,K264&lt;29.5),"normal","up"))))</f>
        <v>6</v>
      </c>
      <c r="F264" t="s">
        <f>IF(P264&lt;29.100000000000001,"PVP-down",IF(P264=29.100000000000001,29.100000000000001,IF(P264&gt;29.100000000000001,"PVP-up")))</f>
        <v>83</v>
      </c>
      <c r="G264" t="s">
        <f>IF(R264&lt;469,"PVV-down",IF(R264=469,469,IF(R264&gt;469,"PVV-up")))</f>
        <v>81</v>
      </c>
      <c r="H264" s="40">
        <f>R264/(Y264/10000)</f>
        <v>0.0052813086008700926</v>
      </c>
      <c r="I264">
        <v>29.5</v>
      </c>
      <c r="J264">
        <v>29.800000000000001</v>
      </c>
      <c r="K264">
        <v>29.649999999999999</v>
      </c>
      <c r="L264">
        <v>0.29999999999999999</v>
      </c>
      <c r="M264">
        <v>0.010200000000000001</v>
      </c>
      <c r="N264">
        <v>29.75</v>
      </c>
      <c r="O264">
        <v>29.800000000000001</v>
      </c>
      <c r="P264">
        <v>29.800000000000001</v>
      </c>
      <c r="Q264">
        <v>58</v>
      </c>
      <c r="R264">
        <v>4463</v>
      </c>
      <c r="S264">
        <v>3991</v>
      </c>
      <c r="T264">
        <f>((P264-K264)/K264)</f>
        <v>0.0050590219224284022</v>
      </c>
      <c r="U264">
        <f>((T264*AB264)*D4)</f>
        <v>0.045656040158504767</v>
      </c>
      <c r="V264" s="3">
        <f>IF(P264&lt;=N264,(P264*Q264*1000),0)</f>
        <v>0</v>
      </c>
      <c r="W264" s="3">
        <f>IF(P264&gt;=O264,(P264*Q264*1000),0)</f>
        <v>1728400</v>
      </c>
      <c r="X264">
        <v>2606</v>
      </c>
      <c r="Y264" s="3">
        <v>8450557120</v>
      </c>
      <c r="Z264" s="40">
        <f>((C4*AB264)/P264)/10</f>
        <v>0.027792197756171283</v>
      </c>
      <c r="AA264" s="40">
        <f>((M264*AB264)*C4)</f>
        <v>0.08447716429965825</v>
      </c>
      <c r="AB264" s="40">
        <f>AE264/AE323</f>
        <v>0.0007061457827568276</v>
      </c>
      <c r="AC264" s="40">
        <f>AF264/AF323</f>
        <v>0.00069254220119468579</v>
      </c>
      <c r="AD264" s="3">
        <f>IF(ISNA(J264),(I264*Y264)/10,(J264*Y264)/10)</f>
        <v>25182660217.599998</v>
      </c>
      <c r="AE264" s="3">
        <f>IF(ISNA(P264),(I264*Y264)/10,(P264*Y264)/10)</f>
        <v>25182660217.599998</v>
      </c>
      <c r="AF264" s="3">
        <f>(I264*Y264)/10</f>
        <v>24929143504</v>
      </c>
      <c r="AG264">
        <f>IF(AND(P264&lt;=N264,L264&lt;0),IF(Q264&lt;10,"DBL10",IF(Q264&gt;=200,"DBM200",IF(Q264&gt;=150,"DBM150",IF(Q264&gt;=100,"DBM100",IF(Q264&gt;=50,"DBM50","DBM10-50"))))),0)</f>
        <v>0</v>
      </c>
      <c r="AH264">
        <f>IF(AND(P264&gt;=O264,L264&lt;0),IF(Q264&lt;10,"DAL10",IF(Q264&gt;=200,"DAM200",IF(Q264&gt;=150,"DAM150",IF(Q264&gt;=100,"DAM100",IF(Q264&gt;=50,"DAM50","DAM10-50"))))),0)</f>
        <v>0</v>
      </c>
      <c r="AI264" t="s">
        <f>IF(AND(P264&gt;=O264,L264&gt;0),IF(Q264&lt;10,"UAL10",IF(Q264&gt;=200,"UAM200",IF(Q264&gt;=150,"UAM150",IF(Q264&gt;=100,"UAM100",IF(Q264&gt;=50,"UAM50","UAM10-50"))))),0)</f>
        <v>28</v>
      </c>
      <c r="AJ264">
        <f>IF(AND(P264&lt;=N264,L264&gt;0),IF(Q264&lt;10,"UBL10",IF(Q264&gt;=200,"UBM200",IF(Q264&gt;=150,"UBM150",IF(Q264&gt;=100,"UBM100",IF(Q264&gt;=50,"UBM50","UBM10-50"))))),0)</f>
        <v>0</v>
      </c>
      <c r="AK264" t="s">
        <f>IF(Q264&lt;11,"down",IF(Q264=11,11,IF(Q264&gt;11,"up")))</f>
        <v>6</v>
      </c>
    </row>
    <row r="265" spans="1:37">
      <c r="A265">
        <f>IF(X265=1723,1723,"Error")</f>
        <v>1723</v>
      </c>
      <c r="B265" t="s">
        <f>IF(K265&lt;92.799999999999997,"down",IF(K265=92.799999999999997,"low",IF(K265=95.5,"high",IF(AND(K265&gt;92.799999999999997,K265&lt;95.5),"normal","up"))))</f>
        <v>79</v>
      </c>
      <c r="C265" t="s">
        <f>IF(K265&lt;92.799999999999997,"down",IF(K265=92.799999999999997,"low",IF(K265=95.5,"high",IF(AND(K265&gt;92.799999999999997,K265&lt;95.5),"normal","up"))))</f>
        <v>79</v>
      </c>
      <c r="D265" t="s">
        <f>IF(K265&lt;92.799999999999997,"down",IF(K265=92.799999999999997,"low",IF(K265=95.5,"high",IF(AND(K265&gt;92.799999999999997,K265&lt;95.5),"normal","up"))))</f>
        <v>79</v>
      </c>
      <c r="E265" t="s">
        <f>IF(K265&lt;92.799999999999997,"down",IF(K265=92.799999999999997,"low",IF(K265=98.5,"high",IF(AND(K265&gt;92.799999999999997,K265&lt;98.5),"normal","up"))))</f>
        <v>79</v>
      </c>
      <c r="F265" t="s">
        <f>IF(P265&lt;93,"PVP-down",IF(P265=93,93,IF(P265&gt;93,"PVP-up")))</f>
        <v>80</v>
      </c>
      <c r="G265" t="s">
        <f>IF(R265&lt;247,"PVV-down",IF(R265=247,247,IF(R265&gt;247,"PVV-up")))</f>
        <v>81</v>
      </c>
      <c r="H265" s="40">
        <f>R265/(Y265/10000)</f>
        <v>0.0024777918931714587</v>
      </c>
      <c r="I265">
        <v>93.5</v>
      </c>
      <c r="J265">
        <v>92.900000000000006</v>
      </c>
      <c r="K265">
        <v>93.5</v>
      </c>
      <c r="L265">
        <v>-0.59999999999999998</v>
      </c>
      <c r="M265">
        <v>-0.0064000000000000003</v>
      </c>
      <c r="N265">
        <v>92.799999999999997</v>
      </c>
      <c r="O265">
        <v>92.900000000000006</v>
      </c>
      <c r="P265">
        <v>92.900000000000006</v>
      </c>
      <c r="Q265">
        <v>3</v>
      </c>
      <c r="R265">
        <v>587</v>
      </c>
      <c r="S265">
        <v>1188</v>
      </c>
      <c r="T265">
        <f>((P265-K265)/K265)</f>
        <v>-0.0064171122994651801</v>
      </c>
      <c r="U265">
        <f>((T265*AB265)*D4)</f>
        <v>-0.05061260625680241</v>
      </c>
      <c r="V265" s="3">
        <f>IF(P265&lt;=N265,(P265*Q265*1000),0)</f>
        <v>0</v>
      </c>
      <c r="W265" s="3">
        <f>IF(P265&gt;=O265,(P265*Q265*1000),0)</f>
        <v>278700.00000000006</v>
      </c>
      <c r="X265">
        <v>1723</v>
      </c>
      <c r="Y265" s="3">
        <v>2369044800</v>
      </c>
      <c r="Z265" s="40">
        <f>((C4*AB265)/P265)/10</f>
        <v>0.0077913160800964151</v>
      </c>
      <c r="AA265" s="40">
        <f>((M265*AB265)*C4)</f>
        <v>-0.046324048885821249</v>
      </c>
      <c r="AB265" s="40">
        <f>AE265/AE323</f>
        <v>0.00061713723674570694</v>
      </c>
      <c r="AC265" s="40">
        <f>AF265/AF323</f>
        <v>0.00061535221727165618</v>
      </c>
      <c r="AD265" s="3">
        <f>IF(ISNA(J265),(I265*Y265)/10,(J265*Y265)/10)</f>
        <v>22008426192</v>
      </c>
      <c r="AE265" s="3">
        <f>IF(ISNA(P265),(I265*Y265)/10,(P265*Y265)/10)</f>
        <v>22008426192</v>
      </c>
      <c r="AF265" s="3">
        <f>(I265*Y265)/10</f>
        <v>22150568880</v>
      </c>
      <c r="AG265">
        <f>IF(AND(P265&lt;=N265,L265&lt;0),IF(Q265&lt;10,"DBL10",IF(Q265&gt;=200,"DBM200",IF(Q265&gt;=150,"DBM150",IF(Q265&gt;=100,"DBM100",IF(Q265&gt;=50,"DBM50","DBM10-50"))))),0)</f>
        <v>0</v>
      </c>
      <c r="AH265" t="s">
        <f>IF(AND(P265&gt;=O265,L265&lt;0),IF(Q265&lt;10,"DAL10",IF(Q265&gt;=200,"DAM200",IF(Q265&gt;=150,"DAM150",IF(Q265&gt;=100,"DAM100",IF(Q265&gt;=50,"DAM50","DAM10-50"))))),0)</f>
        <v>88</v>
      </c>
      <c r="AI265">
        <f>IF(AND(P265&gt;=O265,L265&gt;0),IF(Q265&lt;10,"UAL10",IF(Q265&gt;=200,"UAM200",IF(Q265&gt;=150,"UAM150",IF(Q265&gt;=100,"UAM100",IF(Q265&gt;=50,"UAM50","UAM10-50"))))),0)</f>
        <v>0</v>
      </c>
      <c r="AJ265">
        <f>IF(AND(P265&lt;=N265,L265&gt;0),IF(Q265&lt;10,"UBL10",IF(Q265&gt;=200,"UBM200",IF(Q265&gt;=150,"UBM150",IF(Q265&gt;=100,"UBM100",IF(Q265&gt;=50,"UBM50","UBM10-50"))))),0)</f>
        <v>0</v>
      </c>
      <c r="AK265" t="s">
        <f>IF(Q265&lt;47,"down",IF(Q265=47,47,IF(Q265&gt;47,"up")))</f>
        <v>7</v>
      </c>
    </row>
    <row r="266" spans="1:37">
      <c r="A266">
        <f>IF(X266=8926,8926,"Error")</f>
        <v>8926</v>
      </c>
      <c r="B266" t="s">
        <f>IF(K266&lt;39.200000000000003,"down",IF(K266=39.200000000000003,"low",IF(K266=40.899999999999999,"high",IF(AND(K266&gt;39.200000000000003,K266&lt;40.899999999999999),"normal","up"))))</f>
        <v>79</v>
      </c>
      <c r="C266" t="s">
        <f>IF(K266&lt;39.200000000000003,"down",IF(K266=39.200000000000003,"low",IF(K266=40.899999999999999,"high",IF(AND(K266&gt;39.200000000000003,K266&lt;40.899999999999999),"normal","up"))))</f>
        <v>79</v>
      </c>
      <c r="D266" t="s">
        <f>IF(K266&lt;39.200000000000003,"down",IF(K266=39.200000000000003,"low",IF(K266=40.899999999999999,"high",IF(AND(K266&gt;39.200000000000003,K266&lt;40.899999999999999),"normal","up"))))</f>
        <v>79</v>
      </c>
      <c r="E266" t="s">
        <f>IF(K266&lt;38.549999999999997,"down",IF(K266=38.549999999999997,"low",IF(K266=40.899999999999999,"high",IF(AND(K266&gt;38.549999999999997,K266&lt;40.899999999999999),"normal","up"))))</f>
        <v>79</v>
      </c>
      <c r="F266" t="s">
        <f>IF(P266&lt;40.299999999999997,"PVP-down",IF(P266=40.299999999999997,40.299999999999997,IF(P266&gt;40.299999999999997,"PVP-up")))</f>
        <v>80</v>
      </c>
      <c r="G266" t="s">
        <f>IF(R266&lt;457,"PVV-down",IF(R266=457,457,IF(R266&gt;457,"PVV-up")))</f>
        <v>81</v>
      </c>
      <c r="H266" s="40">
        <f>R266/(Y266/10000)</f>
        <v>0.0029725900627943949</v>
      </c>
      <c r="I266">
        <v>40.149999999999999</v>
      </c>
      <c r="J266">
        <v>39.75</v>
      </c>
      <c r="K266">
        <v>40.200000000000003</v>
      </c>
      <c r="L266">
        <v>-0.40000000000000002</v>
      </c>
      <c r="M266">
        <v>-0.01</v>
      </c>
      <c r="N266">
        <v>39.700000000000003</v>
      </c>
      <c r="O266">
        <v>39.75</v>
      </c>
      <c r="P266">
        <v>39.75</v>
      </c>
      <c r="Q266">
        <v>52</v>
      </c>
      <c r="R266">
        <v>1751</v>
      </c>
      <c r="S266">
        <v>4847</v>
      </c>
      <c r="T266">
        <f>((P266-K266)/K266)</f>
        <v>-0.011194029850746339</v>
      </c>
      <c r="U266">
        <f>((T266*AB266)*D4)</f>
        <v>-0.093930101711239139</v>
      </c>
      <c r="V266" s="3">
        <f>IF(P266&lt;=N266,(P266*Q266*1000),0)</f>
        <v>0</v>
      </c>
      <c r="W266" s="3">
        <f>IF(P266&gt;=O266,(P266*Q266*1000),0)</f>
        <v>2067000</v>
      </c>
      <c r="X266">
        <v>8926</v>
      </c>
      <c r="Y266" s="3">
        <v>5890485950</v>
      </c>
      <c r="Z266" s="40">
        <f>((C4*AB266)/P266)/10</f>
        <v>0.019372634026092291</v>
      </c>
      <c r="AA266" s="40">
        <f>((M266*AB266)*C4)</f>
        <v>-0.077006220253716853</v>
      </c>
      <c r="AB266" s="40">
        <f>AE266/AE323</f>
        <v>0.00065656997949200884</v>
      </c>
      <c r="AC266" s="40">
        <f>AF266/AF323</f>
        <v>0.00065701541541682762</v>
      </c>
      <c r="AD266" s="3">
        <f>IF(ISNA(J266),(I266*Y266)/10,(J266*Y266)/10)</f>
        <v>23414681651.25</v>
      </c>
      <c r="AE266" s="3">
        <f>IF(ISNA(P266),(I266*Y266)/10,(P266*Y266)/10)</f>
        <v>23414681651.25</v>
      </c>
      <c r="AF266" s="3">
        <f>(I266*Y266)/10</f>
        <v>23650301089.25</v>
      </c>
      <c r="AG266">
        <f>IF(AND(P266&lt;=N266,L266&lt;0),IF(Q266&lt;10,"DBL10",IF(Q266&gt;=200,"DBM200",IF(Q266&gt;=150,"DBM150",IF(Q266&gt;=100,"DBM100",IF(Q266&gt;=50,"DBM50","DBM10-50"))))),0)</f>
        <v>0</v>
      </c>
      <c r="AH266" t="s">
        <f>IF(AND(P266&gt;=O266,L266&lt;0),IF(Q266&lt;10,"DAL10",IF(Q266&gt;=200,"DAM200",IF(Q266&gt;=150,"DAM150",IF(Q266&gt;=100,"DAM100",IF(Q266&gt;=50,"DAM50","DAM10-50"))))),0)</f>
        <v>23</v>
      </c>
      <c r="AI266">
        <f>IF(AND(P266&gt;=O266,L266&gt;0),IF(Q266&lt;10,"UAL10",IF(Q266&gt;=200,"UAM200",IF(Q266&gt;=150,"UAM150",IF(Q266&gt;=100,"UAM100",IF(Q266&gt;=50,"UAM50","UAM10-50"))))),0)</f>
        <v>0</v>
      </c>
      <c r="AJ266">
        <f>IF(AND(P266&lt;=N266,L266&gt;0),IF(Q266&lt;10,"UBL10",IF(Q266&gt;=200,"UBM200",IF(Q266&gt;=150,"UBM150",IF(Q266&gt;=100,"UBM100",IF(Q266&gt;=50,"UBM50","UBM10-50"))))),0)</f>
        <v>0</v>
      </c>
      <c r="AK266" t="s">
        <f>IF(Q266&lt;29,"down",IF(Q266=29,29,IF(Q266&gt;29,"up")))</f>
        <v>6</v>
      </c>
    </row>
    <row r="267" spans="1:37">
      <c r="A267">
        <f>IF(X267=2504,2504,"Error")</f>
        <v>2504</v>
      </c>
      <c r="B267" t="s">
        <f>IF(K267&lt;16.199999999999999,"down",IF(K267=16.199999999999999,"low",IF(K267=16.699999999999999,"high",IF(AND(K267&gt;16.199999999999999,K267&lt;16.699999999999999),"normal","up"))))</f>
        <v>79</v>
      </c>
      <c r="C267" t="s">
        <f>IF(K267&lt;16.199999999999999,"down",IF(K267=16.199999999999999,"low",IF(K267=16.699999999999999,"high",IF(AND(K267&gt;16.199999999999999,K267&lt;16.699999999999999),"normal","up"))))</f>
        <v>79</v>
      </c>
      <c r="D267" t="s">
        <f>IF(K267&lt;16.199999999999999,"down",IF(K267=16.199999999999999,"low",IF(K267=16.699999999999999,"high",IF(AND(K267&gt;16.199999999999999,K267&lt;16.699999999999999),"normal","up"))))</f>
        <v>79</v>
      </c>
      <c r="E267" t="s">
        <f>IF(K267&lt;16.100000000000001,"down",IF(K267=16.100000000000001,"low",IF(K267=16.899999999999999,"high",IF(AND(K267&gt;16.100000000000001,K267&lt;16.899999999999999),"normal","up"))))</f>
        <v>79</v>
      </c>
      <c r="F267" t="s">
        <f>IF(P267&lt;16.300000000000001,"PVP-down",IF(P267=16.300000000000001,16.300000000000001,IF(P267&gt;16.300000000000001,"PVP-up")))</f>
        <v>83</v>
      </c>
      <c r="G267" t="s">
        <f>IF(R267&lt;1023,"PVV-down",IF(R267=1023,1023,IF(R267&gt;1023,"PVV-up")))</f>
        <v>81</v>
      </c>
      <c r="H267" s="40">
        <f>R267/(Y267/10000)</f>
        <v>0.0056483516627772179</v>
      </c>
      <c r="I267">
        <v>16.25</v>
      </c>
      <c r="J267">
        <v>16.5</v>
      </c>
      <c r="K267">
        <v>16.399999999999999</v>
      </c>
      <c r="L267">
        <v>0.25</v>
      </c>
      <c r="M267">
        <v>0.0154</v>
      </c>
      <c r="N267">
        <v>16.5</v>
      </c>
      <c r="O267">
        <v>16.550000000000001</v>
      </c>
      <c r="P267">
        <v>16.5</v>
      </c>
      <c r="Q267">
        <v>176</v>
      </c>
      <c r="R267">
        <v>7788</v>
      </c>
      <c r="S267">
        <v>5840</v>
      </c>
      <c r="T267">
        <f>((P267-K267)/K267)</f>
        <v>0.006097560975609843</v>
      </c>
      <c r="U267">
        <f>((T267*AB267)*D4)</f>
        <v>0.049713505228960828</v>
      </c>
      <c r="V267" s="3">
        <f>IF(P267&lt;=N267,(P267*Q267*1000),0)</f>
        <v>2904000</v>
      </c>
      <c r="W267" s="3">
        <f>IF(P267&gt;=O267,(P267*Q267*1000),0)</f>
        <v>0</v>
      </c>
      <c r="X267">
        <v>2504</v>
      </c>
      <c r="Y267" s="3">
        <v>13788093350</v>
      </c>
      <c r="Z267" s="40">
        <f>((C4*AB267)/P267)/10</f>
        <v>0.04534629038324875</v>
      </c>
      <c r="AA267" s="40">
        <f>((M267*AB267)*C4)</f>
        <v>0.11522492386383508</v>
      </c>
      <c r="AB267" s="40">
        <f>AE267/AE323</f>
        <v>0.00063794160005050467</v>
      </c>
      <c r="AC267" s="40">
        <f>AF267/AF323</f>
        <v>0.00062243852624544881</v>
      </c>
      <c r="AD267" s="3">
        <f>IF(ISNA(J267),(I267*Y267)/10,(J267*Y267)/10)</f>
        <v>22750354027.5</v>
      </c>
      <c r="AE267" s="3">
        <f>IF(ISNA(P267),(I267*Y267)/10,(P267*Y267)/10)</f>
        <v>22750354027.5</v>
      </c>
      <c r="AF267" s="3">
        <f>(I267*Y267)/10</f>
        <v>22405651693.75</v>
      </c>
      <c r="AG267">
        <f>IF(AND(P267&lt;=N267,L267&lt;0),IF(Q267&lt;10,"DBL10",IF(Q267&gt;=200,"DBM200",IF(Q267&gt;=150,"DBM150",IF(Q267&gt;=100,"DBM100",IF(Q267&gt;=50,"DBM50","DBM10-50"))))),0)</f>
        <v>0</v>
      </c>
      <c r="AH267">
        <f>IF(AND(P267&gt;=O267,L267&lt;0),IF(Q267&lt;10,"DAL10",IF(Q267&gt;=200,"DAM200",IF(Q267&gt;=150,"DAM150",IF(Q267&gt;=100,"DAM100",IF(Q267&gt;=50,"DAM50","DAM10-50"))))),0)</f>
        <v>0</v>
      </c>
      <c r="AI267">
        <f>IF(AND(P267&gt;=O267,L267&gt;0),IF(Q267&lt;10,"UAL10",IF(Q267&gt;=200,"UAM200",IF(Q267&gt;=150,"UAM150",IF(Q267&gt;=100,"UAM100",IF(Q267&gt;=50,"UAM50","UAM10-50"))))),0)</f>
        <v>0</v>
      </c>
      <c r="AJ267" t="s">
        <f>IF(AND(P267&lt;=N267,L267&gt;0),IF(Q267&lt;10,"UBL10",IF(Q267&gt;=200,"UBM200",IF(Q267&gt;=150,"UBM150",IF(Q267&gt;=100,"UBM100",IF(Q267&gt;=50,"UBM50","UBM10-50"))))),0)</f>
        <v>20</v>
      </c>
      <c r="AK267" t="s">
        <f>IF(Q267&lt;49,"down",IF(Q267=49,49,IF(Q267&gt;49,"up")))</f>
        <v>6</v>
      </c>
    </row>
    <row r="268" spans="1:37">
      <c r="A268">
        <f>IF(X268=1907,1907,"Error")</f>
        <v>1907</v>
      </c>
      <c r="B268" t="s">
        <f>IF(K268&lt;13.85,"down",IF(K268=13.85,"low",IF(K268=14.15,"high",IF(AND(K268&gt;13.85,K268&lt;14.15),"normal","up"))))</f>
        <v>6</v>
      </c>
      <c r="C268" t="s">
        <f>IF(K268&lt;13.85,"down",IF(K268=13.85,"low",IF(K268=14.15,"high",IF(AND(K268&gt;13.85,K268&lt;14.15),"normal","up"))))</f>
        <v>6</v>
      </c>
      <c r="D268" t="s">
        <f>IF(K268&lt;13.85,"down",IF(K268=13.85,"low",IF(K268=14.15,"high",IF(AND(K268&gt;13.85,K268&lt;14.15),"normal","up"))))</f>
        <v>6</v>
      </c>
      <c r="E268" t="s">
        <f>IF(K268&lt;13.550000000000001,"down",IF(K268=13.550000000000001,"low",IF(K268=14.15,"high",IF(AND(K268&gt;13.550000000000001,K268&lt;14.15),"normal","up"))))</f>
        <v>6</v>
      </c>
      <c r="F268" t="s">
        <f>IF(P268&lt;14,"PVP-down",IF(P268=14,14,IF(P268&gt;14,"PVP-up")))</f>
        <v>83</v>
      </c>
      <c r="G268" t="s">
        <f>IF(R268&lt;1494,"PVV-down",IF(R268=1494,1494,IF(R268&gt;1494,"PVV-up")))</f>
        <v>81</v>
      </c>
      <c r="H268" s="40">
        <f>R268/(Y268/10000)</f>
        <v>0.0015472441003331003</v>
      </c>
      <c r="I268">
        <v>14.1</v>
      </c>
      <c r="J268">
        <v>14.050000000000001</v>
      </c>
      <c r="K268">
        <v>14.199999999999999</v>
      </c>
      <c r="L268">
        <v>-0.050000000000000003</v>
      </c>
      <c r="M268">
        <v>-0.0035000000000000001</v>
      </c>
      <c r="N268">
        <v>14.050000000000001</v>
      </c>
      <c r="O268">
        <v>14.1</v>
      </c>
      <c r="P268">
        <v>14.050000000000001</v>
      </c>
      <c r="Q268">
        <v>85</v>
      </c>
      <c r="R268">
        <v>2569</v>
      </c>
      <c r="S268">
        <v>4488</v>
      </c>
      <c r="T268">
        <f>((P268-K268)/K268)</f>
        <v>-0.010563380281690042</v>
      </c>
      <c r="U268">
        <f>((T268*AB268)*D4)</f>
        <v>-0.088310955200015417</v>
      </c>
      <c r="V268" s="3">
        <f>IF(P268&lt;=N268,(P268*Q268*1000),0)</f>
        <v>1194250</v>
      </c>
      <c r="W268" s="3">
        <f>IF(P268&gt;=O268,(P268*Q268*1000),0)</f>
        <v>0</v>
      </c>
      <c r="X268">
        <v>1907</v>
      </c>
      <c r="Y268" s="3">
        <v>16603714950</v>
      </c>
      <c r="Z268" s="40">
        <f>((C4*AB268)/P268)/10</f>
        <v>0.054606308533832817</v>
      </c>
      <c r="AA268" s="40">
        <f>((M268*AB268)*C4)</f>
        <v>-0.026852652221512289</v>
      </c>
      <c r="AB268" s="40">
        <f>AE268/AE323</f>
        <v>0.00065414549853600541</v>
      </c>
      <c r="AC268" s="40">
        <f>AF268/AF323</f>
        <v>0.00065037414340642237</v>
      </c>
      <c r="AD268" s="3">
        <f>IF(ISNA(J268),(I268*Y268)/10,(J268*Y268)/10)</f>
        <v>23328219504.75</v>
      </c>
      <c r="AE268" s="3">
        <f>IF(ISNA(P268),(I268*Y268)/10,(P268*Y268)/10)</f>
        <v>23328219504.75</v>
      </c>
      <c r="AF268" s="3">
        <f>(I268*Y268)/10</f>
        <v>23411238079.5</v>
      </c>
      <c r="AG268" t="s">
        <f>IF(AND(P268&lt;=N268,L268&lt;0),IF(Q268&lt;10,"DBL10",IF(Q268&gt;=200,"DBM200",IF(Q268&gt;=150,"DBM150",IF(Q268&gt;=100,"DBM100",IF(Q268&gt;=50,"DBM50","DBM10-50"))))),0)</f>
        <v>13</v>
      </c>
      <c r="AH268">
        <f>IF(AND(P268&gt;=O268,L268&lt;0),IF(Q268&lt;10,"DAL10",IF(Q268&gt;=200,"DAM200",IF(Q268&gt;=150,"DAM150",IF(Q268&gt;=100,"DAM100",IF(Q268&gt;=50,"DAM50","DAM10-50"))))),0)</f>
        <v>0</v>
      </c>
      <c r="AI268">
        <f>IF(AND(P268&gt;=O268,L268&gt;0),IF(Q268&lt;10,"UAL10",IF(Q268&gt;=200,"UAM200",IF(Q268&gt;=150,"UAM150",IF(Q268&gt;=100,"UAM100",IF(Q268&gt;=50,"UAM50","UAM10-50"))))),0)</f>
        <v>0</v>
      </c>
      <c r="AJ268">
        <f>IF(AND(P268&lt;=N268,L268&gt;0),IF(Q268&lt;10,"UBL10",IF(Q268&gt;=200,"UBM200",IF(Q268&gt;=150,"UBM150",IF(Q268&gt;=100,"UBM100",IF(Q268&gt;=50,"UBM50","UBM10-50"))))),0)</f>
        <v>0</v>
      </c>
      <c r="AK268" t="s">
        <f>IF(Q268&lt;43,"down",IF(Q268=43,43,IF(Q268&gt;43,"up")))</f>
        <v>6</v>
      </c>
    </row>
    <row r="269" spans="1:37">
      <c r="A269">
        <f>IF(X269=1507,1507,"Error")</f>
        <v>1507</v>
      </c>
      <c r="B269" t="s">
        <f>IF(K269&lt;54,"down",IF(K269=54,"low",IF(K269=54.5,"high",IF(AND(K269&gt;54,K269&lt;54.5),"normal","up"))))</f>
        <v>79</v>
      </c>
      <c r="C269" t="s">
        <f>IF(K269&lt;54,"down",IF(K269=54,"low",IF(K269=54.5,"high",IF(AND(K269&gt;54,K269&lt;54.5),"normal","up"))))</f>
        <v>79</v>
      </c>
      <c r="D269" t="s">
        <f>IF(K269&lt;54,"down",IF(K269=54,"low",IF(K269=54.5,"high",IF(AND(K269&gt;54,K269&lt;54.5),"normal","up"))))</f>
        <v>79</v>
      </c>
      <c r="E269" t="s">
        <f>IF(K269&lt;54,"down",IF(K269=54,"low",IF(K269=55,"high",IF(AND(K269&gt;54,K269&lt;55),"normal","up"))))</f>
        <v>79</v>
      </c>
      <c r="F269" t="s">
        <f>IF(P269&lt;54.200000000000003,"PVP-down",IF(P269=54.200000000000003,54.200000000000003,IF(P269&gt;54.200000000000003,"PVP-up")))</f>
        <v>83</v>
      </c>
      <c r="G269" t="s">
        <f>IF(R269&lt;14,"PVV-down",IF(R269=14,14,IF(R269&gt;14,"PVV-up")))</f>
        <v>81</v>
      </c>
      <c r="H269" s="40">
        <f>R269/(Y269/10000)</f>
        <v>0.00083491553478409037</v>
      </c>
      <c r="I269">
        <v>54.200000000000003</v>
      </c>
      <c r="J269">
        <v>55.799999999999997</v>
      </c>
      <c r="K269">
        <v>54.399999999999999</v>
      </c>
      <c r="L269">
        <v>1.6000000000000001</v>
      </c>
      <c r="M269">
        <v>0.029499999999999998</v>
      </c>
      <c r="N269">
        <v>55.700000000000003</v>
      </c>
      <c r="O269">
        <v>55.799999999999997</v>
      </c>
      <c r="P269">
        <v>55.799999999999997</v>
      </c>
      <c r="Q269">
        <v>7</v>
      </c>
      <c r="R269">
        <v>343</v>
      </c>
      <c r="S269">
        <v>28</v>
      </c>
      <c r="T269">
        <f>((P269-K269)/K269)</f>
        <v>0.025735294117647033</v>
      </c>
      <c r="U269">
        <f>((T269*AB269)*D4)</f>
        <v>0.21141947383195775</v>
      </c>
      <c r="V269" s="3">
        <f>IF(P269&lt;=N269,(P269*Q269*1000),0)</f>
        <v>0</v>
      </c>
      <c r="W269" s="3">
        <f>IF(P269&gt;=O269,(P269*Q269*1000),0)</f>
        <v>390599.99999999994</v>
      </c>
      <c r="X269">
        <v>1507</v>
      </c>
      <c r="Y269" s="3">
        <v>4108200000</v>
      </c>
      <c r="Z269" s="40">
        <f>((C4*AB269)/P269)/10</f>
        <v>0.013511050833758861</v>
      </c>
      <c r="AA269" s="40">
        <f>((M269*AB269)*C4)</f>
        <v>0.22240540777450457</v>
      </c>
      <c r="AB269" s="40">
        <f>AE269/AE323</f>
        <v>0.00064280395655075284</v>
      </c>
      <c r="AC269" s="40">
        <f>AF269/AF323</f>
        <v>0.00061857127735110188</v>
      </c>
      <c r="AD269" s="3">
        <f>IF(ISNA(J269),(I269*Y269)/10,(J269*Y269)/10)</f>
        <v>22923756000</v>
      </c>
      <c r="AE269" s="3">
        <f>IF(ISNA(P269),(I269*Y269)/10,(P269*Y269)/10)</f>
        <v>22923756000</v>
      </c>
      <c r="AF269" s="3">
        <f>(I269*Y269)/10</f>
        <v>22266444000</v>
      </c>
      <c r="AG269">
        <f>IF(AND(P269&lt;=N269,L269&lt;0),IF(Q269&lt;10,"DBL10",IF(Q269&gt;=200,"DBM200",IF(Q269&gt;=150,"DBM150",IF(Q269&gt;=100,"DBM100",IF(Q269&gt;=50,"DBM50","DBM10-50"))))),0)</f>
        <v>0</v>
      </c>
      <c r="AH269">
        <f>IF(AND(P269&gt;=O269,L269&lt;0),IF(Q269&lt;10,"DAL10",IF(Q269&gt;=200,"DAM200",IF(Q269&gt;=150,"DAM150",IF(Q269&gt;=100,"DAM100",IF(Q269&gt;=50,"DAM50","DAM10-50"))))),0)</f>
        <v>0</v>
      </c>
      <c r="AI269" t="s">
        <f>IF(AND(P269&gt;=O269,L269&gt;0),IF(Q269&lt;10,"UAL10",IF(Q269&gt;=200,"UAM200",IF(Q269&gt;=150,"UAM150",IF(Q269&gt;=100,"UAM100",IF(Q269&gt;=50,"UAM50","UAM10-50"))))),0)</f>
        <v>89</v>
      </c>
      <c r="AJ269">
        <f>IF(AND(P269&lt;=N269,L269&gt;0),IF(Q269&lt;10,"UBL10",IF(Q269&gt;=200,"UBM200",IF(Q269&gt;=150,"UBM150",IF(Q269&gt;=100,"UBM100",IF(Q269&gt;=50,"UBM50","UBM10-50"))))),0)</f>
        <v>0</v>
      </c>
      <c r="AK269" t="s">
        <f>IF(Q269&lt;1,"down",IF(Q269=1,1,IF(Q269&gt;1,"up")))</f>
        <v>6</v>
      </c>
    </row>
    <row r="270" spans="1:37">
      <c r="A270">
        <f>IF(X270=2501,2501,"Error")</f>
        <v>2501</v>
      </c>
      <c r="B270" t="s">
        <f>IF(K270&lt;18.850000000000001,"down",IF(K270=18.850000000000001,"low",IF(K270=19.300000000000001,"high",IF(AND(K270&gt;18.850000000000001,K270&lt;19.300000000000001),"normal","up"))))</f>
        <v>6</v>
      </c>
      <c r="C270" t="s">
        <f>IF(K270&lt;18.850000000000001,"down",IF(K270=18.850000000000001,"low",IF(K270=19.300000000000001,"high",IF(AND(K270&gt;18.850000000000001,K270&lt;19.300000000000001),"normal","up"))))</f>
        <v>6</v>
      </c>
      <c r="D270" t="s">
        <f>IF(K270&lt;18.850000000000001,"down",IF(K270=18.850000000000001,"low",IF(K270=19.300000000000001,"high",IF(AND(K270&gt;18.850000000000001,K270&lt;19.300000000000001),"normal","up"))))</f>
        <v>6</v>
      </c>
      <c r="E270" t="s">
        <f>IF(K270&lt;18.699999999999999,"down",IF(K270=18.699999999999999,"low",IF(K270=19.300000000000001,"high",IF(AND(K270&gt;18.699999999999999,K270&lt;19.300000000000001),"normal","up"))))</f>
        <v>6</v>
      </c>
      <c r="F270" t="s">
        <f>IF(P270&lt;19.149999999999999,"PVP-down",IF(P270=19.149999999999999,19.149999999999999,IF(P270&gt;19.149999999999999,"PVP-up")))</f>
        <v>80</v>
      </c>
      <c r="G270" t="s">
        <f>IF(R270&lt;196,"PVV-down",IF(R270=196,196,IF(R270&gt;196,"PVV-up")))</f>
        <v>81</v>
      </c>
      <c r="H270" s="40">
        <f>R270/(Y270/10000)</f>
        <v>0.00036565560451439757</v>
      </c>
      <c r="I270">
        <v>19.199999999999999</v>
      </c>
      <c r="J270">
        <v>19.050000000000001</v>
      </c>
      <c r="K270">
        <v>19.350000000000001</v>
      </c>
      <c r="L270">
        <v>-0.14999999999999999</v>
      </c>
      <c r="M270">
        <v>-0.0077999999999999996</v>
      </c>
      <c r="N270">
        <v>19.050000000000001</v>
      </c>
      <c r="O270">
        <v>19.100000000000001</v>
      </c>
      <c r="P270">
        <v>19.050000000000001</v>
      </c>
      <c r="Q270">
        <v>43</v>
      </c>
      <c r="R270">
        <v>424</v>
      </c>
      <c r="S270">
        <v>1001</v>
      </c>
      <c r="T270">
        <f>((P270-K270)/K270)</f>
        <v>-0.015503875968992284</v>
      </c>
      <c r="U270">
        <f>((T270*AB270)*D4)</f>
        <v>-0.12273232518288039</v>
      </c>
      <c r="V270" s="3">
        <f>IF(P270&lt;=N270,(P270*Q270*1000),0)</f>
        <v>819150</v>
      </c>
      <c r="W270" s="3">
        <f>IF(P270&gt;=O270,(P270*Q270*1000),0)</f>
        <v>0</v>
      </c>
      <c r="X270">
        <v>2501</v>
      </c>
      <c r="Y270" s="3">
        <v>11595610590</v>
      </c>
      <c r="Z270" s="40">
        <f>((C4*AB270)/P270)/10</f>
        <v>0.038135651655217026</v>
      </c>
      <c r="AA270" s="40">
        <f>((M270*AB270)*C4)</f>
        <v>-0.05666576479448697</v>
      </c>
      <c r="AB270" s="40">
        <f>AE270/AE323</f>
        <v>0.00061941449808616041</v>
      </c>
      <c r="AC270" s="40">
        <f>AF270/AF323</f>
        <v>0.00061849150121585407</v>
      </c>
      <c r="AD270" s="3">
        <f>IF(ISNA(J270),(I270*Y270)/10,(J270*Y270)/10)</f>
        <v>22089638173.950001</v>
      </c>
      <c r="AE270" s="3">
        <f>IF(ISNA(P270),(I270*Y270)/10,(P270*Y270)/10)</f>
        <v>22089638173.950001</v>
      </c>
      <c r="AF270" s="3">
        <f>(I270*Y270)/10</f>
        <v>22263572332.799999</v>
      </c>
      <c r="AG270" t="s">
        <f>IF(AND(P270&lt;=N270,L270&lt;0),IF(Q270&lt;10,"DBL10",IF(Q270&gt;=200,"DBM200",IF(Q270&gt;=150,"DBM150",IF(Q270&gt;=100,"DBM100",IF(Q270&gt;=50,"DBM50","DBM10-50"))))),0)</f>
        <v>12</v>
      </c>
      <c r="AH270">
        <f>IF(AND(P270&gt;=O270,L270&lt;0),IF(Q270&lt;10,"DAL10",IF(Q270&gt;=200,"DAM200",IF(Q270&gt;=150,"DAM150",IF(Q270&gt;=100,"DAM100",IF(Q270&gt;=50,"DAM50","DAM10-50"))))),0)</f>
        <v>0</v>
      </c>
      <c r="AI270">
        <f>IF(AND(P270&gt;=O270,L270&gt;0),IF(Q270&lt;10,"UAL10",IF(Q270&gt;=200,"UAM200",IF(Q270&gt;=150,"UAM150",IF(Q270&gt;=100,"UAM100",IF(Q270&gt;=50,"UAM50","UAM10-50"))))),0)</f>
        <v>0</v>
      </c>
      <c r="AJ270">
        <f>IF(AND(P270&lt;=N270,L270&gt;0),IF(Q270&lt;10,"UBL10",IF(Q270&gt;=200,"UBM200",IF(Q270&gt;=150,"UBM150",IF(Q270&gt;=100,"UBM100",IF(Q270&gt;=50,"UBM50","UBM10-50"))))),0)</f>
        <v>0</v>
      </c>
      <c r="AK270" t="s">
        <f>IF(Q270&lt;10,"down",IF(Q270=10,10,IF(Q270&gt;10,"up")))</f>
        <v>6</v>
      </c>
    </row>
    <row r="271" spans="1:37">
      <c r="A271">
        <f>IF(X271=2204,2204,"Error")</f>
        <v>2204</v>
      </c>
      <c r="B271" t="s">
        <f>IF(K271&lt;39.299999999999997,"down",IF(K271=39.299999999999997,"low",IF(K271=39.700000000000003,"high",IF(AND(K271&gt;39.299999999999997,K271&lt;39.700000000000003),"normal","up"))))</f>
        <v>6</v>
      </c>
      <c r="C271" t="s">
        <f>IF(K271&lt;39.299999999999997,"down",IF(K271=39.299999999999997,"low",IF(K271=39.700000000000003,"high",IF(AND(K271&gt;39.299999999999997,K271&lt;39.700000000000003),"normal","up"))))</f>
        <v>6</v>
      </c>
      <c r="D271" t="s">
        <f>IF(K271&lt;39.299999999999997,"down",IF(K271=39.299999999999997,"low",IF(K271=39.700000000000003,"high",IF(AND(K271&gt;39.299999999999997,K271&lt;39.700000000000003),"normal","up"))))</f>
        <v>6</v>
      </c>
      <c r="E271" t="s">
        <f>IF(K271&lt;38.899999999999999,"down",IF(K271=38.899999999999999,"low",IF(K271=40.5,"high",IF(AND(K271&gt;38.899999999999999,K271&lt;40.5),"normal","up"))))</f>
        <v>79</v>
      </c>
      <c r="F271" t="s">
        <f>IF(P271&lt;39.450000000000003,"PVP-down",IF(P271=39.450000000000003,39.450000000000003,IF(P271&gt;39.450000000000003,"PVP-up")))</f>
        <v>83</v>
      </c>
      <c r="G271" t="s">
        <f>IF(R271&lt;216,"PVV-down",IF(R271=216,216,IF(R271&gt;216,"PVV-up")))</f>
        <v>81</v>
      </c>
      <c r="H271" s="40">
        <f>R271/(Y271/10000)</f>
        <v>0.0027997526145814929</v>
      </c>
      <c r="I271">
        <v>39.700000000000003</v>
      </c>
      <c r="J271">
        <v>40.700000000000003</v>
      </c>
      <c r="K271">
        <v>40.049999999999997</v>
      </c>
      <c r="L271">
        <v>1</v>
      </c>
      <c r="M271">
        <v>0.0252</v>
      </c>
      <c r="N271">
        <v>40.700000000000003</v>
      </c>
      <c r="O271">
        <v>40.799999999999997</v>
      </c>
      <c r="P271">
        <v>40.700000000000003</v>
      </c>
      <c r="Q271">
        <v>39</v>
      </c>
      <c r="R271">
        <v>1550</v>
      </c>
      <c r="S271">
        <v>776</v>
      </c>
      <c r="T271">
        <f>((P271-K271)/K271)</f>
        <v>0.016229712858926486</v>
      </c>
      <c r="U271">
        <f>((T271*AB271)*D4)</f>
        <v>0.13105311833766994</v>
      </c>
      <c r="V271" s="3">
        <f>IF(P271&lt;=N271,(P271*Q271*1000),0)</f>
        <v>1587300.0000000002</v>
      </c>
      <c r="W271" s="3">
        <f>IF(P271&gt;=O271,(P271*Q271*1000),0)</f>
        <v>0</v>
      </c>
      <c r="X271">
        <v>2204</v>
      </c>
      <c r="Y271" s="3">
        <v>5536203420</v>
      </c>
      <c r="Z271" s="40">
        <f>((C4*AB271)/P271)/10</f>
        <v>0.018207469410848949</v>
      </c>
      <c r="AA271" s="40">
        <f>((M271*AB271)*C4)</f>
        <v>0.18674308926543115</v>
      </c>
      <c r="AB271" s="40">
        <f>AE271/AE323</f>
        <v>0.0006318285010959131</v>
      </c>
      <c r="AC271" s="40">
        <f>AF271/AF323</f>
        <v>0.00061057839285447678</v>
      </c>
      <c r="AD271" s="3">
        <f>IF(ISNA(J271),(I271*Y271)/10,(J271*Y271)/10)</f>
        <v>22532347919.400002</v>
      </c>
      <c r="AE271" s="3">
        <f>IF(ISNA(P271),(I271*Y271)/10,(P271*Y271)/10)</f>
        <v>22532347919.400002</v>
      </c>
      <c r="AF271" s="3">
        <f>(I271*Y271)/10</f>
        <v>21978727577.400002</v>
      </c>
      <c r="AG271">
        <f>IF(AND(P271&lt;=N271,L271&lt;0),IF(Q271&lt;10,"DBL10",IF(Q271&gt;=200,"DBM200",IF(Q271&gt;=150,"DBM150",IF(Q271&gt;=100,"DBM100",IF(Q271&gt;=50,"DBM50","DBM10-50"))))),0)</f>
        <v>0</v>
      </c>
      <c r="AH271">
        <f>IF(AND(P271&gt;=O271,L271&lt;0),IF(Q271&lt;10,"DAL10",IF(Q271&gt;=200,"DAM200",IF(Q271&gt;=150,"DAM150",IF(Q271&gt;=100,"DAM100",IF(Q271&gt;=50,"DAM50","DAM10-50"))))),0)</f>
        <v>0</v>
      </c>
      <c r="AI271">
        <f>IF(AND(P271&gt;=O271,L271&gt;0),IF(Q271&lt;10,"UAL10",IF(Q271&gt;=200,"UAM200",IF(Q271&gt;=150,"UAM150",IF(Q271&gt;=100,"UAM100",IF(Q271&gt;=50,"UAM50","UAM10-50"))))),0)</f>
        <v>0</v>
      </c>
      <c r="AJ271" t="s">
        <f>IF(AND(P271&lt;=N271,L271&gt;0),IF(Q271&lt;10,"UBL10",IF(Q271&gt;=200,"UBM200",IF(Q271&gt;=150,"UBM150",IF(Q271&gt;=100,"UBM100",IF(Q271&gt;=50,"UBM50","UBM10-50"))))),0)</f>
        <v>17</v>
      </c>
      <c r="AK271" t="s">
        <f>IF(Q271&lt;4,"down",IF(Q271=4,4,IF(Q271&gt;4,"up")))</f>
        <v>6</v>
      </c>
    </row>
    <row r="272" spans="1:37">
      <c r="A272">
        <f>IF(X272=6670,6670,"Error")</f>
        <v>6670</v>
      </c>
      <c r="B272" t="s">
        <f>IF(K272&lt;162,"down",IF(K272=162,"low",IF(K272=163.5,"high",IF(AND(K272&gt;162,K272&lt;163.5),"normal","up"))))</f>
        <v>6</v>
      </c>
      <c r="C272" t="s">
        <f>IF(K272&lt;162,"down",IF(K272=162,"low",IF(K272=163.5,"high",IF(AND(K272&gt;162,K272&lt;163.5),"normal","up"))))</f>
        <v>6</v>
      </c>
      <c r="D272" t="s">
        <f>IF(K272&lt;162,"down",IF(K272=162,"low",IF(K272=163.5,"high",IF(AND(K272&gt;162,K272&lt;163.5),"normal","up"))))</f>
        <v>6</v>
      </c>
      <c r="E272" t="s">
        <f>IF(K272&lt;161.5,"down",IF(K272=161.5,"low",IF(K272=165,"high",IF(AND(K272&gt;161.5,K272&lt;165),"normal","up"))))</f>
        <v>79</v>
      </c>
      <c r="F272" t="s">
        <f>IF(P272&lt;162.5,"PVP-down",IF(P272=162.5,162.5,IF(P272&gt;162.5,"PVP-up")))</f>
        <v>83</v>
      </c>
      <c r="G272" t="s">
        <f>IF(R272&lt;81,"PVV-down",IF(R272=81,81,IF(R272&gt;81,"PVV-up")))</f>
        <v>81</v>
      </c>
      <c r="H272" s="40">
        <f>R272/(Y272/10000)</f>
        <v>0.0022056017705868883</v>
      </c>
      <c r="I272">
        <v>162</v>
      </c>
      <c r="J272">
        <v>164.5</v>
      </c>
      <c r="K272">
        <v>164</v>
      </c>
      <c r="L272">
        <v>2.5</v>
      </c>
      <c r="M272">
        <v>0.0154</v>
      </c>
      <c r="N272">
        <v>164.5</v>
      </c>
      <c r="O272">
        <v>165.5</v>
      </c>
      <c r="P272">
        <v>164.5</v>
      </c>
      <c r="Q272">
        <v>12</v>
      </c>
      <c r="R272">
        <v>289</v>
      </c>
      <c r="S272">
        <v>193</v>
      </c>
      <c r="T272">
        <f>((P272-K272)/K272)</f>
        <v>0.0030487804878048782</v>
      </c>
      <c r="U272">
        <f>((T272*AB272)*D4)</f>
        <v>0.02355010642437751</v>
      </c>
      <c r="V272" s="3">
        <f>IF(P272&lt;=N272,(P272*Q272*1000),0)</f>
        <v>1974000</v>
      </c>
      <c r="W272" s="3">
        <f>IF(P272&gt;=O272,(P272*Q272*1000),0)</f>
        <v>0</v>
      </c>
      <c r="X272">
        <v>6670</v>
      </c>
      <c r="Y272" s="3">
        <v>1310300000</v>
      </c>
      <c r="Z272" s="40">
        <f>((C4*AB272)/P272)/10</f>
        <v>0.0043093154927886261</v>
      </c>
      <c r="AA272" s="40">
        <f>((M272*AB272)*C4)</f>
        <v>0.10916788937881426</v>
      </c>
      <c r="AB272" s="40">
        <f>AE272/AE323</f>
        <v>0.0006044068912274248</v>
      </c>
      <c r="AC272" s="40">
        <f>AF272/AF323</f>
        <v>0.00058969119201759425</v>
      </c>
      <c r="AD272" s="3">
        <f>IF(ISNA(J272),(I272*Y272)/10,(J272*Y272)/10)</f>
        <v>21554435000</v>
      </c>
      <c r="AE272" s="3">
        <f>IF(ISNA(P272),(I272*Y272)/10,(P272*Y272)/10)</f>
        <v>21554435000</v>
      </c>
      <c r="AF272" s="3">
        <f>(I272*Y272)/10</f>
        <v>21226860000</v>
      </c>
      <c r="AG272">
        <f>IF(AND(P272&lt;=N272,L272&lt;0),IF(Q272&lt;10,"DBL10",IF(Q272&gt;=200,"DBM200",IF(Q272&gt;=150,"DBM150",IF(Q272&gt;=100,"DBM100",IF(Q272&gt;=50,"DBM50","DBM10-50"))))),0)</f>
        <v>0</v>
      </c>
      <c r="AH272">
        <f>IF(AND(P272&gt;=O272,L272&lt;0),IF(Q272&lt;10,"DAL10",IF(Q272&gt;=200,"DAM200",IF(Q272&gt;=150,"DAM150",IF(Q272&gt;=100,"DAM100",IF(Q272&gt;=50,"DAM50","DAM10-50"))))),0)</f>
        <v>0</v>
      </c>
      <c r="AI272">
        <f>IF(AND(P272&gt;=O272,L272&gt;0),IF(Q272&lt;10,"UAL10",IF(Q272&gt;=200,"UAM200",IF(Q272&gt;=150,"UAM150",IF(Q272&gt;=100,"UAM100",IF(Q272&gt;=50,"UAM50","UAM10-50"))))),0)</f>
        <v>0</v>
      </c>
      <c r="AJ272" t="s">
        <f>IF(AND(P272&lt;=N272,L272&gt;0),IF(Q272&lt;10,"UBL10",IF(Q272&gt;=200,"UBM200",IF(Q272&gt;=150,"UBM150",IF(Q272&gt;=100,"UBM100",IF(Q272&gt;=50,"UBM50","UBM10-50"))))),0)</f>
        <v>17</v>
      </c>
      <c r="AK272" t="s">
        <f>IF(Q272&lt;0,"down",IF(Q272=0,0,IF(Q272&gt;0,"up")))</f>
        <v>6</v>
      </c>
    </row>
    <row r="273" spans="1:37">
      <c r="A273">
        <f>IF(X273=9940,9940,"Error")</f>
        <v>9940</v>
      </c>
      <c r="B273" t="s">
        <f>IF(K273&lt;29.600000000000001,"down",IF(K273=29.600000000000001,"low",IF(K273=30.25,"high",IF(AND(K273&gt;29.600000000000001,K273&lt;30.25),"normal","up"))))</f>
        <v>6</v>
      </c>
      <c r="C273" t="s">
        <f>IF(K273&lt;29.600000000000001,"down",IF(K273=29.600000000000001,"low",IF(K273=30.25,"high",IF(AND(K273&gt;29.600000000000001,K273&lt;30.25),"normal","up"))))</f>
        <v>6</v>
      </c>
      <c r="D273" t="s">
        <f>IF(K273&lt;29.600000000000001,"down",IF(K273=29.600000000000001,"low",IF(K273=30.25,"high",IF(AND(K273&gt;29.600000000000001,K273&lt;30.25),"normal","up"))))</f>
        <v>6</v>
      </c>
      <c r="E273" t="s">
        <f>IF(K273&lt;28.449999999999999,"down",IF(K273=28.449999999999999,"low",IF(K273=30.25,"high",IF(AND(K273&gt;28.449999999999999,K273&lt;30.25),"normal","up"))))</f>
        <v>6</v>
      </c>
      <c r="F273" t="s">
        <f>IF(P273&lt;30.199999999999999,"PVP-down",IF(P273=30.199999999999999,30.199999999999999,IF(P273&gt;30.199999999999999,"PVP-up")))</f>
        <v>80</v>
      </c>
      <c r="G273" t="s">
        <f>IF(R273&lt;111,"PVV-down",IF(R273=111,111,IF(R273&gt;111,"PVV-up")))</f>
        <v>81</v>
      </c>
      <c r="H273" s="40">
        <f>R273/(Y273/10000)</f>
        <v>0.00080342377957960036</v>
      </c>
      <c r="I273">
        <v>30.050000000000001</v>
      </c>
      <c r="J273">
        <v>30.100000000000001</v>
      </c>
      <c r="K273">
        <v>30.300000000000001</v>
      </c>
      <c r="L273">
        <v>0.050000000000000003</v>
      </c>
      <c r="M273">
        <v>0.0016999999999999999</v>
      </c>
      <c r="N273">
        <v>30.050000000000001</v>
      </c>
      <c r="O273">
        <v>30.149999999999999</v>
      </c>
      <c r="P273">
        <v>30.100000000000001</v>
      </c>
      <c r="Q273">
        <v>16</v>
      </c>
      <c r="R273">
        <v>592</v>
      </c>
      <c r="S273">
        <v>668</v>
      </c>
      <c r="T273">
        <f>((P273-K273)/K273)</f>
        <v>-0.0066006600660065773</v>
      </c>
      <c r="U273">
        <f>((T273*AB273)*D4)</f>
        <v>-0.052463947194920334</v>
      </c>
      <c r="V273" s="3">
        <f>IF(P273&lt;=N273,(P273*Q273*1000),0)</f>
        <v>0</v>
      </c>
      <c r="W273" s="3">
        <f>IF(P273&gt;=O273,(P273*Q273*1000),0)</f>
        <v>0</v>
      </c>
      <c r="X273">
        <v>9940</v>
      </c>
      <c r="Y273" s="3">
        <v>7368465000</v>
      </c>
      <c r="Z273" s="40">
        <f>((C4*AB273)/P273)/10</f>
        <v>0.024233412487652255</v>
      </c>
      <c r="AA273" s="40">
        <f>((M273*AB273)*C4)</f>
        <v>0.012400237169931659</v>
      </c>
      <c r="AB273" s="40">
        <f>AE273/AE323</f>
        <v>0.00062192252228100351</v>
      </c>
      <c r="AC273" s="40">
        <f>AF273/AF323</f>
        <v>0.00061512076313292299</v>
      </c>
      <c r="AD273" s="3">
        <f>IF(ISNA(J273),(I273*Y273)/10,(J273*Y273)/10)</f>
        <v>22179079650</v>
      </c>
      <c r="AE273" s="3">
        <f>IF(ISNA(P273),(I273*Y273)/10,(P273*Y273)/10)</f>
        <v>22179079650</v>
      </c>
      <c r="AF273" s="3">
        <f>(I273*Y273)/10</f>
        <v>22142237325</v>
      </c>
      <c r="AG273">
        <f>IF(AND(P273&lt;=N273,L273&lt;0),IF(Q273&lt;10,"DBL10",IF(Q273&gt;=200,"DBM200",IF(Q273&gt;=150,"DBM150",IF(Q273&gt;=100,"DBM100",IF(Q273&gt;=50,"DBM50","DBM10-50"))))),0)</f>
        <v>0</v>
      </c>
      <c r="AH273">
        <f>IF(AND(P273&gt;=O273,L273&lt;0),IF(Q273&lt;10,"DAL10",IF(Q273&gt;=200,"DAM200",IF(Q273&gt;=150,"DAM150",IF(Q273&gt;=100,"DAM100",IF(Q273&gt;=50,"DAM50","DAM10-50"))))),0)</f>
        <v>0</v>
      </c>
      <c r="AI273">
        <f>IF(AND(P273&gt;=O273,L273&gt;0),IF(Q273&lt;10,"UAL10",IF(Q273&gt;=200,"UAM200",IF(Q273&gt;=150,"UAM150",IF(Q273&gt;=100,"UAM100",IF(Q273&gt;=50,"UAM50","UAM10-50"))))),0)</f>
        <v>0</v>
      </c>
      <c r="AJ273">
        <f>IF(AND(P273&lt;=N273,L273&gt;0),IF(Q273&lt;10,"UBL10",IF(Q273&gt;=200,"UBM200",IF(Q273&gt;=150,"UBM150",IF(Q273&gt;=100,"UBM100",IF(Q273&gt;=50,"UBM50","UBM10-50"))))),0)</f>
        <v>0</v>
      </c>
      <c r="AK273" t="s">
        <f>IF(Q273&lt;5,"down",IF(Q273=5,5,IF(Q273&gt;5,"up")))</f>
        <v>6</v>
      </c>
    </row>
    <row r="274" spans="1:37">
      <c r="A274">
        <f>IF(X274=1808,1808,"Error")</f>
        <v>1808</v>
      </c>
      <c r="B274" t="s">
        <f>IF(K274&lt;67.099999999999994,"down",IF(K274=67.099999999999994,"low",IF(K274=67.599999999999994,"high",IF(AND(K274&gt;67.099999999999994,K274&lt;67.599999999999994),"normal","up"))))</f>
        <v>84</v>
      </c>
      <c r="C274" t="s">
        <f>IF(K274&lt;67.099999999999994,"down",IF(K274=67.099999999999994,"low",IF(K274=67.599999999999994,"high",IF(AND(K274&gt;67.099999999999994,K274&lt;67.599999999999994),"normal","up"))))</f>
        <v>84</v>
      </c>
      <c r="D274" t="s">
        <f>IF(K274&lt;67.099999999999994,"down",IF(K274=67.099999999999994,"low",IF(K274=67.599999999999994,"high",IF(AND(K274&gt;67.099999999999994,K274&lt;67.599999999999994),"normal","up"))))</f>
        <v>84</v>
      </c>
      <c r="E274" t="s">
        <f>IF(K274&lt;67.099999999999994,"down",IF(K274=67.099999999999994,"low",IF(K274=68.700000000000003,"high",IF(AND(K274&gt;67.099999999999994,K274&lt;68.700000000000003),"normal","up"))))</f>
        <v>79</v>
      </c>
      <c r="F274" t="s">
        <f>IF(P274&lt;67.400000000000006,"PVP-down",IF(P274=67.400000000000006,67.400000000000006,IF(P274&gt;67.400000000000006,"PVP-up")))</f>
        <v>83</v>
      </c>
      <c r="G274" t="s">
        <f>IF(R274&lt;48,"PVV-down",IF(R274=48,48,IF(R274&gt;48,"PVV-up")))</f>
        <v>81</v>
      </c>
      <c r="H274" s="40">
        <f>R274/(Y274/10000)</f>
        <v>0.00060649199867917063</v>
      </c>
      <c r="I274">
        <v>67.400000000000006</v>
      </c>
      <c r="J274">
        <v>67.700000000000003</v>
      </c>
      <c r="K274">
        <v>67.599999999999994</v>
      </c>
      <c r="L274">
        <v>0.29999999999999999</v>
      </c>
      <c r="M274">
        <v>0.0044999999999999997</v>
      </c>
      <c r="N274">
        <v>67.700000000000003</v>
      </c>
      <c r="O274">
        <v>67.799999999999997</v>
      </c>
      <c r="P274">
        <v>67.700000000000003</v>
      </c>
      <c r="Q274">
        <v>6</v>
      </c>
      <c r="R274">
        <v>187</v>
      </c>
      <c r="S274">
        <v>127</v>
      </c>
      <c r="T274">
        <f>((P274-K274)/K274)</f>
        <v>0.0014792899408285285</v>
      </c>
      <c r="U274">
        <f>((T274*AB274)*D4)</f>
        <v>0.011065946801993699</v>
      </c>
      <c r="V274" s="3">
        <f>IF(P274&lt;=N274,(P274*Q274*1000),0)</f>
        <v>406200.00000000006</v>
      </c>
      <c r="W274" s="3">
        <f>IF(P274&gt;=O274,(P274*Q274*1000),0)</f>
        <v>0</v>
      </c>
      <c r="X274">
        <v>1808</v>
      </c>
      <c r="Y274" s="3">
        <v>3083305310</v>
      </c>
      <c r="Z274" s="40">
        <f>((C4*AB274)/P274)/10</f>
        <v>0.010140376510249896</v>
      </c>
      <c r="AA274" s="40">
        <f>((M274*AB274)*C4)</f>
        <v>0.030892657038476309</v>
      </c>
      <c r="AB274" s="40">
        <f>AE274/AE323</f>
        <v>0.00058532619923077061</v>
      </c>
      <c r="AC274" s="40">
        <f>AF274/AF323</f>
        <v>0.00057731828492383925</v>
      </c>
      <c r="AD274" s="3">
        <f>IF(ISNA(J274),(I274*Y274)/10,(J274*Y274)/10)</f>
        <v>20873976948.700001</v>
      </c>
      <c r="AE274" s="3">
        <f>IF(ISNA(P274),(I274*Y274)/10,(P274*Y274)/10)</f>
        <v>20873976948.700001</v>
      </c>
      <c r="AF274" s="3">
        <f>(I274*Y274)/10</f>
        <v>20781477789.400002</v>
      </c>
      <c r="AG274">
        <f>IF(AND(P274&lt;=N274,L274&lt;0),IF(Q274&lt;10,"DBL10",IF(Q274&gt;=200,"DBM200",IF(Q274&gt;=150,"DBM150",IF(Q274&gt;=100,"DBM100",IF(Q274&gt;=50,"DBM50","DBM10-50"))))),0)</f>
        <v>0</v>
      </c>
      <c r="AH274">
        <f>IF(AND(P274&gt;=O274,L274&lt;0),IF(Q274&lt;10,"DAL10",IF(Q274&gt;=200,"DAM200",IF(Q274&gt;=150,"DAM150",IF(Q274&gt;=100,"DAM100",IF(Q274&gt;=50,"DAM50","DAM10-50"))))),0)</f>
        <v>0</v>
      </c>
      <c r="AI274">
        <f>IF(AND(P274&gt;=O274,L274&gt;0),IF(Q274&lt;10,"UAL10",IF(Q274&gt;=200,"UAM200",IF(Q274&gt;=150,"UAM150",IF(Q274&gt;=100,"UAM100",IF(Q274&gt;=50,"UAM50","UAM10-50"))))),0)</f>
        <v>0</v>
      </c>
      <c r="AJ274" t="s">
        <f>IF(AND(P274&lt;=N274,L274&gt;0),IF(Q274&lt;10,"UBL10",IF(Q274&gt;=200,"UBM200",IF(Q274&gt;=150,"UBM150",IF(Q274&gt;=100,"UBM100",IF(Q274&gt;=50,"UBM50","UBM10-50"))))),0)</f>
        <v>86</v>
      </c>
      <c r="AK274" t="s">
        <f>IF(Q274&lt;2,"down",IF(Q274=2,2,IF(Q274&gt;2,"up")))</f>
        <v>6</v>
      </c>
    </row>
    <row r="275" spans="1:37">
      <c r="A275">
        <f>IF(X275=1736,1736,"Error")</f>
        <v>1736</v>
      </c>
      <c r="B275" t="s">
        <f>IF(K275&lt;67,"down",IF(K275=67,"low",IF(K275=68.799999999999997,"high",IF(AND(K275&gt;67,K275&lt;68.799999999999997),"normal","up"))))</f>
        <v>79</v>
      </c>
      <c r="C275" t="s">
        <f>IF(K275&lt;67,"down",IF(K275=67,"low",IF(K275=68.799999999999997,"high",IF(AND(K275&gt;67,K275&lt;68.799999999999997),"normal","up"))))</f>
        <v>79</v>
      </c>
      <c r="D275" t="s">
        <f>IF(K275&lt;67,"down",IF(K275=67,"low",IF(K275=68.799999999999997,"high",IF(AND(K275&gt;67,K275&lt;68.799999999999997),"normal","up"))))</f>
        <v>79</v>
      </c>
      <c r="E275" t="s">
        <f>IF(K275&lt;66.099999999999994,"down",IF(K275=66.099999999999994,"low",IF(K275=70,"high",IF(AND(K275&gt;66.099999999999994,K275&lt;70),"normal","up"))))</f>
        <v>79</v>
      </c>
      <c r="F275" t="s">
        <f>IF(P275&lt;67.299999999999997,"PVP-down",IF(P275=67.299999999999997,67.299999999999997,IF(P275&gt;67.299999999999997,"PVP-up")))</f>
        <v>80</v>
      </c>
      <c r="G275" t="s">
        <f>IF(R275&lt;101,"PVV-down",IF(R275=101,101,IF(R275&gt;101,"PVV-up")))</f>
        <v>81</v>
      </c>
      <c r="H275" s="40">
        <f>R275/(Y275/10000)</f>
        <v>0.0048548067446519232</v>
      </c>
      <c r="I275">
        <v>67.299999999999997</v>
      </c>
      <c r="J275">
        <v>65.299999999999997</v>
      </c>
      <c r="K275">
        <v>68.700000000000003</v>
      </c>
      <c r="L275">
        <v>-2</v>
      </c>
      <c r="M275">
        <v>-0.029700000000000001</v>
      </c>
      <c r="N275">
        <v>65.299999999999997</v>
      </c>
      <c r="O275">
        <v>65.400000000000006</v>
      </c>
      <c r="P275">
        <v>65.299999999999997</v>
      </c>
      <c r="Q275">
        <v>90</v>
      </c>
      <c r="R275">
        <v>1474</v>
      </c>
      <c r="S275">
        <v>791</v>
      </c>
      <c r="T275">
        <f>((P275-K275)/K275)</f>
        <v>-0.049490538573508089</v>
      </c>
      <c r="U275">
        <f>((T275*AB275)*D4)</f>
        <v>-0.35163409039300747</v>
      </c>
      <c r="V275" s="3">
        <f>IF(P275&lt;=N275,(P275*Q275*1000),0)</f>
        <v>5877000</v>
      </c>
      <c r="W275" s="3">
        <f>IF(P275&gt;=O275,(P275*Q275*1000),0)</f>
        <v>0</v>
      </c>
      <c r="X275">
        <v>1736</v>
      </c>
      <c r="Y275" s="3">
        <v>3036166170</v>
      </c>
      <c r="Z275" s="40">
        <f>((C4*AB275)/P275)/10</f>
        <v>0.0099853452759381088</v>
      </c>
      <c r="AA275" s="40">
        <f>((M275*AB275)*C4)</f>
        <v>-0.19365678481607129</v>
      </c>
      <c r="AB275" s="40">
        <f>AE275/AE323</f>
        <v>0.00055594455651790625</v>
      </c>
      <c r="AC275" s="40">
        <f>AF275/AF323</f>
        <v>0.00056764848944727776</v>
      </c>
      <c r="AD275" s="3">
        <f>IF(ISNA(J275),(I275*Y275)/10,(J275*Y275)/10)</f>
        <v>19826165090.099998</v>
      </c>
      <c r="AE275" s="3">
        <f>IF(ISNA(P275),(I275*Y275)/10,(P275*Y275)/10)</f>
        <v>19826165090.099998</v>
      </c>
      <c r="AF275" s="3">
        <f>(I275*Y275)/10</f>
        <v>20433398324.099998</v>
      </c>
      <c r="AG275" t="s">
        <f>IF(AND(P275&lt;=N275,L275&lt;0),IF(Q275&lt;10,"DBL10",IF(Q275&gt;=200,"DBM200",IF(Q275&gt;=150,"DBM150",IF(Q275&gt;=100,"DBM100",IF(Q275&gt;=50,"DBM50","DBM10-50"))))),0)</f>
        <v>13</v>
      </c>
      <c r="AH275">
        <f>IF(AND(P275&gt;=O275,L275&lt;0),IF(Q275&lt;10,"DAL10",IF(Q275&gt;=200,"DAM200",IF(Q275&gt;=150,"DAM150",IF(Q275&gt;=100,"DAM100",IF(Q275&gt;=50,"DAM50","DAM10-50"))))),0)</f>
        <v>0</v>
      </c>
      <c r="AI275">
        <f>IF(AND(P275&gt;=O275,L275&gt;0),IF(Q275&lt;10,"UAL10",IF(Q275&gt;=200,"UAM200",IF(Q275&gt;=150,"UAM150",IF(Q275&gt;=100,"UAM100",IF(Q275&gt;=50,"UAM50","UAM10-50"))))),0)</f>
        <v>0</v>
      </c>
      <c r="AJ275">
        <f>IF(AND(P275&lt;=N275,L275&gt;0),IF(Q275&lt;10,"UBL10",IF(Q275&gt;=200,"UBM200",IF(Q275&gt;=150,"UBM150",IF(Q275&gt;=100,"UBM100",IF(Q275&gt;=50,"UBM50","UBM10-50"))))),0)</f>
        <v>0</v>
      </c>
      <c r="AK275" t="s">
        <f>IF(Q275&lt;31,"down",IF(Q275=31,31,IF(Q275&gt;31,"up")))</f>
        <v>6</v>
      </c>
    </row>
    <row r="276" spans="1:37">
      <c r="A276">
        <f>IF(X276=1319,1319,"Error")</f>
        <v>1319</v>
      </c>
      <c r="B276" t="s">
        <f>IF(K276&lt;37,"down",IF(K276=37,"low",IF(K276=37.600000000000001,"high",IF(AND(K276&gt;37,K276&lt;37.600000000000001),"normal","up"))))</f>
        <v>79</v>
      </c>
      <c r="C276" t="s">
        <f>IF(K276&lt;37,"down",IF(K276=37,"low",IF(K276=37.600000000000001,"high",IF(AND(K276&gt;37,K276&lt;37.600000000000001),"normal","up"))))</f>
        <v>79</v>
      </c>
      <c r="D276" t="s">
        <f>IF(K276&lt;37,"down",IF(K276=37,"low",IF(K276=37.600000000000001,"high",IF(AND(K276&gt;37,K276&lt;37.600000000000001),"normal","up"))))</f>
        <v>79</v>
      </c>
      <c r="E276" t="s">
        <f>IF(K276&lt;33.950000000000003,"down",IF(K276=33.950000000000003,"low",IF(K276=37.649999999999999,"high",IF(AND(K276&gt;33.950000000000003,K276&lt;37.649999999999999),"normal","up"))))</f>
        <v>79</v>
      </c>
      <c r="F276" t="s">
        <f>IF(P276&lt;37.399999999999999,"PVP-down",IF(P276=37.399999999999999,37.399999999999999,IF(P276&gt;37.399999999999999,"PVP-up")))</f>
        <v>83</v>
      </c>
      <c r="G276" t="s">
        <f>IF(R276&lt;125,"PVV-down",IF(R276=125,125,IF(R276&gt;125,"PVV-up")))</f>
        <v>81</v>
      </c>
      <c r="H276" s="40">
        <f>R276/(Y276/10000)</f>
        <v>0.0021488576121771134</v>
      </c>
      <c r="I276">
        <v>37.549999999999997</v>
      </c>
      <c r="J276">
        <v>37.700000000000003</v>
      </c>
      <c r="K276">
        <v>37.549999999999997</v>
      </c>
      <c r="L276">
        <v>0.14999999999999999</v>
      </c>
      <c r="M276">
        <v>0.0040000000000000001</v>
      </c>
      <c r="N276">
        <v>37.649999999999999</v>
      </c>
      <c r="O276">
        <v>37.700000000000003</v>
      </c>
      <c r="P276">
        <v>37.700000000000003</v>
      </c>
      <c r="Q276">
        <v>26</v>
      </c>
      <c r="R276">
        <v>1271</v>
      </c>
      <c r="S276">
        <v>713</v>
      </c>
      <c r="T276">
        <f>((P276-K276)/K276)</f>
        <v>0.0039946737683090733</v>
      </c>
      <c r="U276">
        <f>((T276*AB276)*D4)</f>
        <v>0.031922041199518213</v>
      </c>
      <c r="V276" s="3">
        <f>IF(P276&lt;=N276,(P276*Q276*1000),0)</f>
        <v>0</v>
      </c>
      <c r="W276" s="3">
        <f>IF(P276&gt;=O276,(P276*Q276*1000),0)</f>
        <v>980200</v>
      </c>
      <c r="X276">
        <v>1319</v>
      </c>
      <c r="Y276" s="3">
        <v>5914770680</v>
      </c>
      <c r="Z276" s="40">
        <f>((C4*AB276)/P276)/10</f>
        <v>0.019452501661921636</v>
      </c>
      <c r="AA276" s="40">
        <f>((M276*AB276)*C4)</f>
        <v>0.029334372506177826</v>
      </c>
      <c r="AB276" s="40">
        <f>AE276/AE323</f>
        <v>0.00062527638323679768</v>
      </c>
      <c r="AC276" s="40">
        <f>AF276/AF323</f>
        <v>0.00061700223626403932</v>
      </c>
      <c r="AD276" s="3">
        <f>IF(ISNA(J276),(I276*Y276)/10,(J276*Y276)/10)</f>
        <v>22298685463.600002</v>
      </c>
      <c r="AE276" s="3">
        <f>IF(ISNA(P276),(I276*Y276)/10,(P276*Y276)/10)</f>
        <v>22298685463.600002</v>
      </c>
      <c r="AF276" s="3">
        <f>(I276*Y276)/10</f>
        <v>22209963903.399998</v>
      </c>
      <c r="AG276">
        <f>IF(AND(P276&lt;=N276,L276&lt;0),IF(Q276&lt;10,"DBL10",IF(Q276&gt;=200,"DBM200",IF(Q276&gt;=150,"DBM150",IF(Q276&gt;=100,"DBM100",IF(Q276&gt;=50,"DBM50","DBM10-50"))))),0)</f>
        <v>0</v>
      </c>
      <c r="AH276">
        <f>IF(AND(P276&gt;=O276,L276&lt;0),IF(Q276&lt;10,"DAL10",IF(Q276&gt;=200,"DAM200",IF(Q276&gt;=150,"DAM150",IF(Q276&gt;=100,"DAM100",IF(Q276&gt;=50,"DAM50","DAM10-50"))))),0)</f>
        <v>0</v>
      </c>
      <c r="AI276" t="s">
        <f>IF(AND(P276&gt;=O276,L276&gt;0),IF(Q276&lt;10,"UAL10",IF(Q276&gt;=200,"UAM200",IF(Q276&gt;=150,"UAM150",IF(Q276&gt;=100,"UAM100",IF(Q276&gt;=50,"UAM50","UAM10-50"))))),0)</f>
        <v>27</v>
      </c>
      <c r="AJ276">
        <f>IF(AND(P276&lt;=N276,L276&gt;0),IF(Q276&lt;10,"UBL10",IF(Q276&gt;=200,"UBM200",IF(Q276&gt;=150,"UBM150",IF(Q276&gt;=100,"UBM100",IF(Q276&gt;=50,"UBM50","UBM10-50"))))),0)</f>
        <v>0</v>
      </c>
      <c r="AK276" t="s">
        <f>IF(Q276&lt;3,"down",IF(Q276=3,3,IF(Q276&gt;3,"up")))</f>
        <v>6</v>
      </c>
    </row>
    <row r="277" spans="1:37">
      <c r="A277">
        <f>IF(X277=1773,1773,"Error")</f>
        <v>1773</v>
      </c>
      <c r="B277" t="s">
        <f>IF(K277&lt;105,"down",IF(K277=105,"low",IF(K277=107.5,"high",IF(AND(K277&gt;105,K277&lt;107.5),"normal","up"))))</f>
        <v>79</v>
      </c>
      <c r="C277" t="s">
        <f>IF(K277&lt;105,"down",IF(K277=105,"low",IF(K277=107.5,"high",IF(AND(K277&gt;105,K277&lt;107.5),"normal","up"))))</f>
        <v>79</v>
      </c>
      <c r="D277" t="s">
        <f>IF(K277&lt;105,"down",IF(K277=105,"low",IF(K277=107.5,"high",IF(AND(K277&gt;105,K277&lt;107.5),"normal","up"))))</f>
        <v>79</v>
      </c>
      <c r="E277" t="s">
        <f>IF(K277&lt;105,"down",IF(K277=105,"low",IF(K277=113.5,"high",IF(AND(K277&gt;105,K277&lt;113.5),"normal","up"))))</f>
        <v>79</v>
      </c>
      <c r="F277" t="s">
        <f>IF(P277&lt;106,"PVP-down",IF(P277=106,106,IF(P277&gt;106,"PVP-up")))</f>
        <v>83</v>
      </c>
      <c r="G277" t="s">
        <f>IF(R277&lt;117,"PVV-down",IF(R277=117,117,IF(R277&gt;117,"PVV-up")))</f>
        <v>81</v>
      </c>
      <c r="H277" s="40">
        <f>R277/(Y277/10000)</f>
        <v>0.0010666666666666667</v>
      </c>
      <c r="I277">
        <v>105.5</v>
      </c>
      <c r="J277">
        <v>106.5</v>
      </c>
      <c r="K277">
        <v>105.5</v>
      </c>
      <c r="L277">
        <v>1</v>
      </c>
      <c r="M277">
        <v>0.0094999999999999998</v>
      </c>
      <c r="N277">
        <v>106</v>
      </c>
      <c r="O277">
        <v>106.5</v>
      </c>
      <c r="P277">
        <v>106.5</v>
      </c>
      <c r="Q277">
        <v>9</v>
      </c>
      <c r="R277">
        <v>192</v>
      </c>
      <c r="S277">
        <v>351</v>
      </c>
      <c r="T277">
        <f>((P277-K277)/K277)</f>
        <v>0.0094786729857819912</v>
      </c>
      <c r="U277">
        <f>((T277*AB277)*D4)</f>
        <v>0.065117801229426633</v>
      </c>
      <c r="V277" s="3">
        <f>IF(P277&lt;=N277,(P277*Q277*1000),0)</f>
        <v>0</v>
      </c>
      <c r="W277" s="3">
        <f>IF(P277&gt;=O277,(P277*Q277*1000),0)</f>
        <v>958500</v>
      </c>
      <c r="X277">
        <v>1773</v>
      </c>
      <c r="Y277" s="3">
        <v>1800000000</v>
      </c>
      <c r="Z277" s="40">
        <f>((C4*AB277)/P277)/10</f>
        <v>0.0059198411715023491</v>
      </c>
      <c r="AA277" s="40">
        <f>((M277*AB277)*C4)</f>
        <v>0.059893993052675017</v>
      </c>
      <c r="AB277" s="40">
        <f>AE277/AE323</f>
        <v>0.00053754506229598386</v>
      </c>
      <c r="AC277" s="40">
        <f>AF277/AF323</f>
        <v>0.00052755027057294936</v>
      </c>
      <c r="AD277" s="3">
        <f>IF(ISNA(J277),(I277*Y277)/10,(J277*Y277)/10)</f>
        <v>19170000000</v>
      </c>
      <c r="AE277" s="3">
        <f>IF(ISNA(P277),(I277*Y277)/10,(P277*Y277)/10)</f>
        <v>19170000000</v>
      </c>
      <c r="AF277" s="3">
        <f>(I277*Y277)/10</f>
        <v>18990000000</v>
      </c>
      <c r="AG277">
        <f>IF(AND(P277&lt;=N277,L277&lt;0),IF(Q277&lt;10,"DBL10",IF(Q277&gt;=200,"DBM200",IF(Q277&gt;=150,"DBM150",IF(Q277&gt;=100,"DBM100",IF(Q277&gt;=50,"DBM50","DBM10-50"))))),0)</f>
        <v>0</v>
      </c>
      <c r="AH277">
        <f>IF(AND(P277&gt;=O277,L277&lt;0),IF(Q277&lt;10,"DAL10",IF(Q277&gt;=200,"DAM200",IF(Q277&gt;=150,"DAM150",IF(Q277&gt;=100,"DAM100",IF(Q277&gt;=50,"DAM50","DAM10-50"))))),0)</f>
        <v>0</v>
      </c>
      <c r="AI277" t="s">
        <f>IF(AND(P277&gt;=O277,L277&gt;0),IF(Q277&lt;10,"UAL10",IF(Q277&gt;=200,"UAM200",IF(Q277&gt;=150,"UAM150",IF(Q277&gt;=100,"UAM100",IF(Q277&gt;=50,"UAM50","UAM10-50"))))),0)</f>
        <v>89</v>
      </c>
      <c r="AJ277">
        <f>IF(AND(P277&lt;=N277,L277&gt;0),IF(Q277&lt;10,"UBL10",IF(Q277&gt;=200,"UBM200",IF(Q277&gt;=150,"UBM150",IF(Q277&gt;=100,"UBM100",IF(Q277&gt;=50,"UBM50","UBM10-50"))))),0)</f>
        <v>0</v>
      </c>
      <c r="AK277" t="s">
        <f>IF(Q277&lt;2,"down",IF(Q277=2,2,IF(Q277&gt;2,"up")))</f>
        <v>6</v>
      </c>
    </row>
    <row r="278" spans="1:37">
      <c r="A278">
        <f>IF(X278=2505,2505,"Error")</f>
        <v>2505</v>
      </c>
      <c r="B278" t="s">
        <f>IF(K278&lt;31.300000000000001,"down",IF(K278=31.300000000000001,"low",IF(K278=32.5,"high",IF(AND(K278&gt;31.300000000000001,K278&lt;32.5),"normal","up"))))</f>
        <v>79</v>
      </c>
      <c r="C278" t="s">
        <f>IF(K278&lt;31.300000000000001,"down",IF(K278=31.300000000000001,"low",IF(K278=32.5,"high",IF(AND(K278&gt;31.300000000000001,K278&lt;32.5),"normal","up"))))</f>
        <v>79</v>
      </c>
      <c r="D278" t="s">
        <f>IF(K278&lt;31.300000000000001,"down",IF(K278=31.300000000000001,"low",IF(K278=32.5,"high",IF(AND(K278&gt;31.300000000000001,K278&lt;32.5),"normal","up"))))</f>
        <v>79</v>
      </c>
      <c r="E278" t="s">
        <f>IF(K278&lt;27.5,"down",IF(K278=27.5,"low",IF(K278=32.799999999999997,"high",IF(AND(K278&gt;27.5,K278&lt;32.799999999999997),"normal","up"))))</f>
        <v>79</v>
      </c>
      <c r="F278" t="s">
        <f>IF(P278&lt;31.5,"PVP-down",IF(P278=31.5,31.5,IF(P278&gt;31.5,"PVP-up")))</f>
        <v>83</v>
      </c>
      <c r="G278" t="s">
        <f>IF(R278&lt;1421,"PVV-down",IF(R278=1421,1421,IF(R278&gt;1421,"PVV-up")))</f>
        <v>81</v>
      </c>
      <c r="H278" s="40">
        <f>R278/(Y278/10000)</f>
        <v>0.011455929829667736</v>
      </c>
      <c r="I278">
        <v>31.699999999999999</v>
      </c>
      <c r="J278">
        <v>31.899999999999999</v>
      </c>
      <c r="K278">
        <v>31.800000000000001</v>
      </c>
      <c r="L278">
        <v>0.20000000000000001</v>
      </c>
      <c r="M278">
        <v>0.0063</v>
      </c>
      <c r="N278">
        <v>31.850000000000001</v>
      </c>
      <c r="O278">
        <v>31.899999999999999</v>
      </c>
      <c r="P278">
        <v>31.899999999999999</v>
      </c>
      <c r="Q278">
        <v>515</v>
      </c>
      <c r="R278">
        <v>7980</v>
      </c>
      <c r="S278">
        <v>11342</v>
      </c>
      <c r="T278">
        <f>((P278-K278)/K278)</f>
        <v>0.0031446540880502474</v>
      </c>
      <c r="U278">
        <f>((T278*AB278)*D4)</f>
        <v>0.025041836984824515</v>
      </c>
      <c r="V278" s="3">
        <f>IF(P278&lt;=N278,(P278*Q278*1000),0)</f>
        <v>0</v>
      </c>
      <c r="W278" s="3">
        <f>IF(P278&gt;=O278,(P278*Q278*1000),0)</f>
        <v>16428500</v>
      </c>
      <c r="X278">
        <v>2505</v>
      </c>
      <c r="Y278" s="3">
        <v>6965824790</v>
      </c>
      <c r="Z278" s="40">
        <f>((C4*AB278)/P278)/10</f>
        <v>0.022909209102952056</v>
      </c>
      <c r="AA278" s="40">
        <f>((M278*AB278)*C4)</f>
        <v>0.046040637534202747</v>
      </c>
      <c r="AB278" s="40">
        <f>AE278/AE323</f>
        <v>0.000623097478298395</v>
      </c>
      <c r="AC278" s="40">
        <f>AF278/AF323</f>
        <v>0.00061343802665342697</v>
      </c>
      <c r="AD278" s="3">
        <f>IF(ISNA(J278),(I278*Y278)/10,(J278*Y278)/10)</f>
        <v>22220981080.099998</v>
      </c>
      <c r="AE278" s="3">
        <f>IF(ISNA(P278),(I278*Y278)/10,(P278*Y278)/10)</f>
        <v>22220981080.099998</v>
      </c>
      <c r="AF278" s="3">
        <f>(I278*Y278)/10</f>
        <v>22081664584.299999</v>
      </c>
      <c r="AG278">
        <f>IF(AND(P278&lt;=N278,L278&lt;0),IF(Q278&lt;10,"DBL10",IF(Q278&gt;=200,"DBM200",IF(Q278&gt;=150,"DBM150",IF(Q278&gt;=100,"DBM100",IF(Q278&gt;=50,"DBM50","DBM10-50"))))),0)</f>
        <v>0</v>
      </c>
      <c r="AH278">
        <f>IF(AND(P278&gt;=O278,L278&lt;0),IF(Q278&lt;10,"DAL10",IF(Q278&gt;=200,"DAM200",IF(Q278&gt;=150,"DAM150",IF(Q278&gt;=100,"DAM100",IF(Q278&gt;=50,"DAM50","DAM10-50"))))),0)</f>
        <v>0</v>
      </c>
      <c r="AI278" t="s">
        <f>IF(AND(P278&gt;=O278,L278&gt;0),IF(Q278&lt;10,"UAL10",IF(Q278&gt;=200,"UAM200",IF(Q278&gt;=150,"UAM150",IF(Q278&gt;=100,"UAM100",IF(Q278&gt;=50,"UAM50","UAM10-50"))))),0)</f>
        <v>31</v>
      </c>
      <c r="AJ278">
        <f>IF(AND(P278&lt;=N278,L278&gt;0),IF(Q278&lt;10,"UBL10",IF(Q278&gt;=200,"UBM200",IF(Q278&gt;=150,"UBM150",IF(Q278&gt;=100,"UBM100",IF(Q278&gt;=50,"UBM50","UBM10-50"))))),0)</f>
        <v>0</v>
      </c>
      <c r="AK278" t="s">
        <f>IF(Q278&lt;533,"down",IF(Q278=533,533,IF(Q278&gt;533,"up")))</f>
        <v>7</v>
      </c>
    </row>
    <row r="279" spans="1:37">
      <c r="A279">
        <f>IF(X279=9958,9958,"Error")</f>
        <v>9958</v>
      </c>
      <c r="B279" t="s">
        <f>IF(K279&lt;98,"down",IF(K279=98,"low",IF(K279=104,"high",IF(AND(K279&gt;98,K279&lt;104),"normal","up"))))</f>
        <v>79</v>
      </c>
      <c r="C279" t="s">
        <f>IF(K279&lt;98,"down",IF(K279=98,"low",IF(K279=104,"high",IF(AND(K279&gt;98,K279&lt;104),"normal","up"))))</f>
        <v>79</v>
      </c>
      <c r="D279" t="s">
        <f>IF(K279&lt;98,"down",IF(K279=98,"low",IF(K279=104,"high",IF(AND(K279&gt;98,K279&lt;104),"normal","up"))))</f>
        <v>79</v>
      </c>
      <c r="E279" t="s">
        <f>IF(K279&lt;92.200000000000003,"down",IF(K279=92.200000000000003,"low",IF(K279=104,"high",IF(AND(K279&gt;92.200000000000003,K279&lt;104),"normal","up"))))</f>
        <v>79</v>
      </c>
      <c r="F279" t="s">
        <f>IF(P279&lt;100.5,"PVP-down",IF(P279=100.5,100.5,IF(P279&gt;100.5,"PVP-up")))</f>
        <v>80</v>
      </c>
      <c r="G279" t="s">
        <f>IF(R279&lt;3516,"PVV-down",IF(R279=3516,3516,IF(R279&gt;3516,"PVV-up")))</f>
        <v>81</v>
      </c>
      <c r="H279" s="40">
        <f>R279/(Y279/10000)</f>
        <v>0.064137907190109936</v>
      </c>
      <c r="I279">
        <v>98.400000000000006</v>
      </c>
      <c r="J279">
        <v>99</v>
      </c>
      <c r="K279">
        <v>99.900000000000006</v>
      </c>
      <c r="L279">
        <v>0.69999999999999996</v>
      </c>
      <c r="M279">
        <v>0.0071000000000000004</v>
      </c>
      <c r="N279">
        <v>99.099999999999994</v>
      </c>
      <c r="O279">
        <v>99.200000000000003</v>
      </c>
      <c r="P279">
        <v>99.099999999999994</v>
      </c>
      <c r="Q279">
        <v>402</v>
      </c>
      <c r="R279">
        <v>13440</v>
      </c>
      <c r="S279">
        <v>26234</v>
      </c>
      <c r="T279">
        <f>((P279-K279)/K279)</f>
        <v>-0.0080080080080081207</v>
      </c>
      <c r="U279">
        <f>((T279*AB279)*D4)</f>
        <v>-0.059595396227756565</v>
      </c>
      <c r="V279" s="3">
        <f>IF(P279&lt;=N279,(P279*Q279*1000),0)</f>
        <v>39838200</v>
      </c>
      <c r="W279" s="3">
        <f>IF(P279&gt;=O279,(P279*Q279*1000),0)</f>
        <v>0</v>
      </c>
      <c r="X279">
        <v>9958</v>
      </c>
      <c r="Y279" s="3">
        <v>2095484650</v>
      </c>
      <c r="Z279" s="40">
        <f>((C4*AB279)/P279)/10</f>
        <v>0.0068916312807339956</v>
      </c>
      <c r="AA279" s="40">
        <f>((M279*AB279)*C4)</f>
        <v>0.048490206854372456</v>
      </c>
      <c r="AB279" s="40">
        <f>AE279/AE323</f>
        <v>0.00058230551376317532</v>
      </c>
      <c r="AC279" s="40">
        <f>AF279/AF323</f>
        <v>0.00057282038872224258</v>
      </c>
      <c r="AD279" s="3">
        <f>IF(ISNA(J279),(I279*Y279)/10,(J279*Y279)/10)</f>
        <v>20745298035</v>
      </c>
      <c r="AE279" s="3">
        <f>IF(ISNA(P279),(I279*Y279)/10,(P279*Y279)/10)</f>
        <v>20766252881.5</v>
      </c>
      <c r="AF279" s="3">
        <f>(I279*Y279)/10</f>
        <v>20619568956</v>
      </c>
      <c r="AG279">
        <f>IF(AND(P279&lt;=N279,L279&lt;0),IF(Q279&lt;10,"DBL10",IF(Q279&gt;=200,"DBM200",IF(Q279&gt;=150,"DBM150",IF(Q279&gt;=100,"DBM100",IF(Q279&gt;=50,"DBM50","DBM10-50"))))),0)</f>
        <v>0</v>
      </c>
      <c r="AH279">
        <f>IF(AND(P279&gt;=O279,L279&lt;0),IF(Q279&lt;10,"DAL10",IF(Q279&gt;=200,"DAM200",IF(Q279&gt;=150,"DAM150",IF(Q279&gt;=100,"DAM100",IF(Q279&gt;=50,"DAM50","DAM10-50"))))),0)</f>
        <v>0</v>
      </c>
      <c r="AI279">
        <f>IF(AND(P279&gt;=O279,L279&gt;0),IF(Q279&lt;10,"UAL10",IF(Q279&gt;=200,"UAM200",IF(Q279&gt;=150,"UAM150",IF(Q279&gt;=100,"UAM100",IF(Q279&gt;=50,"UAM50","UAM10-50"))))),0)</f>
        <v>0</v>
      </c>
      <c r="AJ279" t="s">
        <f>IF(AND(P279&lt;=N279,L279&gt;0),IF(Q279&lt;10,"UBL10",IF(Q279&gt;=200,"UBM200",IF(Q279&gt;=150,"UBM150",IF(Q279&gt;=100,"UBM100",IF(Q279&gt;=50,"UBM50","UBM10-50"))))),0)</f>
        <v>21</v>
      </c>
      <c r="AK279" t="s">
        <f>IF(Q279&lt;1412,"down",IF(Q279=1412,1412,IF(Q279&gt;1412,"up")))</f>
        <v>7</v>
      </c>
    </row>
    <row r="280" spans="1:37">
      <c r="A280">
        <f>IF(X280=9938,9938,"Error")</f>
        <v>9938</v>
      </c>
      <c r="B280" t="s">
        <f>IF(K280&lt;70.5,"down",IF(K280=70.5,"low",IF(K280=73.299999999999997,"high",IF(AND(K280&gt;70.5,K280&lt;73.299999999999997),"normal","up"))))</f>
        <v>79</v>
      </c>
      <c r="C280" t="s">
        <f>IF(K280&lt;70.5,"down",IF(K280=70.5,"low",IF(K280=73.299999999999997,"high",IF(AND(K280&gt;70.5,K280&lt;73.299999999999997),"normal","up"))))</f>
        <v>79</v>
      </c>
      <c r="D280" t="s">
        <f>IF(K280&lt;70.5,"down",IF(K280=70.5,"low",IF(K280=73.299999999999997,"high",IF(AND(K280&gt;70.5,K280&lt;73.299999999999997),"normal","up"))))</f>
        <v>79</v>
      </c>
      <c r="E280" t="s">
        <f>IF(K280&lt;61.100000000000001,"down",IF(K280=61.100000000000001,"low",IF(K280=73.799999999999997,"high",IF(AND(K280&gt;61.100000000000001,K280&lt;73.799999999999997),"normal","up"))))</f>
        <v>79</v>
      </c>
      <c r="F280">
        <f>IF(P280&lt;72.799999999999997,"PVP-down",IF(P280=72.799999999999997,72.799999999999997,IF(P280&gt;72.799999999999997,"PVP-up")))</f>
        <v>72.799999999999997</v>
      </c>
      <c r="G280" t="s">
        <f>IF(R280&lt;508,"PVV-down",IF(R280=508,508,IF(R280&gt;508,"PVV-up")))</f>
        <v>81</v>
      </c>
      <c r="H280" s="40">
        <f>R280/(Y280/10000)</f>
        <v>0.027708054380359136</v>
      </c>
      <c r="I280">
        <v>70.799999999999997</v>
      </c>
      <c r="J280">
        <v>72.900000000000006</v>
      </c>
      <c r="K280">
        <v>71.200000000000003</v>
      </c>
      <c r="L280">
        <v>2</v>
      </c>
      <c r="M280">
        <v>0.028199999999999999</v>
      </c>
      <c r="N280">
        <v>72.799999999999997</v>
      </c>
      <c r="O280">
        <v>72.900000000000006</v>
      </c>
      <c r="P280">
        <v>72.799999999999997</v>
      </c>
      <c r="Q280">
        <v>242</v>
      </c>
      <c r="R280">
        <v>8256</v>
      </c>
      <c r="S280">
        <v>7390</v>
      </c>
      <c r="T280">
        <f>((P280-K280)/K280)</f>
        <v>0.02247191011235947</v>
      </c>
      <c r="U280">
        <f>((T280*AB280)*D4)</f>
        <v>0.1746888137802233</v>
      </c>
      <c r="V280" s="3">
        <f>IF(P280&lt;=N280,(P280*Q280*1000),0)</f>
        <v>17617600</v>
      </c>
      <c r="W280" s="3">
        <f>IF(P280&gt;=O280,(P280*Q280*1000),0)</f>
        <v>0</v>
      </c>
      <c r="X280">
        <v>9938</v>
      </c>
      <c r="Y280" s="3">
        <v>2979639020</v>
      </c>
      <c r="Z280" s="40">
        <f>((C4*AB280)/P280)/10</f>
        <v>0.0097994387482282837</v>
      </c>
      <c r="AA280" s="40">
        <f>((M280*AB280)*C4)</f>
        <v>0.20117855772562737</v>
      </c>
      <c r="AB280" s="40">
        <f>AE280/AE323</f>
        <v>0.000608257953380972</v>
      </c>
      <c r="AC280" s="40">
        <f>AF280/AF323</f>
        <v>0.00058605151912437497</v>
      </c>
      <c r="AD280" s="3">
        <f>IF(ISNA(J280),(I280*Y280)/10,(J280*Y280)/10)</f>
        <v>21721568455.800003</v>
      </c>
      <c r="AE280" s="3">
        <f>IF(ISNA(P280),(I280*Y280)/10,(P280*Y280)/10)</f>
        <v>21691772065.599998</v>
      </c>
      <c r="AF280" s="3">
        <f>(I280*Y280)/10</f>
        <v>21095844261.599998</v>
      </c>
      <c r="AG280">
        <f>IF(AND(P280&lt;=N280,L280&lt;0),IF(Q280&lt;10,"DBL10",IF(Q280&gt;=200,"DBM200",IF(Q280&gt;=150,"DBM150",IF(Q280&gt;=100,"DBM100",IF(Q280&gt;=50,"DBM50","DBM10-50"))))),0)</f>
        <v>0</v>
      </c>
      <c r="AH280">
        <f>IF(AND(P280&gt;=O280,L280&lt;0),IF(Q280&lt;10,"DAL10",IF(Q280&gt;=200,"DAM200",IF(Q280&gt;=150,"DAM150",IF(Q280&gt;=100,"DAM100",IF(Q280&gt;=50,"DAM50","DAM10-50"))))),0)</f>
        <v>0</v>
      </c>
      <c r="AI280">
        <f>IF(AND(P280&gt;=O280,L280&gt;0),IF(Q280&lt;10,"UAL10",IF(Q280&gt;=200,"UAM200",IF(Q280&gt;=150,"UAM150",IF(Q280&gt;=100,"UAM100",IF(Q280&gt;=50,"UAM50","UAM10-50"))))),0)</f>
        <v>0</v>
      </c>
      <c r="AJ280" t="s">
        <f>IF(AND(P280&lt;=N280,L280&gt;0),IF(Q280&lt;10,"UBL10",IF(Q280&gt;=200,"UBM200",IF(Q280&gt;=150,"UBM150",IF(Q280&gt;=100,"UBM100",IF(Q280&gt;=50,"UBM50","UBM10-50"))))),0)</f>
        <v>21</v>
      </c>
      <c r="AK280" t="s">
        <f>IF(Q280&lt;391,"down",IF(Q280=391,391,IF(Q280&gt;391,"up")))</f>
        <v>7</v>
      </c>
    </row>
    <row r="281" spans="1:37">
      <c r="A281">
        <f>IF(X281=6504,6504,"Error")</f>
        <v>6504</v>
      </c>
      <c r="B281" t="s">
        <f>IF(K281&lt;303,"down",IF(K281=303,"low",IF(K281=324.5,"high",IF(AND(K281&gt;303,K281&lt;324.5),"normal","up"))))</f>
        <v>82</v>
      </c>
      <c r="C281" t="s">
        <f>IF(K281&lt;303,"down",IF(K281=303,"low",IF(K281=324.5,"high",IF(AND(K281&gt;303,K281&lt;324.5),"normal","up"))))</f>
        <v>82</v>
      </c>
      <c r="D281" t="s">
        <f>IF(K281&lt;303,"down",IF(K281=303,"low",IF(K281=324.5,"high",IF(AND(K281&gt;303,K281&lt;324.5),"normal","up"))))</f>
        <v>82</v>
      </c>
      <c r="E281" t="s">
        <f>IF(K281&lt;274,"down",IF(K281=274,"low",IF(K281=334.5,"high",IF(AND(K281&gt;274,K281&lt;334.5),"normal","up"))))</f>
        <v>79</v>
      </c>
      <c r="F281" t="s">
        <f>IF(P281&lt;307,"PVP-down",IF(P281=307,307,IF(P281&gt;307,"PVP-up")))</f>
        <v>80</v>
      </c>
      <c r="G281" t="s">
        <f>IF(R281&lt;300,"PVV-down",IF(R281=300,300,IF(R281&gt;300,"PVV-up")))</f>
        <v>81</v>
      </c>
      <c r="H281" s="40">
        <f>R281/(Y281/10000)</f>
        <v>0.050730027548209364</v>
      </c>
      <c r="I281">
        <v>307</v>
      </c>
      <c r="J281">
        <v>289</v>
      </c>
      <c r="K281">
        <v>303</v>
      </c>
      <c r="L281">
        <v>-18</v>
      </c>
      <c r="M281">
        <v>-0.058599999999999999</v>
      </c>
      <c r="N281">
        <v>289</v>
      </c>
      <c r="O281">
        <v>289.5</v>
      </c>
      <c r="P281">
        <v>289</v>
      </c>
      <c r="Q281">
        <v>133</v>
      </c>
      <c r="R281">
        <v>3683</v>
      </c>
      <c r="S281">
        <v>2849</v>
      </c>
      <c r="T281">
        <f>((P281-K281)/K281)</f>
        <v>-0.046204620462046202</v>
      </c>
      <c r="U281">
        <f>((T281*AB281)*D4)</f>
        <v>-0.34741610352296731</v>
      </c>
      <c r="V281" s="3">
        <f>IF(P281&lt;=N281,(P281*Q281*1000),0)</f>
        <v>38437000</v>
      </c>
      <c r="W281" s="3">
        <f>IF(P281&gt;=O281,(P281*Q281*1000),0)</f>
        <v>0</v>
      </c>
      <c r="X281">
        <v>6504</v>
      </c>
      <c r="Y281" s="3">
        <v>726000000</v>
      </c>
      <c r="Z281" s="40">
        <f>((C4*AB281)/P281)/10</f>
        <v>0.0023876692725059477</v>
      </c>
      <c r="AA281" s="40">
        <f>((M281*AB281)*C4)</f>
        <v>-0.40436134197597223</v>
      </c>
      <c r="AB281" s="40">
        <f>AE281/AE323</f>
        <v>0.00058833844392576712</v>
      </c>
      <c r="AC281" s="40">
        <f>AF281/AF323</f>
        <v>0.00061917566827719901</v>
      </c>
      <c r="AD281" s="3">
        <f>IF(ISNA(J281),(I281*Y281)/10,(J281*Y281)/10)</f>
        <v>20981400000</v>
      </c>
      <c r="AE281" s="3">
        <f>IF(ISNA(P281),(I281*Y281)/10,(P281*Y281)/10)</f>
        <v>20981400000</v>
      </c>
      <c r="AF281" s="3">
        <f>(I281*Y281)/10</f>
        <v>22288200000</v>
      </c>
      <c r="AG281" t="s">
        <f>IF(AND(P281&lt;=N281,L281&lt;0),IF(Q281&lt;10,"DBL10",IF(Q281&gt;=200,"DBM200",IF(Q281&gt;=150,"DBM150",IF(Q281&gt;=100,"DBM100",IF(Q281&gt;=50,"DBM50","DBM10-50"))))),0)</f>
        <v>14</v>
      </c>
      <c r="AH281">
        <f>IF(AND(P281&gt;=O281,L281&lt;0),IF(Q281&lt;10,"DAL10",IF(Q281&gt;=200,"DAM200",IF(Q281&gt;=150,"DAM150",IF(Q281&gt;=100,"DAM100",IF(Q281&gt;=50,"DAM50","DAM10-50"))))),0)</f>
        <v>0</v>
      </c>
      <c r="AI281">
        <f>IF(AND(P281&gt;=O281,L281&gt;0),IF(Q281&lt;10,"UAL10",IF(Q281&gt;=200,"UAM200",IF(Q281&gt;=150,"UAM150",IF(Q281&gt;=100,"UAM100",IF(Q281&gt;=50,"UAM50","UAM10-50"))))),0)</f>
        <v>0</v>
      </c>
      <c r="AJ281">
        <f>IF(AND(P281&lt;=N281,L281&gt;0),IF(Q281&lt;10,"UBL10",IF(Q281&gt;=200,"UBM200",IF(Q281&gt;=150,"UBM150",IF(Q281&gt;=100,"UBM100",IF(Q281&gt;=50,"UBM50","UBM10-50"))))),0)</f>
        <v>0</v>
      </c>
      <c r="AK281" t="s">
        <f>IF(Q281&lt;149,"down",IF(Q281=149,149,IF(Q281&gt;149,"up")))</f>
        <v>7</v>
      </c>
    </row>
    <row r="282" spans="1:37">
      <c r="A282">
        <f>IF(X282=1232,1232,"Error")</f>
        <v>1232</v>
      </c>
      <c r="B282" t="s">
        <f>IF(K282&lt;119,"down",IF(K282=119,"low",IF(K282=120,"high",IF(AND(K282&gt;119,K282&lt;120),"normal","up"))))</f>
        <v>79</v>
      </c>
      <c r="C282" t="s">
        <f>IF(K282&lt;119,"down",IF(K282=119,"low",IF(K282=120,"high",IF(AND(K282&gt;119,K282&lt;120),"normal","up"))))</f>
        <v>79</v>
      </c>
      <c r="D282" t="s">
        <f>IF(K282&lt;119,"down",IF(K282=119,"low",IF(K282=120,"high",IF(AND(K282&gt;119,K282&lt;120),"normal","up"))))</f>
        <v>79</v>
      </c>
      <c r="E282" t="s">
        <f>IF(K282&lt;118,"down",IF(K282=118,"low",IF(K282=120.5,"high",IF(AND(K282&gt;118,K282&lt;120.5),"normal","up"))))</f>
        <v>79</v>
      </c>
      <c r="F282">
        <f>IF(P282&lt;120,"PVP-down",IF(P282=120,120,IF(P282&gt;120,"PVP-up")))</f>
        <v>120</v>
      </c>
      <c r="G282" t="s">
        <f>IF(R282&lt;32,"PVV-down",IF(R282=32,32,IF(R282&gt;32,"PVV-up")))</f>
        <v>81</v>
      </c>
      <c r="H282" s="40">
        <f>R282/(Y282/10000)</f>
        <v>0.00023753724138562599</v>
      </c>
      <c r="I282">
        <v>119.5</v>
      </c>
      <c r="J282">
        <v>120</v>
      </c>
      <c r="K282">
        <v>119.5</v>
      </c>
      <c r="L282">
        <v>0.5</v>
      </c>
      <c r="M282">
        <v>0.0041999999999999997</v>
      </c>
      <c r="N282">
        <v>119.5</v>
      </c>
      <c r="O282">
        <v>120.5</v>
      </c>
      <c r="P282">
        <v>120</v>
      </c>
      <c r="Q282">
        <v>1</v>
      </c>
      <c r="R282">
        <v>38</v>
      </c>
      <c r="S282">
        <v>47</v>
      </c>
      <c r="T282">
        <f>((P282-K282)/K282)</f>
        <v>0.0041841004184100415</v>
      </c>
      <c r="U282">
        <f>((T282*AB282)*D4)</f>
        <v>0.028784938616381411</v>
      </c>
      <c r="V282" s="3">
        <f>IF(P282&lt;=N282,(P282*Q282*1000),0)</f>
        <v>0</v>
      </c>
      <c r="W282" s="3">
        <f>IF(P282&gt;=O282,(P282*Q282*1000),0)</f>
        <v>0</v>
      </c>
      <c r="X282">
        <v>1232</v>
      </c>
      <c r="Y282" s="3">
        <v>1599749150</v>
      </c>
      <c r="Z282" s="40">
        <f>((C4*AB282)/P282)/10</f>
        <v>0.0052612560456921599</v>
      </c>
      <c r="AA282" s="40">
        <f>((M282*AB282)*C4)</f>
        <v>0.026516730470288484</v>
      </c>
      <c r="AB282" s="40">
        <f>AE282/AE323</f>
        <v>0.00053830188199981046</v>
      </c>
      <c r="AC282" s="40">
        <f>AF282/AF323</f>
        <v>0.00053107844962241085</v>
      </c>
      <c r="AD282" s="3">
        <f>IF(ISNA(J282),(I282*Y282)/10,(J282*Y282)/10)</f>
        <v>19196989800</v>
      </c>
      <c r="AE282" s="3">
        <f>IF(ISNA(P282),(I282*Y282)/10,(P282*Y282)/10)</f>
        <v>19196989800</v>
      </c>
      <c r="AF282" s="3">
        <f>(I282*Y282)/10</f>
        <v>19117002342.5</v>
      </c>
      <c r="AG282">
        <f>IF(AND(P282&lt;=N282,L282&lt;0),IF(Q282&lt;10,"DBL10",IF(Q282&gt;=200,"DBM200",IF(Q282&gt;=150,"DBM150",IF(Q282&gt;=100,"DBM100",IF(Q282&gt;=50,"DBM50","DBM10-50"))))),0)</f>
        <v>0</v>
      </c>
      <c r="AH282">
        <f>IF(AND(P282&gt;=O282,L282&lt;0),IF(Q282&lt;10,"DAL10",IF(Q282&gt;=200,"DAM200",IF(Q282&gt;=150,"DAM150",IF(Q282&gt;=100,"DAM100",IF(Q282&gt;=50,"DAM50","DAM10-50"))))),0)</f>
        <v>0</v>
      </c>
      <c r="AI282">
        <f>IF(AND(P282&gt;=O282,L282&gt;0),IF(Q282&lt;10,"UAL10",IF(Q282&gt;=200,"UAM200",IF(Q282&gt;=150,"UAM150",IF(Q282&gt;=100,"UAM100",IF(Q282&gt;=50,"UAM50","UAM10-50"))))),0)</f>
        <v>0</v>
      </c>
      <c r="AJ282">
        <f>IF(AND(P282&lt;=N282,L282&gt;0),IF(Q282&lt;10,"UBL10",IF(Q282&gt;=200,"UBM200",IF(Q282&gt;=150,"UBM150",IF(Q282&gt;=100,"UBM100",IF(Q282&gt;=50,"UBM50","UBM10-50"))))),0)</f>
        <v>0</v>
      </c>
      <c r="AK282" t="s">
        <f>IF(Q282&lt;0,"down",IF(Q282=0,0,IF(Q282&gt;0,"up")))</f>
        <v>6</v>
      </c>
    </row>
    <row r="283" spans="1:37">
      <c r="A283">
        <f>IF(X283=9802,9802,"Error")</f>
        <v>9802</v>
      </c>
      <c r="B283" t="s">
        <f>IF(K283&lt;108.5,"down",IF(K283=108.5,"low",IF(K283=114,"high",IF(AND(K283&gt;108.5,K283&lt;114),"normal","up"))))</f>
        <v>6</v>
      </c>
      <c r="C283" t="s">
        <f>IF(K283&lt;108.5,"down",IF(K283=108.5,"low",IF(K283=114,"high",IF(AND(K283&gt;108.5,K283&lt;114),"normal","up"))))</f>
        <v>6</v>
      </c>
      <c r="D283" t="s">
        <f>IF(K283&lt;108.5,"down",IF(K283=108.5,"low",IF(K283=114,"high",IF(AND(K283&gt;108.5,K283&lt;114),"normal","up"))))</f>
        <v>6</v>
      </c>
      <c r="E283" t="s">
        <f>IF(K283&lt;102.5,"down",IF(K283=102.5,"low",IF(K283=114,"high",IF(AND(K283&gt;102.5,K283&lt;114),"normal","up"))))</f>
        <v>6</v>
      </c>
      <c r="F283" t="s">
        <f>IF(P283&lt;112,"PVP-down",IF(P283=112,112,IF(P283&gt;112,"PVP-up")))</f>
        <v>80</v>
      </c>
      <c r="G283" t="s">
        <f>IF(R283&lt;1007,"PVV-down",IF(R283=1007,1007,IF(R283&gt;1007,"PVV-up")))</f>
        <v>81</v>
      </c>
      <c r="H283" s="40">
        <f>R283/(Y283/10000)</f>
        <v>0.015586709623600398</v>
      </c>
      <c r="I283">
        <v>114</v>
      </c>
      <c r="J283">
        <v>111.5</v>
      </c>
      <c r="K283">
        <v>114.5</v>
      </c>
      <c r="L283">
        <v>-2.5</v>
      </c>
      <c r="M283">
        <v>-0.021899999999999999</v>
      </c>
      <c r="N283">
        <v>111.5</v>
      </c>
      <c r="O283">
        <v>112</v>
      </c>
      <c r="P283">
        <v>111.5</v>
      </c>
      <c r="Q283">
        <v>97</v>
      </c>
      <c r="R283">
        <v>2735</v>
      </c>
      <c r="S283">
        <v>3738</v>
      </c>
      <c r="T283">
        <f>((P283-K283)/K283)</f>
        <v>-0.026200873362445413</v>
      </c>
      <c r="U283">
        <f>((T283*AB283)*D4)</f>
        <v>-0.18370610782676783</v>
      </c>
      <c r="V283" s="3">
        <f>IF(P283&lt;=N283,(P283*Q283*1000),0)</f>
        <v>10815500</v>
      </c>
      <c r="W283" s="3">
        <f>IF(P283&gt;=O283,(P283*Q283*1000),0)</f>
        <v>0</v>
      </c>
      <c r="X283">
        <v>9802</v>
      </c>
      <c r="Y283" s="3">
        <v>1754700040</v>
      </c>
      <c r="Z283" s="40">
        <f>((C4*AB283)/P283)/10</f>
        <v>0.0057708586335715652</v>
      </c>
      <c r="AA283" s="40">
        <f>((M283*AB283)*C4)</f>
        <v>-0.14091571154386728</v>
      </c>
      <c r="AB283" s="40">
        <f>AE283/AE323</f>
        <v>0.00054861858720840393</v>
      </c>
      <c r="AC283" s="40">
        <f>AF283/AF323</f>
        <v>0.00055570796640287321</v>
      </c>
      <c r="AD283" s="3">
        <f>IF(ISNA(J283),(I283*Y283)/10,(J283*Y283)/10)</f>
        <v>19564905446</v>
      </c>
      <c r="AE283" s="3">
        <f>IF(ISNA(P283),(I283*Y283)/10,(P283*Y283)/10)</f>
        <v>19564905446</v>
      </c>
      <c r="AF283" s="3">
        <f>(I283*Y283)/10</f>
        <v>20003580456</v>
      </c>
      <c r="AG283" t="s">
        <f>IF(AND(P283&lt;=N283,L283&lt;0),IF(Q283&lt;10,"DBL10",IF(Q283&gt;=200,"DBM200",IF(Q283&gt;=150,"DBM150",IF(Q283&gt;=100,"DBM100",IF(Q283&gt;=50,"DBM50","DBM10-50"))))),0)</f>
        <v>13</v>
      </c>
      <c r="AH283">
        <f>IF(AND(P283&gt;=O283,L283&lt;0),IF(Q283&lt;10,"DAL10",IF(Q283&gt;=200,"DAM200",IF(Q283&gt;=150,"DAM150",IF(Q283&gt;=100,"DAM100",IF(Q283&gt;=50,"DAM50","DAM10-50"))))),0)</f>
        <v>0</v>
      </c>
      <c r="AI283">
        <f>IF(AND(P283&gt;=O283,L283&gt;0),IF(Q283&lt;10,"UAL10",IF(Q283&gt;=200,"UAM200",IF(Q283&gt;=150,"UAM150",IF(Q283&gt;=100,"UAM100",IF(Q283&gt;=50,"UAM50","UAM10-50"))))),0)</f>
        <v>0</v>
      </c>
      <c r="AJ283">
        <f>IF(AND(P283&lt;=N283,L283&gt;0),IF(Q283&lt;10,"UBL10",IF(Q283&gt;=200,"UBM200",IF(Q283&gt;=150,"UBM150",IF(Q283&gt;=100,"UBM100",IF(Q283&gt;=50,"UBM50","UBM10-50"))))),0)</f>
        <v>0</v>
      </c>
      <c r="AK283" t="s">
        <f>IF(Q283&lt;16,"down",IF(Q283=16,16,IF(Q283&gt;16,"up")))</f>
        <v>6</v>
      </c>
    </row>
    <row r="284" spans="1:37">
      <c r="A284">
        <f>IF(X284=2608,2608,"Error")</f>
        <v>2608</v>
      </c>
      <c r="B284" t="s">
        <f>IF(K284&lt;39.049999999999997,"down",IF(K284=39.049999999999997,"low",IF(K284=39.700000000000003,"high",IF(AND(K284&gt;39.049999999999997,K284&lt;39.700000000000003),"normal","up"))))</f>
        <v>84</v>
      </c>
      <c r="C284" t="s">
        <f>IF(K284&lt;39.049999999999997,"down",IF(K284=39.049999999999997,"low",IF(K284=39.700000000000003,"high",IF(AND(K284&gt;39.049999999999997,K284&lt;39.700000000000003),"normal","up"))))</f>
        <v>84</v>
      </c>
      <c r="D284" t="s">
        <f>IF(K284&lt;39.049999999999997,"down",IF(K284=39.049999999999997,"low",IF(K284=39.700000000000003,"high",IF(AND(K284&gt;39.049999999999997,K284&lt;39.700000000000003),"normal","up"))))</f>
        <v>84</v>
      </c>
      <c r="E284" t="s">
        <f>IF(K284&lt;38.649999999999999,"down",IF(K284=38.649999999999999,"low",IF(K284=39.700000000000003,"high",IF(AND(K284&gt;38.649999999999999,K284&lt;39.700000000000003),"normal","up"))))</f>
        <v>84</v>
      </c>
      <c r="F284" t="s">
        <f>IF(P284&lt;39.200000000000003,"PVP-down",IF(P284=39.200000000000003,39.200000000000003,IF(P284&gt;39.200000000000003,"PVP-up")))</f>
        <v>83</v>
      </c>
      <c r="G284" t="s">
        <f>IF(R284&lt;19,"PVV-down",IF(R284=19,19,IF(R284&gt;19,"PVV-up")))</f>
        <v>81</v>
      </c>
      <c r="H284" s="40">
        <f>R284/(Y284/10000)</f>
        <v>0.00012205554436046875</v>
      </c>
      <c r="I284">
        <v>39.700000000000003</v>
      </c>
      <c r="J284">
        <v>39.700000000000003</v>
      </c>
      <c r="K284">
        <v>39.700000000000003</v>
      </c>
      <c r="L284">
        <v>0</v>
      </c>
      <c r="M284">
        <v>0</v>
      </c>
      <c r="N284">
        <v>39.600000000000001</v>
      </c>
      <c r="O284">
        <v>39.700000000000003</v>
      </c>
      <c r="P284">
        <v>39.700000000000003</v>
      </c>
      <c r="Q284">
        <v>2</v>
      </c>
      <c r="R284">
        <v>57</v>
      </c>
      <c r="S284">
        <v>100</v>
      </c>
      <c r="T284">
        <f>((P284-K284)/K284)</f>
        <v>0</v>
      </c>
      <c r="U284">
        <f>((T284*AB284)*D4)</f>
        <v>0</v>
      </c>
      <c r="V284" s="3">
        <f>IF(P284&lt;=N284,(P284*Q284*1000),0)</f>
        <v>0</v>
      </c>
      <c r="W284" s="3">
        <f>IF(P284&gt;=O284,(P284*Q284*1000),0)</f>
        <v>79400</v>
      </c>
      <c r="X284">
        <v>2608</v>
      </c>
      <c r="Y284" s="3">
        <v>4670004980</v>
      </c>
      <c r="Z284" s="40">
        <f>((C4*AB284)/P284)/10</f>
        <v>0.015358715417624999</v>
      </c>
      <c r="AA284" s="40">
        <f>((M284*AB284)*C4)</f>
        <v>0</v>
      </c>
      <c r="AB284" s="40">
        <f>AE284/AE323</f>
        <v>0.00051987701241782563</v>
      </c>
      <c r="AC284" s="40">
        <f>AF284/AF323</f>
        <v>0.00051504685052031608</v>
      </c>
      <c r="AD284" s="3">
        <f>IF(ISNA(J284),(I284*Y284)/10,(J284*Y284)/10)</f>
        <v>18539919770.599998</v>
      </c>
      <c r="AE284" s="3">
        <f>IF(ISNA(P284),(I284*Y284)/10,(P284*Y284)/10)</f>
        <v>18539919770.599998</v>
      </c>
      <c r="AF284" s="3">
        <f>(I284*Y284)/10</f>
        <v>18539919770.599998</v>
      </c>
      <c r="AG284">
        <f>IF(AND(P284&lt;=N284,L284&lt;0),IF(Q284&lt;10,"DBL10",IF(Q284&gt;=200,"DBM200",IF(Q284&gt;=150,"DBM150",IF(Q284&gt;=100,"DBM100",IF(Q284&gt;=50,"DBM50","DBM10-50"))))),0)</f>
        <v>0</v>
      </c>
      <c r="AH284">
        <f>IF(AND(P284&gt;=O284,L284&lt;0),IF(Q284&lt;10,"DAL10",IF(Q284&gt;=200,"DAM200",IF(Q284&gt;=150,"DAM150",IF(Q284&gt;=100,"DAM100",IF(Q284&gt;=50,"DAM50","DAM10-50"))))),0)</f>
        <v>0</v>
      </c>
      <c r="AI284">
        <f>IF(AND(P284&gt;=O284,L284&gt;0),IF(Q284&lt;10,"UAL10",IF(Q284&gt;=200,"UAM200",IF(Q284&gt;=150,"UAM150",IF(Q284&gt;=100,"UAM100",IF(Q284&gt;=50,"UAM50","UAM10-50"))))),0)</f>
        <v>0</v>
      </c>
      <c r="AJ284">
        <f>IF(AND(P284&lt;=N284,L284&gt;0),IF(Q284&lt;10,"UBL10",IF(Q284&gt;=200,"UBM200",IF(Q284&gt;=150,"UBM150",IF(Q284&gt;=100,"UBM100",IF(Q284&gt;=50,"UBM50","UBM10-50"))))),0)</f>
        <v>0</v>
      </c>
      <c r="AK284" t="s">
        <f>IF(Q284&lt;5,"down",IF(Q284=5,5,IF(Q284&gt;5,"up")))</f>
        <v>7</v>
      </c>
    </row>
    <row r="285" spans="1:37">
      <c r="A285">
        <f>IF(X285=1440,1440,"Error")</f>
        <v>1440</v>
      </c>
      <c r="B285" t="s">
        <f>IF(K285&lt;11.15,"down",IF(K285=11.15,"low",IF(K285=11.5,"high",IF(AND(K285&gt;11.15,K285&lt;11.5),"normal","up"))))</f>
        <v>79</v>
      </c>
      <c r="C285" t="s">
        <f>IF(K285&lt;11.15,"down",IF(K285=11.15,"low",IF(K285=11.5,"high",IF(AND(K285&gt;11.15,K285&lt;11.5),"normal","up"))))</f>
        <v>79</v>
      </c>
      <c r="D285" t="s">
        <f>IF(K285&lt;11.15,"down",IF(K285=11.15,"low",IF(K285=11.5,"high",IF(AND(K285&gt;11.15,K285&lt;11.5),"normal","up"))))</f>
        <v>79</v>
      </c>
      <c r="E285" t="s">
        <f>IF(K285&lt;11.1,"down",IF(K285=11.1,"low",IF(K285=11.5,"high",IF(AND(K285&gt;11.1,K285&lt;11.5),"normal","up"))))</f>
        <v>79</v>
      </c>
      <c r="F285" t="s">
        <f>IF(P285&lt;11.35,"PVP-down",IF(P285=11.35,11.35,IF(P285&gt;11.35,"PVP-up")))</f>
        <v>80</v>
      </c>
      <c r="G285" t="s">
        <f>IF(R285&lt;1958,"PVV-down",IF(R285=1958,1958,IF(R285&gt;1958,"PVV-up")))</f>
        <v>81</v>
      </c>
      <c r="H285" s="40">
        <f>R285/(Y285/10000)</f>
        <v>0.0019483154910437338</v>
      </c>
      <c r="I285">
        <v>11.35</v>
      </c>
      <c r="J285">
        <v>11.15</v>
      </c>
      <c r="K285">
        <v>11.35</v>
      </c>
      <c r="L285">
        <v>-0.20000000000000001</v>
      </c>
      <c r="M285">
        <v>-0.017600000000000001</v>
      </c>
      <c r="N285">
        <v>11.15</v>
      </c>
      <c r="O285">
        <v>11.199999999999999</v>
      </c>
      <c r="P285">
        <v>11.15</v>
      </c>
      <c r="Q285">
        <v>59</v>
      </c>
      <c r="R285">
        <v>3228</v>
      </c>
      <c r="S285">
        <v>6215</v>
      </c>
      <c r="T285">
        <f>((P285-K285)/K285)</f>
        <v>-0.017621145374449278</v>
      </c>
      <c r="U285">
        <f>((T285*AB285)*D4)</f>
        <v>-0.11665767548055236</v>
      </c>
      <c r="V285" s="3">
        <f>IF(P285&lt;=N285,(P285*Q285*1000),0)</f>
        <v>657850</v>
      </c>
      <c r="W285" s="3">
        <f>IF(P285&gt;=O285,(P285*Q285*1000),0)</f>
        <v>0</v>
      </c>
      <c r="X285">
        <v>1440</v>
      </c>
      <c r="Y285" s="3">
        <v>16568158570</v>
      </c>
      <c r="Z285" s="40">
        <f>((C4*AB285)/P285)/10</f>
        <v>0.054489370688147479</v>
      </c>
      <c r="AA285" s="40">
        <f>((M285*AB285)*C4)</f>
        <v>-0.10692994103842064</v>
      </c>
      <c r="AB285" s="40">
        <f>AE285/AE323</f>
        <v>0.00051801444920000165</v>
      </c>
      <c r="AC285" s="40">
        <f>AF285/AF323</f>
        <v>0.00052240700204983666</v>
      </c>
      <c r="AD285" s="3">
        <f>IF(ISNA(J285),(I285*Y285)/10,(J285*Y285)/10)</f>
        <v>18473496805.549999</v>
      </c>
      <c r="AE285" s="3">
        <f>IF(ISNA(P285),(I285*Y285)/10,(P285*Y285)/10)</f>
        <v>18473496805.549999</v>
      </c>
      <c r="AF285" s="3">
        <f>(I285*Y285)/10</f>
        <v>18804859976.950001</v>
      </c>
      <c r="AG285" t="s">
        <f>IF(AND(P285&lt;=N285,L285&lt;0),IF(Q285&lt;10,"DBL10",IF(Q285&gt;=200,"DBM200",IF(Q285&gt;=150,"DBM150",IF(Q285&gt;=100,"DBM100",IF(Q285&gt;=50,"DBM50","DBM10-50"))))),0)</f>
        <v>13</v>
      </c>
      <c r="AH285">
        <f>IF(AND(P285&gt;=O285,L285&lt;0),IF(Q285&lt;10,"DAL10",IF(Q285&gt;=200,"DAM200",IF(Q285&gt;=150,"DAM150",IF(Q285&gt;=100,"DAM100",IF(Q285&gt;=50,"DAM50","DAM10-50"))))),0)</f>
        <v>0</v>
      </c>
      <c r="AI285">
        <f>IF(AND(P285&gt;=O285,L285&gt;0),IF(Q285&lt;10,"UAL10",IF(Q285&gt;=200,"UAM200",IF(Q285&gt;=150,"UAM150",IF(Q285&gt;=100,"UAM100",IF(Q285&gt;=50,"UAM50","UAM10-50"))))),0)</f>
        <v>0</v>
      </c>
      <c r="AJ285">
        <f>IF(AND(P285&lt;=N285,L285&gt;0),IF(Q285&lt;10,"UBL10",IF(Q285&gt;=200,"UBM200",IF(Q285&gt;=150,"UBM150",IF(Q285&gt;=100,"UBM100",IF(Q285&gt;=50,"UBM50","UBM10-50"))))),0)</f>
        <v>0</v>
      </c>
      <c r="AK285" t="s">
        <f>IF(Q285&lt;74,"down",IF(Q285=74,74,IF(Q285&gt;74,"up")))</f>
        <v>7</v>
      </c>
    </row>
    <row r="286" spans="1:37">
      <c r="A286">
        <f>IF(X286=2104,2104,"Error")</f>
        <v>2104</v>
      </c>
      <c r="B286" t="s">
        <f>IF(K286&lt;19.100000000000001,"down",IF(K286=19.100000000000001,"low",IF(K286=19.350000000000001,"high",IF(AND(K286&gt;19.100000000000001,K286&lt;19.350000000000001),"normal","up"))))</f>
        <v>79</v>
      </c>
      <c r="C286" t="s">
        <f>IF(K286&lt;19.100000000000001,"down",IF(K286=19.100000000000001,"low",IF(K286=19.350000000000001,"high",IF(AND(K286&gt;19.100000000000001,K286&lt;19.350000000000001),"normal","up"))))</f>
        <v>79</v>
      </c>
      <c r="D286" t="s">
        <f>IF(K286&lt;19.100000000000001,"down",IF(K286=19.100000000000001,"low",IF(K286=19.350000000000001,"high",IF(AND(K286&gt;19.100000000000001,K286&lt;19.350000000000001),"normal","up"))))</f>
        <v>79</v>
      </c>
      <c r="E286" t="s">
        <f>IF(K286&lt;18.600000000000001,"down",IF(K286=18.600000000000001,"low",IF(K286=19.699999999999999,"high",IF(AND(K286&gt;18.600000000000001,K286&lt;19.699999999999999),"normal","up"))))</f>
        <v>79</v>
      </c>
      <c r="F286" t="s">
        <f>IF(P286&lt;19.199999999999999,"PVP-down",IF(P286=19.199999999999999,19.199999999999999,IF(P286&gt;19.199999999999999,"PVP-up")))</f>
        <v>83</v>
      </c>
      <c r="G286" t="s">
        <f>IF(R286&lt;551,"PVV-down",IF(R286=551,551,IF(R286&gt;551,"PVV-up")))</f>
        <v>81</v>
      </c>
      <c r="H286" s="40">
        <f>R286/(Y286/10000)</f>
        <v>0.0024686879154756191</v>
      </c>
      <c r="I286">
        <v>19.199999999999999</v>
      </c>
      <c r="J286">
        <v>19.449999999999999</v>
      </c>
      <c r="K286">
        <v>19.300000000000001</v>
      </c>
      <c r="L286">
        <v>0.25</v>
      </c>
      <c r="M286">
        <v>0.012999999999999999</v>
      </c>
      <c r="N286">
        <v>19.449999999999999</v>
      </c>
      <c r="O286">
        <v>19.5</v>
      </c>
      <c r="P286">
        <v>19.449999999999999</v>
      </c>
      <c r="Q286">
        <v>119</v>
      </c>
      <c r="R286">
        <v>2431</v>
      </c>
      <c r="S286">
        <v>1656</v>
      </c>
      <c r="T286">
        <f>((P286-K286)/K286)</f>
        <v>0.0077720207253885272</v>
      </c>
      <c r="U286">
        <f>((T286*AB286)*D4)</f>
        <v>0.053346065995645862</v>
      </c>
      <c r="V286" s="3">
        <f>IF(P286&lt;=N286,(P286*Q286*1000),0)</f>
        <v>2314549.9999999995</v>
      </c>
      <c r="W286" s="3">
        <f>IF(P286&gt;=O286,(P286*Q286*1000),0)</f>
        <v>0</v>
      </c>
      <c r="X286">
        <v>2104</v>
      </c>
      <c r="Y286" s="3">
        <v>9847336250</v>
      </c>
      <c r="Z286" s="40">
        <f>((C4*AB286)/P286)/10</f>
        <v>0.032385925867987532</v>
      </c>
      <c r="AA286" s="40">
        <f>((M286*AB286)*C4)</f>
        <v>0.081887813557206465</v>
      </c>
      <c r="AB286" s="40">
        <f>AE286/AE323</f>
        <v>0.00053707030110192666</v>
      </c>
      <c r="AC286" s="40">
        <f>AF286/AF323</f>
        <v>0.00052524131721810429</v>
      </c>
      <c r="AD286" s="3">
        <f>IF(ISNA(J286),(I286*Y286)/10,(J286*Y286)/10)</f>
        <v>19153069006.25</v>
      </c>
      <c r="AE286" s="3">
        <f>IF(ISNA(P286),(I286*Y286)/10,(P286*Y286)/10)</f>
        <v>19153069006.25</v>
      </c>
      <c r="AF286" s="3">
        <f>(I286*Y286)/10</f>
        <v>18906885600</v>
      </c>
      <c r="AG286">
        <f>IF(AND(P286&lt;=N286,L286&lt;0),IF(Q286&lt;10,"DBL10",IF(Q286&gt;=200,"DBM200",IF(Q286&gt;=150,"DBM150",IF(Q286&gt;=100,"DBM100",IF(Q286&gt;=50,"DBM50","DBM10-50"))))),0)</f>
        <v>0</v>
      </c>
      <c r="AH286">
        <f>IF(AND(P286&gt;=O286,L286&lt;0),IF(Q286&lt;10,"DAL10",IF(Q286&gt;=200,"DAM200",IF(Q286&gt;=150,"DAM150",IF(Q286&gt;=100,"DAM100",IF(Q286&gt;=50,"DAM50","DAM10-50"))))),0)</f>
        <v>0</v>
      </c>
      <c r="AI286">
        <f>IF(AND(P286&gt;=O286,L286&gt;0),IF(Q286&lt;10,"UAL10",IF(Q286&gt;=200,"UAM200",IF(Q286&gt;=150,"UAM150",IF(Q286&gt;=100,"UAM100",IF(Q286&gt;=50,"UAM50","UAM10-50"))))),0)</f>
        <v>0</v>
      </c>
      <c r="AJ286" t="s">
        <f>IF(AND(P286&lt;=N286,L286&gt;0),IF(Q286&lt;10,"UBL10",IF(Q286&gt;=200,"UBM200",IF(Q286&gt;=150,"UBM150",IF(Q286&gt;=100,"UBM100",IF(Q286&gt;=50,"UBM50","UBM10-50"))))),0)</f>
        <v>19</v>
      </c>
      <c r="AK286" t="s">
        <f>IF(Q286&lt;18,"down",IF(Q286=18,18,IF(Q286&gt;18,"up")))</f>
        <v>6</v>
      </c>
    </row>
    <row r="287" spans="1:37">
      <c r="A287">
        <f>IF(X287=1409,1409,"Error")</f>
        <v>1409</v>
      </c>
      <c r="B287" t="s">
        <f>IF(K287&lt;11.449999999999999,"down",IF(K287=11.449999999999999,"low",IF(K287=11.85,"high",IF(AND(K287&gt;11.449999999999999,K287&lt;11.85),"normal","up"))))</f>
        <v>79</v>
      </c>
      <c r="C287" t="s">
        <f>IF(K287&lt;11.449999999999999,"down",IF(K287=11.449999999999999,"low",IF(K287=11.85,"high",IF(AND(K287&gt;11.449999999999999,K287&lt;11.85),"normal","up"))))</f>
        <v>79</v>
      </c>
      <c r="D287" t="s">
        <f>IF(K287&lt;11.449999999999999,"down",IF(K287=11.449999999999999,"low",IF(K287=11.85,"high",IF(AND(K287&gt;11.449999999999999,K287&lt;11.85),"normal","up"))))</f>
        <v>79</v>
      </c>
      <c r="E287" t="s">
        <f>IF(K287&lt;11.15,"down",IF(K287=11.15,"low",IF(K287=11.9,"high",IF(AND(K287&gt;11.15,K287&lt;11.9),"normal","up"))))</f>
        <v>79</v>
      </c>
      <c r="F287">
        <f>IF(P287&lt;11.550000000000001,"PVP-down",IF(P287=11.550000000000001,11.550000000000001,IF(P287&gt;11.550000000000001,"PVP-up")))</f>
        <v>11.550000000000001</v>
      </c>
      <c r="G287" t="s">
        <f>IF(R287&lt;1047,"PVV-down",IF(R287=1047,1047,IF(R287&gt;1047,"PVV-up")))</f>
        <v>87</v>
      </c>
      <c r="H287" s="40">
        <f>R287/(Y287/10000)</f>
        <v>0.00055795527436823154</v>
      </c>
      <c r="I287">
        <v>11.550000000000001</v>
      </c>
      <c r="J287">
        <v>11.550000000000001</v>
      </c>
      <c r="K287">
        <v>11.550000000000001</v>
      </c>
      <c r="L287">
        <v>0</v>
      </c>
      <c r="M287">
        <v>0</v>
      </c>
      <c r="N287">
        <v>11.5</v>
      </c>
      <c r="O287">
        <v>11.550000000000001</v>
      </c>
      <c r="P287">
        <v>11.550000000000001</v>
      </c>
      <c r="Q287">
        <v>31</v>
      </c>
      <c r="R287">
        <v>903</v>
      </c>
      <c r="S287">
        <v>4459</v>
      </c>
      <c r="T287">
        <f>((P287-K287)/K287)</f>
        <v>0</v>
      </c>
      <c r="U287">
        <f>((T287*AB287)*D4)</f>
        <v>0</v>
      </c>
      <c r="V287" s="3">
        <f>IF(P287&lt;=N287,(P287*Q287*1000),0)</f>
        <v>0</v>
      </c>
      <c r="W287" s="3">
        <f>IF(P287&gt;=O287,(P287*Q287*1000),0)</f>
        <v>358050</v>
      </c>
      <c r="X287">
        <v>1409</v>
      </c>
      <c r="Y287" s="3">
        <v>16184092910</v>
      </c>
      <c r="Z287" s="40">
        <f>((C4*AB287)/P287)/10</f>
        <v>0.053226255295576244</v>
      </c>
      <c r="AA287" s="40">
        <f>((M287*AB287)*C4)</f>
        <v>0</v>
      </c>
      <c r="AB287" s="40">
        <f>AE287/AE323</f>
        <v>0.00052415907732884608</v>
      </c>
      <c r="AC287" s="40">
        <f>AF287/AF323</f>
        <v>0.00051928913089329808</v>
      </c>
      <c r="AD287" s="3">
        <f>IF(ISNA(J287),(I287*Y287)/10,(J287*Y287)/10)</f>
        <v>18692627311.049999</v>
      </c>
      <c r="AE287" s="3">
        <f>IF(ISNA(P287),(I287*Y287)/10,(P287*Y287)/10)</f>
        <v>18692627311.049999</v>
      </c>
      <c r="AF287" s="3">
        <f>(I287*Y287)/10</f>
        <v>18692627311.049999</v>
      </c>
      <c r="AG287">
        <f>IF(AND(P287&lt;=N287,L287&lt;0),IF(Q287&lt;10,"DBL10",IF(Q287&gt;=200,"DBM200",IF(Q287&gt;=150,"DBM150",IF(Q287&gt;=100,"DBM100",IF(Q287&gt;=50,"DBM50","DBM10-50"))))),0)</f>
        <v>0</v>
      </c>
      <c r="AH287">
        <f>IF(AND(P287&gt;=O287,L287&lt;0),IF(Q287&lt;10,"DAL10",IF(Q287&gt;=200,"DAM200",IF(Q287&gt;=150,"DAM150",IF(Q287&gt;=100,"DAM100",IF(Q287&gt;=50,"DAM50","DAM10-50"))))),0)</f>
        <v>0</v>
      </c>
      <c r="AI287">
        <f>IF(AND(P287&gt;=O287,L287&gt;0),IF(Q287&lt;10,"UAL10",IF(Q287&gt;=200,"UAM200",IF(Q287&gt;=150,"UAM150",IF(Q287&gt;=100,"UAM100",IF(Q287&gt;=50,"UAM50","UAM10-50"))))),0)</f>
        <v>0</v>
      </c>
      <c r="AJ287">
        <f>IF(AND(P287&lt;=N287,L287&gt;0),IF(Q287&lt;10,"UBL10",IF(Q287&gt;=200,"UBM200",IF(Q287&gt;=150,"UBM150",IF(Q287&gt;=100,"UBM100",IF(Q287&gt;=50,"UBM50","UBM10-50"))))),0)</f>
        <v>0</v>
      </c>
      <c r="AK287" t="s">
        <f>IF(Q287&lt;11,"down",IF(Q287=11,11,IF(Q287&gt;11,"up")))</f>
        <v>6</v>
      </c>
    </row>
    <row r="288" spans="1:37">
      <c r="A288">
        <f>IF(X288=1215,1215,"Error")</f>
        <v>1215</v>
      </c>
      <c r="B288" t="s">
        <f>IF(K288&lt;70,"down",IF(K288=70,"low",IF(K288=72.299999999999997,"high",IF(AND(K288&gt;70,K288&lt;72.299999999999997),"normal","up"))))</f>
        <v>84</v>
      </c>
      <c r="C288" t="s">
        <f>IF(K288&lt;70,"down",IF(K288=70,"low",IF(K288=72.299999999999997,"high",IF(AND(K288&gt;70,K288&lt;72.299999999999997),"normal","up"))))</f>
        <v>84</v>
      </c>
      <c r="D288" t="s">
        <f>IF(K288&lt;70,"down",IF(K288=70,"low",IF(K288=72.299999999999997,"high",IF(AND(K288&gt;70,K288&lt;72.299999999999997),"normal","up"))))</f>
        <v>84</v>
      </c>
      <c r="E288" t="s">
        <f>IF(K288&lt;66.400000000000006,"down",IF(K288=66.400000000000006,"low",IF(K288=72.299999999999997,"high",IF(AND(K288&gt;66.400000000000006,K288&lt;72.299999999999997),"normal","up"))))</f>
        <v>84</v>
      </c>
      <c r="F288" t="s">
        <f>IF(P288&lt;72,"PVP-down",IF(P288=72,72,IF(P288&gt;72,"PVP-up")))</f>
        <v>80</v>
      </c>
      <c r="G288" t="s">
        <f>IF(R288&lt;604,"PVV-down",IF(R288=604,604,IF(R288&gt;604,"PVV-up")))</f>
        <v>81</v>
      </c>
      <c r="H288" s="40">
        <f>R288/(Y288/10000)</f>
        <v>0.010220492555499942</v>
      </c>
      <c r="I288">
        <v>72.299999999999997</v>
      </c>
      <c r="J288">
        <v>70.299999999999997</v>
      </c>
      <c r="K288">
        <v>72.299999999999997</v>
      </c>
      <c r="L288">
        <v>-2</v>
      </c>
      <c r="M288">
        <v>-0.027699999999999999</v>
      </c>
      <c r="N288">
        <v>70.299999999999997</v>
      </c>
      <c r="O288">
        <v>70.400000000000006</v>
      </c>
      <c r="P288">
        <v>70.299999999999997</v>
      </c>
      <c r="Q288">
        <v>86</v>
      </c>
      <c r="R288">
        <v>2739</v>
      </c>
      <c r="S288">
        <v>3946</v>
      </c>
      <c r="T288">
        <f>((P288-K288)/K288)</f>
        <v>-0.027662517289073308</v>
      </c>
      <c r="U288">
        <f>((T288*AB288)*D4)</f>
        <v>-0.18676577911612499</v>
      </c>
      <c r="V288" s="3">
        <f>IF(P288&lt;=N288,(P288*Q288*1000),0)</f>
        <v>6045800</v>
      </c>
      <c r="W288" s="3">
        <f>IF(P288&gt;=O288,(P288*Q288*1000),0)</f>
        <v>0</v>
      </c>
      <c r="X288">
        <v>1215</v>
      </c>
      <c r="Y288" s="3">
        <v>2679909980</v>
      </c>
      <c r="Z288" s="40">
        <f>((C4*AB288)/P288)/10</f>
        <v>0.0088136896864022436</v>
      </c>
      <c r="AA288" s="40">
        <f>((M288*AB288)*C4)</f>
        <v>-0.1716298606322795</v>
      </c>
      <c r="AB288" s="40">
        <f>AE288/AE323</f>
        <v>0.00052828501884932203</v>
      </c>
      <c r="AC288" s="40">
        <f>AF288/AF323</f>
        <v>0.000538266546049756</v>
      </c>
      <c r="AD288" s="3">
        <f>IF(ISNA(J288),(I288*Y288)/10,(J288*Y288)/10)</f>
        <v>18839767159.400002</v>
      </c>
      <c r="AE288" s="3">
        <f>IF(ISNA(P288),(I288*Y288)/10,(P288*Y288)/10)</f>
        <v>18839767159.400002</v>
      </c>
      <c r="AF288" s="3">
        <f>(I288*Y288)/10</f>
        <v>19375749155.400002</v>
      </c>
      <c r="AG288" t="s">
        <f>IF(AND(P288&lt;=N288,L288&lt;0),IF(Q288&lt;10,"DBL10",IF(Q288&gt;=200,"DBM200",IF(Q288&gt;=150,"DBM150",IF(Q288&gt;=100,"DBM100",IF(Q288&gt;=50,"DBM50","DBM10-50"))))),0)</f>
        <v>13</v>
      </c>
      <c r="AH288">
        <f>IF(AND(P288&gt;=O288,L288&lt;0),IF(Q288&lt;10,"DAL10",IF(Q288&gt;=200,"DAM200",IF(Q288&gt;=150,"DAM150",IF(Q288&gt;=100,"DAM100",IF(Q288&gt;=50,"DAM50","DAM10-50"))))),0)</f>
        <v>0</v>
      </c>
      <c r="AI288">
        <f>IF(AND(P288&gt;=O288,L288&gt;0),IF(Q288&lt;10,"UAL10",IF(Q288&gt;=200,"UAM200",IF(Q288&gt;=150,"UAM150",IF(Q288&gt;=100,"UAM100",IF(Q288&gt;=50,"UAM50","UAM10-50"))))),0)</f>
        <v>0</v>
      </c>
      <c r="AJ288">
        <f>IF(AND(P288&lt;=N288,L288&gt;0),IF(Q288&lt;10,"UBL10",IF(Q288&gt;=200,"UBM200",IF(Q288&gt;=150,"UBM150",IF(Q288&gt;=100,"UBM100",IF(Q288&gt;=50,"UBM50","UBM10-50"))))),0)</f>
        <v>0</v>
      </c>
      <c r="AK288" t="s">
        <f>IF(Q288&lt;30,"down",IF(Q288=30,30,IF(Q288&gt;30,"up")))</f>
        <v>6</v>
      </c>
    </row>
    <row r="289" spans="1:37">
      <c r="A289">
        <f>IF(X289=2520,2520,"Error")</f>
        <v>2520</v>
      </c>
      <c r="B289" t="s">
        <f>IF(K289&lt;35.049999999999997,"down",IF(K289=35.049999999999997,"low",IF(K289=35.549999999999997,"high",IF(AND(K289&gt;35.049999999999997,K289&lt;35.549999999999997),"normal","up"))))</f>
        <v>79</v>
      </c>
      <c r="C289" t="s">
        <f>IF(K289&lt;35.049999999999997,"down",IF(K289=35.049999999999997,"low",IF(K289=35.549999999999997,"high",IF(AND(K289&gt;35.049999999999997,K289&lt;35.549999999999997),"normal","up"))))</f>
        <v>79</v>
      </c>
      <c r="D289" t="s">
        <f>IF(K289&lt;35.049999999999997,"down",IF(K289=35.049999999999997,"low",IF(K289=35.549999999999997,"high",IF(AND(K289&gt;35.049999999999997,K289&lt;35.549999999999997),"normal","up"))))</f>
        <v>79</v>
      </c>
      <c r="E289" t="s">
        <f>IF(K289&lt;34.649999999999999,"down",IF(K289=34.649999999999999,"low",IF(K289=36.450000000000003,"high",IF(AND(K289&gt;34.649999999999999,K289&lt;36.450000000000003),"normal","up"))))</f>
        <v>79</v>
      </c>
      <c r="F289" t="s">
        <f>IF(P289&lt;35.399999999999999,"PVP-down",IF(P289=35.399999999999999,35.399999999999999,IF(P289&gt;35.399999999999999,"PVP-up")))</f>
        <v>83</v>
      </c>
      <c r="G289" t="s">
        <f>IF(R289&lt;259,"PVV-down",IF(R289=259,259,IF(R289&gt;259,"PVV-up")))</f>
        <v>81</v>
      </c>
      <c r="H289" s="40">
        <f>R289/(Y289/10000)</f>
        <v>0.0040036443683988</v>
      </c>
      <c r="I289">
        <v>35.149999999999999</v>
      </c>
      <c r="J289">
        <v>35.700000000000003</v>
      </c>
      <c r="K289">
        <v>35.5</v>
      </c>
      <c r="L289">
        <v>0.55000000000000004</v>
      </c>
      <c r="M289">
        <v>0.015599999999999999</v>
      </c>
      <c r="N289">
        <v>35.700000000000003</v>
      </c>
      <c r="O289">
        <v>35.75</v>
      </c>
      <c r="P289">
        <v>35.700000000000003</v>
      </c>
      <c r="Q289">
        <v>45</v>
      </c>
      <c r="R289">
        <v>2017</v>
      </c>
      <c r="S289">
        <v>1077</v>
      </c>
      <c r="T289">
        <f>((P289-K289)/K289)</f>
        <v>0.0056338028169014885</v>
      </c>
      <c r="U289">
        <f>((T289*AB289)*D4)</f>
        <v>0.036312014065069696</v>
      </c>
      <c r="V289" s="3">
        <f>IF(P289&lt;=N289,(P289*Q289*1000),0)</f>
        <v>1606500.0000000002</v>
      </c>
      <c r="W289" s="3">
        <f>IF(P289&gt;=O289,(P289*Q289*1000),0)</f>
        <v>0</v>
      </c>
      <c r="X289">
        <v>2520</v>
      </c>
      <c r="Y289" s="3">
        <v>5037910000</v>
      </c>
      <c r="Z289" s="40">
        <f>((C4*AB289)/P289)/10</f>
        <v>0.016568681686846335</v>
      </c>
      <c r="AA289" s="40">
        <f>((M289*AB289)*C4)</f>
        <v>0.092274302050384588</v>
      </c>
      <c r="AB289" s="40">
        <f>AE289/AE323</f>
        <v>0.00050432603087667549</v>
      </c>
      <c r="AC289" s="40">
        <f>AF289/AF323</f>
        <v>0.00049194281223970083</v>
      </c>
      <c r="AD289" s="3">
        <f>IF(ISNA(J289),(I289*Y289)/10,(J289*Y289)/10)</f>
        <v>17985338700</v>
      </c>
      <c r="AE289" s="3">
        <f>IF(ISNA(P289),(I289*Y289)/10,(P289*Y289)/10)</f>
        <v>17985338700</v>
      </c>
      <c r="AF289" s="3">
        <f>(I289*Y289)/10</f>
        <v>17708253650</v>
      </c>
      <c r="AG289">
        <f>IF(AND(P289&lt;=N289,L289&lt;0),IF(Q289&lt;10,"DBL10",IF(Q289&gt;=200,"DBM200",IF(Q289&gt;=150,"DBM150",IF(Q289&gt;=100,"DBM100",IF(Q289&gt;=50,"DBM50","DBM10-50"))))),0)</f>
        <v>0</v>
      </c>
      <c r="AH289">
        <f>IF(AND(P289&gt;=O289,L289&lt;0),IF(Q289&lt;10,"DAL10",IF(Q289&gt;=200,"DAM200",IF(Q289&gt;=150,"DAM150",IF(Q289&gt;=100,"DAM100",IF(Q289&gt;=50,"DAM50","DAM10-50"))))),0)</f>
        <v>0</v>
      </c>
      <c r="AI289">
        <f>IF(AND(P289&gt;=O289,L289&gt;0),IF(Q289&lt;10,"UAL10",IF(Q289&gt;=200,"UAM200",IF(Q289&gt;=150,"UAM150",IF(Q289&gt;=100,"UAM100",IF(Q289&gt;=50,"UAM50","UAM10-50"))))),0)</f>
        <v>0</v>
      </c>
      <c r="AJ289" t="s">
        <f>IF(AND(P289&lt;=N289,L289&gt;0),IF(Q289&lt;10,"UBL10",IF(Q289&gt;=200,"UBM200",IF(Q289&gt;=150,"UBM150",IF(Q289&gt;=100,"UBM100",IF(Q289&gt;=50,"UBM50","UBM10-50"))))),0)</f>
        <v>17</v>
      </c>
      <c r="AK289" t="s">
        <f>IF(Q289&lt;16,"down",IF(Q289=16,16,IF(Q289&gt;16,"up")))</f>
        <v>6</v>
      </c>
    </row>
    <row r="290" spans="1:37">
      <c r="A290">
        <f>IF(X290=2206,2206,"Error")</f>
        <v>2206</v>
      </c>
      <c r="B290" t="s">
        <f>IF(K290&lt;22.699999999999999,"down",IF(K290=22.699999999999999,"low",IF(K290=23.5,"high",IF(AND(K290&gt;22.699999999999999,K290&lt;23.5),"normal","up"))))</f>
        <v>79</v>
      </c>
      <c r="C290" t="s">
        <f>IF(K290&lt;22.699999999999999,"down",IF(K290=22.699999999999999,"low",IF(K290=23.5,"high",IF(AND(K290&gt;22.699999999999999,K290&lt;23.5),"normal","up"))))</f>
        <v>79</v>
      </c>
      <c r="D290" t="s">
        <f>IF(K290&lt;22.699999999999999,"down",IF(K290=22.699999999999999,"low",IF(K290=23.5,"high",IF(AND(K290&gt;22.699999999999999,K290&lt;23.5),"normal","up"))))</f>
        <v>79</v>
      </c>
      <c r="E290" t="s">
        <f>IF(K290&lt;20.800000000000001,"down",IF(K290=20.800000000000001,"low",IF(K290=23.5,"high",IF(AND(K290&gt;20.800000000000001,K290&lt;23.5),"normal","up"))))</f>
        <v>79</v>
      </c>
      <c r="F290" t="s">
        <f>IF(P290&lt;22.899999999999999,"PVP-down",IF(P290=22.899999999999999,22.899999999999999,IF(P290&gt;22.899999999999999,"PVP-up")))</f>
        <v>83</v>
      </c>
      <c r="G290" t="s">
        <f>IF(R290&lt;590,"PVV-down",IF(R290=590,590,IF(R290&gt;590,"PVV-up")))</f>
        <v>81</v>
      </c>
      <c r="H290" s="40">
        <f>R290/(Y290/10000)</f>
        <v>0.0049128276747389902</v>
      </c>
      <c r="I290">
        <v>23.199999999999999</v>
      </c>
      <c r="J290">
        <v>23</v>
      </c>
      <c r="K290">
        <v>23.199999999999999</v>
      </c>
      <c r="L290">
        <v>-0.20000000000000001</v>
      </c>
      <c r="M290">
        <v>-0.0086</v>
      </c>
      <c r="N290">
        <v>23</v>
      </c>
      <c r="O290">
        <v>23.050000000000001</v>
      </c>
      <c r="P290">
        <v>23</v>
      </c>
      <c r="Q290">
        <v>133</v>
      </c>
      <c r="R290">
        <v>4001</v>
      </c>
      <c r="S290">
        <v>5284</v>
      </c>
      <c r="T290">
        <f>((P290-K290)/K290)</f>
        <v>-0.0086206896551723842</v>
      </c>
      <c r="U290">
        <f>((T290*AB290)*D4)</f>
        <v>-0.057867796004151373</v>
      </c>
      <c r="V290" s="3">
        <f>IF(P290&lt;=N290,(P290*Q290*1000),0)</f>
        <v>3059000</v>
      </c>
      <c r="W290" s="3">
        <f>IF(P290&gt;=O290,(P290*Q290*1000),0)</f>
        <v>0</v>
      </c>
      <c r="X290">
        <v>2206</v>
      </c>
      <c r="Y290" s="3">
        <v>8143986040</v>
      </c>
      <c r="Z290" s="40">
        <f>((C4*AB290)/P290)/10</f>
        <v>0.026783946588740209</v>
      </c>
      <c r="AA290" s="40">
        <f>((M290*AB290)*C4)</f>
        <v>-0.052978646352528136</v>
      </c>
      <c r="AB290" s="40">
        <f>AE290/AE323</f>
        <v>0.0005252397919343595</v>
      </c>
      <c r="AC290" s="40">
        <f>AF290/AF323</f>
        <v>0.00052488467247766338</v>
      </c>
      <c r="AD290" s="3">
        <f>IF(ISNA(J290),(I290*Y290)/10,(J290*Y290)/10)</f>
        <v>18731167892</v>
      </c>
      <c r="AE290" s="3">
        <f>IF(ISNA(P290),(I290*Y290)/10,(P290*Y290)/10)</f>
        <v>18731167892</v>
      </c>
      <c r="AF290" s="3">
        <f>(I290*Y290)/10</f>
        <v>18894047612.799999</v>
      </c>
      <c r="AG290" t="s">
        <f>IF(AND(P290&lt;=N290,L290&lt;0),IF(Q290&lt;10,"DBL10",IF(Q290&gt;=200,"DBM200",IF(Q290&gt;=150,"DBM150",IF(Q290&gt;=100,"DBM100",IF(Q290&gt;=50,"DBM50","DBM10-50"))))),0)</f>
        <v>14</v>
      </c>
      <c r="AH290">
        <f>IF(AND(P290&gt;=O290,L290&lt;0),IF(Q290&lt;10,"DAL10",IF(Q290&gt;=200,"DAM200",IF(Q290&gt;=150,"DAM150",IF(Q290&gt;=100,"DAM100",IF(Q290&gt;=50,"DAM50","DAM10-50"))))),0)</f>
        <v>0</v>
      </c>
      <c r="AI290">
        <f>IF(AND(P290&gt;=O290,L290&gt;0),IF(Q290&lt;10,"UAL10",IF(Q290&gt;=200,"UAM200",IF(Q290&gt;=150,"UAM150",IF(Q290&gt;=100,"UAM100",IF(Q290&gt;=50,"UAM50","UAM10-50"))))),0)</f>
        <v>0</v>
      </c>
      <c r="AJ290">
        <f>IF(AND(P290&lt;=N290,L290&gt;0),IF(Q290&lt;10,"UBL10",IF(Q290&gt;=200,"UBM200",IF(Q290&gt;=150,"UBM150",IF(Q290&gt;=100,"UBM100",IF(Q290&gt;=50,"UBM50","UBM10-50"))))),0)</f>
        <v>0</v>
      </c>
      <c r="AK290" t="s">
        <f>IF(Q290&lt;204,"down",IF(Q290=204,204,IF(Q290&gt;204,"up")))</f>
        <v>7</v>
      </c>
    </row>
    <row r="291" spans="1:37">
      <c r="A291">
        <f>IF(X291=1909,1909,"Error")</f>
        <v>1909</v>
      </c>
      <c r="B291" t="s">
        <f>IF(K291&lt;14.9,"down",IF(K291=14.9,"low",IF(K291=15.5,"high",IF(AND(K291&gt;14.9,K291&lt;15.5),"normal","up"))))</f>
        <v>79</v>
      </c>
      <c r="C291" t="s">
        <f>IF(K291&lt;14.9,"down",IF(K291=14.9,"low",IF(K291=15.5,"high",IF(AND(K291&gt;14.9,K291&lt;15.5),"normal","up"))))</f>
        <v>79</v>
      </c>
      <c r="D291" t="s">
        <f>IF(K291&lt;14.9,"down",IF(K291=14.9,"low",IF(K291=15.5,"high",IF(AND(K291&gt;14.9,K291&lt;15.5),"normal","up"))))</f>
        <v>79</v>
      </c>
      <c r="E291" t="s">
        <f>IF(K291&lt;14.15,"down",IF(K291=14.15,"low",IF(K291=15.5,"high",IF(AND(K291&gt;14.15,K291&lt;15.5),"normal","up"))))</f>
        <v>79</v>
      </c>
      <c r="F291" t="s">
        <f>IF(P291&lt;15,"PVP-down",IF(P291=15,15,IF(P291&gt;15,"PVP-up")))</f>
        <v>83</v>
      </c>
      <c r="G291" t="s">
        <f>IF(R291&lt;2142,"PVV-down",IF(R291=2142,2142,IF(R291&gt;2142,"PVV-up")))</f>
        <v>81</v>
      </c>
      <c r="H291" s="40">
        <f>R291/(Y291/10000)</f>
        <v>0.0068917618182774351</v>
      </c>
      <c r="I291">
        <v>15</v>
      </c>
      <c r="J291">
        <v>15.050000000000001</v>
      </c>
      <c r="K291">
        <v>15.1</v>
      </c>
      <c r="L291">
        <v>0.050000000000000003</v>
      </c>
      <c r="M291">
        <v>0.0033</v>
      </c>
      <c r="N291">
        <v>15.050000000000001</v>
      </c>
      <c r="O291">
        <v>15.1</v>
      </c>
      <c r="P291">
        <v>15.050000000000001</v>
      </c>
      <c r="Q291">
        <v>241</v>
      </c>
      <c r="R291">
        <v>8392</v>
      </c>
      <c r="S291">
        <v>13823</v>
      </c>
      <c r="T291">
        <f>((P291-K291)/K291)</f>
        <v>-0.0033112582781456247</v>
      </c>
      <c r="U291">
        <f>((T291*AB291)*D4)</f>
        <v>-0.021746774291143363</v>
      </c>
      <c r="V291" s="3">
        <f>IF(P291&lt;=N291,(P291*Q291*1000),0)</f>
        <v>3627050</v>
      </c>
      <c r="W291" s="3">
        <f>IF(P291&gt;=O291,(P291*Q291*1000),0)</f>
        <v>0</v>
      </c>
      <c r="X291">
        <v>1909</v>
      </c>
      <c r="Y291" s="3">
        <v>12176857270</v>
      </c>
      <c r="Z291" s="40">
        <f>((C4*AB291)/P291)/10</f>
        <v>0.040047256114696492</v>
      </c>
      <c r="AA291" s="40">
        <f>((M291*AB291)*C4)</f>
        <v>0.019889469749364015</v>
      </c>
      <c r="AB291" s="40">
        <f>AE291/AE323</f>
        <v>0.00051388327058716934</v>
      </c>
      <c r="AC291" s="40">
        <f>AF291/AF323</f>
        <v>0.00050741740501711579</v>
      </c>
      <c r="AD291" s="3">
        <f>IF(ISNA(J291),(I291*Y291)/10,(J291*Y291)/10)</f>
        <v>18326170191.349998</v>
      </c>
      <c r="AE291" s="3">
        <f>IF(ISNA(P291),(I291*Y291)/10,(P291*Y291)/10)</f>
        <v>18326170191.349998</v>
      </c>
      <c r="AF291" s="3">
        <f>(I291*Y291)/10</f>
        <v>18265285905</v>
      </c>
      <c r="AG291">
        <f>IF(AND(P291&lt;=N291,L291&lt;0),IF(Q291&lt;10,"DBL10",IF(Q291&gt;=200,"DBM200",IF(Q291&gt;=150,"DBM150",IF(Q291&gt;=100,"DBM100",IF(Q291&gt;=50,"DBM50","DBM10-50"))))),0)</f>
        <v>0</v>
      </c>
      <c r="AH291">
        <f>IF(AND(P291&gt;=O291,L291&lt;0),IF(Q291&lt;10,"DAL10",IF(Q291&gt;=200,"DAM200",IF(Q291&gt;=150,"DAM150",IF(Q291&gt;=100,"DAM100",IF(Q291&gt;=50,"DAM50","DAM10-50"))))),0)</f>
        <v>0</v>
      </c>
      <c r="AI291">
        <f>IF(AND(P291&gt;=O291,L291&gt;0),IF(Q291&lt;10,"UAL10",IF(Q291&gt;=200,"UAM200",IF(Q291&gt;=150,"UAM150",IF(Q291&gt;=100,"UAM100",IF(Q291&gt;=50,"UAM50","UAM10-50"))))),0)</f>
        <v>0</v>
      </c>
      <c r="AJ291" t="s">
        <f>IF(AND(P291&lt;=N291,L291&gt;0),IF(Q291&lt;10,"UBL10",IF(Q291&gt;=200,"UBM200",IF(Q291&gt;=150,"UBM150",IF(Q291&gt;=100,"UBM100",IF(Q291&gt;=50,"UBM50","UBM10-50"))))),0)</f>
        <v>21</v>
      </c>
      <c r="AK291" t="s">
        <f>IF(Q291&lt;138,"down",IF(Q291=138,138,IF(Q291&gt;138,"up")))</f>
        <v>6</v>
      </c>
    </row>
    <row r="292" spans="1:37">
      <c r="A292">
        <f>IF(X292=2108,2108,"Error")</f>
        <v>2108</v>
      </c>
      <c r="B292" t="s">
        <f>IF(K292&lt;37.600000000000001,"down",IF(K292=37.600000000000001,"low",IF(K292=38.799999999999997,"high",IF(AND(K292&gt;37.600000000000001,K292&lt;38.799999999999997),"normal","up"))))</f>
        <v>79</v>
      </c>
      <c r="C292" t="s">
        <f>IF(K292&lt;37.600000000000001,"down",IF(K292=37.600000000000001,"low",IF(K292=38.799999999999997,"high",IF(AND(K292&gt;37.600000000000001,K292&lt;38.799999999999997),"normal","up"))))</f>
        <v>79</v>
      </c>
      <c r="D292" t="s">
        <f>IF(K292&lt;37.600000000000001,"down",IF(K292=37.600000000000001,"low",IF(K292=38.799999999999997,"high",IF(AND(K292&gt;37.600000000000001,K292&lt;38.799999999999997),"normal","up"))))</f>
        <v>79</v>
      </c>
      <c r="E292" t="s">
        <f>IF(K292&lt;35.350000000000001,"down",IF(K292=35.350000000000001,"low",IF(K292=39.100000000000001,"high",IF(AND(K292&gt;35.350000000000001,K292&lt;39.100000000000001),"normal","up"))))</f>
        <v>79</v>
      </c>
      <c r="F292" t="s">
        <f>IF(P292&lt;38.5,"PVP-down",IF(P292=38.5,38.5,IF(P292&gt;38.5,"PVP-up")))</f>
        <v>80</v>
      </c>
      <c r="G292" t="s">
        <f>IF(R292&lt;306,"PVV-down",IF(R292=306,306,IF(R292&gt;306,"PVV-up")))</f>
        <v>81</v>
      </c>
      <c r="H292" s="40">
        <f>R292/(Y292/10000)</f>
        <v>0.0040433238063946166</v>
      </c>
      <c r="I292">
        <v>38.25</v>
      </c>
      <c r="J292">
        <v>36.950000000000003</v>
      </c>
      <c r="K292">
        <v>38.25</v>
      </c>
      <c r="L292">
        <v>-1.3</v>
      </c>
      <c r="M292">
        <v>-0.034000000000000002</v>
      </c>
      <c r="N292">
        <v>36.950000000000003</v>
      </c>
      <c r="O292">
        <v>37</v>
      </c>
      <c r="P292">
        <v>36.950000000000003</v>
      </c>
      <c r="Q292">
        <v>53</v>
      </c>
      <c r="R292">
        <v>1991</v>
      </c>
      <c r="S292">
        <v>2510</v>
      </c>
      <c r="T292">
        <f>((P292-K292)/K292)</f>
        <v>-0.033986928104575091</v>
      </c>
      <c r="U292">
        <f>((T292*AB292)*D4)</f>
        <v>-0.2216099048107445</v>
      </c>
      <c r="V292" s="3">
        <f>IF(P292&lt;=N292,(P292*Q292*1000),0)</f>
        <v>1958350.0000000002</v>
      </c>
      <c r="W292" s="3">
        <f>IF(P292&gt;=O292,(P292*Q292*1000),0)</f>
        <v>0</v>
      </c>
      <c r="X292">
        <v>2108</v>
      </c>
      <c r="Y292" s="3">
        <v>4924166590</v>
      </c>
      <c r="Z292" s="40">
        <f>((C4*AB292)/P292)/10</f>
        <v>0.01619460228601018</v>
      </c>
      <c r="AA292" s="40">
        <f>((M292*AB292)*C4)</f>
        <v>-0.20345278851914589</v>
      </c>
      <c r="AB292" s="40">
        <f>AE292/AE323</f>
        <v>0.00051019940049109626</v>
      </c>
      <c r="AC292" s="40">
        <f>AF292/AF323</f>
        <v>0.00052324256027622292</v>
      </c>
      <c r="AD292" s="3">
        <f>IF(ISNA(J292),(I292*Y292)/10,(J292*Y292)/10)</f>
        <v>18194795550.049999</v>
      </c>
      <c r="AE292" s="3">
        <f>IF(ISNA(P292),(I292*Y292)/10,(P292*Y292)/10)</f>
        <v>18194795550.049999</v>
      </c>
      <c r="AF292" s="3">
        <f>(I292*Y292)/10</f>
        <v>18834937206.75</v>
      </c>
      <c r="AG292" t="s">
        <f>IF(AND(P292&lt;=N292,L292&lt;0),IF(Q292&lt;10,"DBL10",IF(Q292&gt;=200,"DBM200",IF(Q292&gt;=150,"DBM150",IF(Q292&gt;=100,"DBM100",IF(Q292&gt;=50,"DBM50","DBM10-50"))))),0)</f>
        <v>13</v>
      </c>
      <c r="AH292">
        <f>IF(AND(P292&gt;=O292,L292&lt;0),IF(Q292&lt;10,"DAL10",IF(Q292&gt;=200,"DAM200",IF(Q292&gt;=150,"DAM150",IF(Q292&gt;=100,"DAM100",IF(Q292&gt;=50,"DAM50","DAM10-50"))))),0)</f>
        <v>0</v>
      </c>
      <c r="AI292">
        <f>IF(AND(P292&gt;=O292,L292&gt;0),IF(Q292&lt;10,"UAL10",IF(Q292&gt;=200,"UAM200",IF(Q292&gt;=150,"UAM150",IF(Q292&gt;=100,"UAM100",IF(Q292&gt;=50,"UAM50","UAM10-50"))))),0)</f>
        <v>0</v>
      </c>
      <c r="AJ292">
        <f>IF(AND(P292&lt;=N292,L292&gt;0),IF(Q292&lt;10,"UBL10",IF(Q292&gt;=200,"UBM200",IF(Q292&gt;=150,"UBM150",IF(Q292&gt;=100,"UBM100",IF(Q292&gt;=50,"UBM50","UBM10-50"))))),0)</f>
        <v>0</v>
      </c>
      <c r="AK292" t="s">
        <f>IF(Q292&lt;29,"down",IF(Q292=29,29,IF(Q292&gt;29,"up")))</f>
        <v>6</v>
      </c>
    </row>
    <row r="293" spans="1:37">
      <c r="A293">
        <f>IF(X293=4551,4551,"Error")</f>
        <v>4551</v>
      </c>
      <c r="B293" t="s">
        <f>IF(K293&lt;171,"down",IF(K293=171,"low",IF(K293=176.5,"high",IF(AND(K293&gt;171,K293&lt;176.5),"normal","up"))))</f>
        <v>6</v>
      </c>
      <c r="C293" t="s">
        <f>IF(K293&lt;171,"down",IF(K293=171,"low",IF(K293=176.5,"high",IF(AND(K293&gt;171,K293&lt;176.5),"normal","up"))))</f>
        <v>6</v>
      </c>
      <c r="D293" t="s">
        <f>IF(K293&lt;171,"down",IF(K293=171,"low",IF(K293=176.5,"high",IF(AND(K293&gt;171,K293&lt;176.5),"normal","up"))))</f>
        <v>6</v>
      </c>
      <c r="E293" t="s">
        <f>IF(K293&lt;163,"down",IF(K293=163,"low",IF(K293=185.5,"high",IF(AND(K293&gt;163,K293&lt;185.5),"normal","up"))))</f>
        <v>79</v>
      </c>
      <c r="F293" t="s">
        <f>IF(P293&lt;175,"PVP-down",IF(P293=175,175,IF(P293&gt;175,"PVP-up")))</f>
        <v>80</v>
      </c>
      <c r="G293" t="s">
        <f>IF(R293&lt;75,"PVV-down",IF(R293=75,75,IF(R293&gt;75,"PVV-up")))</f>
        <v>81</v>
      </c>
      <c r="H293" s="40">
        <f>R293/(Y293/10000)</f>
        <v>0.005040874506768365</v>
      </c>
      <c r="I293">
        <v>176</v>
      </c>
      <c r="J293">
        <v>170</v>
      </c>
      <c r="K293">
        <v>178.5</v>
      </c>
      <c r="L293">
        <v>-6</v>
      </c>
      <c r="M293">
        <v>-0.034099999999999998</v>
      </c>
      <c r="N293">
        <v>170</v>
      </c>
      <c r="O293">
        <v>170.5</v>
      </c>
      <c r="P293">
        <v>170</v>
      </c>
      <c r="Q293">
        <v>19</v>
      </c>
      <c r="R293">
        <v>534</v>
      </c>
      <c r="S293">
        <v>468</v>
      </c>
      <c r="T293">
        <f>((P293-K293)/K293)</f>
        <v>-0.047619047619047616</v>
      </c>
      <c r="U293">
        <f>((T293*AB293)*D4)</f>
        <v>-0.30732300594376627</v>
      </c>
      <c r="V293" s="3">
        <f>IF(P293&lt;=N293,(P293*Q293*1000),0)</f>
        <v>3230000</v>
      </c>
      <c r="W293" s="3">
        <f>IF(P293&gt;=O293,(P293*Q293*1000),0)</f>
        <v>0</v>
      </c>
      <c r="X293">
        <v>4551</v>
      </c>
      <c r="Y293" s="3">
        <v>1059340000</v>
      </c>
      <c r="Z293" s="40">
        <f>((C4*AB293)/P293)/10</f>
        <v>0.0034839580814551656</v>
      </c>
      <c r="AA293" s="40">
        <f>((M293*AB293)*C4)</f>
        <v>-0.20196504998195594</v>
      </c>
      <c r="AB293" s="40">
        <f>AE293/AE323</f>
        <v>0.00050498334726002442</v>
      </c>
      <c r="AC293" s="40">
        <f>AF293/AF323</f>
        <v>0.00051794891120937169</v>
      </c>
      <c r="AD293" s="3">
        <f>IF(ISNA(J293),(I293*Y293)/10,(J293*Y293)/10)</f>
        <v>18008780000</v>
      </c>
      <c r="AE293" s="3">
        <f>IF(ISNA(P293),(I293*Y293)/10,(P293*Y293)/10)</f>
        <v>18008780000</v>
      </c>
      <c r="AF293" s="3">
        <f>(I293*Y293)/10</f>
        <v>18644384000</v>
      </c>
      <c r="AG293" t="s">
        <f>IF(AND(P293&lt;=N293,L293&lt;0),IF(Q293&lt;10,"DBL10",IF(Q293&gt;=200,"DBM200",IF(Q293&gt;=150,"DBM150",IF(Q293&gt;=100,"DBM100",IF(Q293&gt;=50,"DBM50","DBM10-50"))))),0)</f>
        <v>12</v>
      </c>
      <c r="AH293">
        <f>IF(AND(P293&gt;=O293,L293&lt;0),IF(Q293&lt;10,"DAL10",IF(Q293&gt;=200,"DAM200",IF(Q293&gt;=150,"DAM150",IF(Q293&gt;=100,"DAM100",IF(Q293&gt;=50,"DAM50","DAM10-50"))))),0)</f>
        <v>0</v>
      </c>
      <c r="AI293">
        <f>IF(AND(P293&gt;=O293,L293&gt;0),IF(Q293&lt;10,"UAL10",IF(Q293&gt;=200,"UAM200",IF(Q293&gt;=150,"UAM150",IF(Q293&gt;=100,"UAM100",IF(Q293&gt;=50,"UAM50","UAM10-50"))))),0)</f>
        <v>0</v>
      </c>
      <c r="AJ293">
        <f>IF(AND(P293&lt;=N293,L293&gt;0),IF(Q293&lt;10,"UBL10",IF(Q293&gt;=200,"UBM200",IF(Q293&gt;=150,"UBM150",IF(Q293&gt;=100,"UBM100",IF(Q293&gt;=50,"UBM50","UBM10-50"))))),0)</f>
        <v>0</v>
      </c>
      <c r="AK293" t="s">
        <f>IF(Q293&lt;5,"down",IF(Q293=5,5,IF(Q293&gt;5,"up")))</f>
        <v>6</v>
      </c>
    </row>
    <row r="294" spans="1:37">
      <c r="A294">
        <f>IF(X294=1903,1903,"Error")</f>
        <v>1903</v>
      </c>
      <c r="B294" t="s">
        <f>IF(K294&lt;74,"down",IF(K294=74,"low",IF(K294=78.5,"high",IF(AND(K294&gt;74,K294&lt;78.5),"normal","up"))))</f>
        <v>7</v>
      </c>
      <c r="C294" t="s">
        <f>IF(K294&lt;74,"down",IF(K294=74,"low",IF(K294=78.5,"high",IF(AND(K294&gt;74,K294&lt;78.5),"normal","up"))))</f>
        <v>7</v>
      </c>
      <c r="D294" t="s">
        <f>IF(K294&lt;74,"down",IF(K294=74,"low",IF(K294=78.5,"high",IF(AND(K294&gt;74,K294&lt;78.5),"normal","up"))))</f>
        <v>7</v>
      </c>
      <c r="E294" t="s">
        <f>IF(K294&lt;67.400000000000006,"down",IF(K294=67.400000000000006,"low",IF(K294=78.5,"high",IF(AND(K294&gt;67.400000000000006,K294&lt;78.5),"normal","up"))))</f>
        <v>79</v>
      </c>
      <c r="F294" t="s">
        <f>IF(P294&lt;77,"PVP-down",IF(P294=77,77,IF(P294&gt;77,"PVP-up")))</f>
        <v>80</v>
      </c>
      <c r="G294" t="s">
        <f>IF(R294&lt;101,"PVV-down",IF(R294=101,101,IF(R294&gt;101,"PVV-up")))</f>
        <v>81</v>
      </c>
      <c r="H294" s="40">
        <f>R294/(Y294/10000)</f>
        <v>0.0023765654860831496</v>
      </c>
      <c r="I294">
        <v>74.099999999999994</v>
      </c>
      <c r="J294">
        <v>72.099999999999994</v>
      </c>
      <c r="K294">
        <v>73.900000000000006</v>
      </c>
      <c r="L294">
        <v>-2.1000000000000001</v>
      </c>
      <c r="M294">
        <v>-0.028299999999999999</v>
      </c>
      <c r="N294">
        <v>72</v>
      </c>
      <c r="O294">
        <v>73</v>
      </c>
      <c r="P294">
        <v>72</v>
      </c>
      <c r="Q294">
        <v>13</v>
      </c>
      <c r="R294">
        <v>618</v>
      </c>
      <c r="S294">
        <v>1056</v>
      </c>
      <c r="T294">
        <f>((P294-K294)/K294)</f>
        <v>-0.025710419485791686</v>
      </c>
      <c r="U294">
        <f>((T294*AB294)*D4)</f>
        <v>-0.17250846977516848</v>
      </c>
      <c r="V294" s="3">
        <f>IF(P294&lt;=N294,(P294*Q294*1000),0)</f>
        <v>936000</v>
      </c>
      <c r="W294" s="3">
        <f>IF(P294&gt;=O294,(P294*Q294*1000),0)</f>
        <v>0</v>
      </c>
      <c r="X294">
        <v>1903</v>
      </c>
      <c r="Y294" s="3">
        <v>2600391210</v>
      </c>
      <c r="Z294" s="40">
        <f>((C4*AB294)/P294)/10</f>
        <v>0.0085521683038726724</v>
      </c>
      <c r="AA294" s="40">
        <f>((M294*AB294)*C4)</f>
        <v>-0.17425898135970957</v>
      </c>
      <c r="AB294" s="40">
        <f>AE294/AE323</f>
        <v>0.00052500561689140985</v>
      </c>
      <c r="AC294" s="40">
        <f>AF294/AF323</f>
        <v>0.00053529819960262514</v>
      </c>
      <c r="AD294" s="3">
        <f>IF(ISNA(J294),(I294*Y294)/10,(J294*Y294)/10)</f>
        <v>18748820624.099998</v>
      </c>
      <c r="AE294" s="3">
        <f>IF(ISNA(P294),(I294*Y294)/10,(P294*Y294)/10)</f>
        <v>18722816712</v>
      </c>
      <c r="AF294" s="3">
        <f>(I294*Y294)/10</f>
        <v>19268898866.099998</v>
      </c>
      <c r="AG294" t="s">
        <f>IF(AND(P294&lt;=N294,L294&lt;0),IF(Q294&lt;10,"DBL10",IF(Q294&gt;=200,"DBM200",IF(Q294&gt;=150,"DBM150",IF(Q294&gt;=100,"DBM100",IF(Q294&gt;=50,"DBM50","DBM10-50"))))),0)</f>
        <v>12</v>
      </c>
      <c r="AH294">
        <f>IF(AND(P294&gt;=O294,L294&lt;0),IF(Q294&lt;10,"DAL10",IF(Q294&gt;=200,"DAM200",IF(Q294&gt;=150,"DAM150",IF(Q294&gt;=100,"DAM100",IF(Q294&gt;=50,"DAM50","DAM10-50"))))),0)</f>
        <v>0</v>
      </c>
      <c r="AI294">
        <f>IF(AND(P294&gt;=O294,L294&gt;0),IF(Q294&lt;10,"UAL10",IF(Q294&gt;=200,"UAM200",IF(Q294&gt;=150,"UAM150",IF(Q294&gt;=100,"UAM100",IF(Q294&gt;=50,"UAM50","UAM10-50"))))),0)</f>
        <v>0</v>
      </c>
      <c r="AJ294">
        <f>IF(AND(P294&lt;=N294,L294&gt;0),IF(Q294&lt;10,"UBL10",IF(Q294&gt;=200,"UBM200",IF(Q294&gt;=150,"UBM150",IF(Q294&gt;=100,"UBM100",IF(Q294&gt;=50,"UBM50","UBM10-50"))))),0)</f>
        <v>0</v>
      </c>
      <c r="AK294" t="s">
        <f>IF(Q294&lt;6,"down",IF(Q294=6,6,IF(Q294&gt;6,"up")))</f>
        <v>6</v>
      </c>
    </row>
    <row r="295" spans="1:37">
      <c r="A295">
        <f>IF(X295=2707,2707,"Error")</f>
        <v>2707</v>
      </c>
      <c r="B295" t="s">
        <f>IF(K295&lt;133,"down",IF(K295=133,"low",IF(K295=136,"high",IF(AND(K295&gt;133,K295&lt;136),"normal","up"))))</f>
        <v>79</v>
      </c>
      <c r="C295" t="s">
        <f>IF(K295&lt;133,"down",IF(K295=133,"low",IF(K295=136,"high",IF(AND(K295&gt;133,K295&lt;136),"normal","up"))))</f>
        <v>79</v>
      </c>
      <c r="D295" t="s">
        <f>IF(K295&lt;133,"down",IF(K295=133,"low",IF(K295=136,"high",IF(AND(K295&gt;133,K295&lt;136),"normal","up"))))</f>
        <v>79</v>
      </c>
      <c r="E295" t="s">
        <f>IF(K295&lt;130.5,"down",IF(K295=130.5,"low",IF(K295=136,"high",IF(AND(K295&gt;130.5,K295&lt;136),"normal","up"))))</f>
        <v>79</v>
      </c>
      <c r="F295" t="s">
        <f>IF(P295&lt;133.5,"PVP-down",IF(P295=133.5,133.5,IF(P295&gt;133.5,"PVP-up")))</f>
        <v>83</v>
      </c>
      <c r="G295" t="s">
        <f>IF(R295&lt;58,"PVV-down",IF(R295=58,58,IF(R295&gt;58,"PVV-up")))</f>
        <v>81</v>
      </c>
      <c r="H295" s="40">
        <f>R295/(Y295/10000)</f>
        <v>0.0012009233263673503</v>
      </c>
      <c r="I295">
        <v>133.5</v>
      </c>
      <c r="J295">
        <v>134.5</v>
      </c>
      <c r="K295">
        <v>133.5</v>
      </c>
      <c r="L295">
        <v>1</v>
      </c>
      <c r="M295">
        <v>0.0074999999999999997</v>
      </c>
      <c r="N295">
        <v>134</v>
      </c>
      <c r="O295">
        <v>134.5</v>
      </c>
      <c r="P295">
        <v>134.5</v>
      </c>
      <c r="Q295">
        <v>6</v>
      </c>
      <c r="R295">
        <v>153</v>
      </c>
      <c r="S295">
        <v>163</v>
      </c>
      <c r="T295">
        <f>((P295-K295)/K295)</f>
        <v>0.0074906367041198503</v>
      </c>
      <c r="U295">
        <f>((T295*AB295)*D4)</f>
        <v>0.045998878516833111</v>
      </c>
      <c r="V295" s="3">
        <f>IF(P295&lt;=N295,(P295*Q295*1000),0)</f>
        <v>0</v>
      </c>
      <c r="W295" s="3">
        <f>IF(P295&gt;=O295,(P295*Q295*1000),0)</f>
        <v>807000</v>
      </c>
      <c r="X295">
        <v>2707</v>
      </c>
      <c r="Y295" s="3">
        <v>1274019720</v>
      </c>
      <c r="Z295" s="40">
        <f>((C4*AB295)/P295)/10</f>
        <v>0.0041899968843121639</v>
      </c>
      <c r="AA295" s="40">
        <f>((M295*AB295)*C4)</f>
        <v>0.042266593570498952</v>
      </c>
      <c r="AB295" s="40">
        <f>AE295/AE323</f>
        <v>0.00048049757335354328</v>
      </c>
      <c r="AC295" s="40">
        <f>AF295/AF323</f>
        <v>0.00047249400372917306</v>
      </c>
      <c r="AD295" s="3">
        <f>IF(ISNA(J295),(I295*Y295)/10,(J295*Y295)/10)</f>
        <v>17135565234</v>
      </c>
      <c r="AE295" s="3">
        <f>IF(ISNA(P295),(I295*Y295)/10,(P295*Y295)/10)</f>
        <v>17135565234</v>
      </c>
      <c r="AF295" s="3">
        <f>(I295*Y295)/10</f>
        <v>17008163262</v>
      </c>
      <c r="AG295">
        <f>IF(AND(P295&lt;=N295,L295&lt;0),IF(Q295&lt;10,"DBL10",IF(Q295&gt;=200,"DBM200",IF(Q295&gt;=150,"DBM150",IF(Q295&gt;=100,"DBM100",IF(Q295&gt;=50,"DBM50","DBM10-50"))))),0)</f>
        <v>0</v>
      </c>
      <c r="AH295">
        <f>IF(AND(P295&gt;=O295,L295&lt;0),IF(Q295&lt;10,"DAL10",IF(Q295&gt;=200,"DAM200",IF(Q295&gt;=150,"DAM150",IF(Q295&gt;=100,"DAM100",IF(Q295&gt;=50,"DAM50","DAM10-50"))))),0)</f>
        <v>0</v>
      </c>
      <c r="AI295" t="s">
        <f>IF(AND(P295&gt;=O295,L295&gt;0),IF(Q295&lt;10,"UAL10",IF(Q295&gt;=200,"UAM200",IF(Q295&gt;=150,"UAM150",IF(Q295&gt;=100,"UAM100",IF(Q295&gt;=50,"UAM50","UAM10-50"))))),0)</f>
        <v>89</v>
      </c>
      <c r="AJ295">
        <f>IF(AND(P295&lt;=N295,L295&gt;0),IF(Q295&lt;10,"UBL10",IF(Q295&gt;=200,"UBM200",IF(Q295&gt;=150,"UBM150",IF(Q295&gt;=100,"UBM100",IF(Q295&gt;=50,"UBM50","UBM10-50"))))),0)</f>
        <v>0</v>
      </c>
      <c r="AK295" t="s">
        <f>IF(Q295&lt;7,"down",IF(Q295=7,7,IF(Q295&gt;7,"up")))</f>
        <v>7</v>
      </c>
    </row>
    <row r="296" spans="1:37">
      <c r="A296">
        <f>IF(X296=2723,2723,"Error")</f>
        <v>2723</v>
      </c>
      <c r="B296" t="s">
        <f>IF(K296&lt;95.299999999999997,"down",IF(K296=95.299999999999997,"low",IF(K296=98.299999999999997,"high",IF(AND(K296&gt;95.299999999999997,K296&lt;98.299999999999997),"normal","up"))))</f>
        <v>6</v>
      </c>
      <c r="C296" t="s">
        <f>IF(K296&lt;95.299999999999997,"down",IF(K296=95.299999999999997,"low",IF(K296=98.299999999999997,"high",IF(AND(K296&gt;95.299999999999997,K296&lt;98.299999999999997),"normal","up"))))</f>
        <v>6</v>
      </c>
      <c r="D296" t="s">
        <f>IF(K296&lt;95.299999999999997,"down",IF(K296=95.299999999999997,"low",IF(K296=98.299999999999997,"high",IF(AND(K296&gt;95.299999999999997,K296&lt;98.299999999999997),"normal","up"))))</f>
        <v>6</v>
      </c>
      <c r="E296" t="s">
        <f>IF(K296&lt;91,"down",IF(K296=91,"low",IF(K296=98.299999999999997,"high",IF(AND(K296&gt;91,K296&lt;98.299999999999997),"normal","up"))))</f>
        <v>6</v>
      </c>
      <c r="F296" t="s">
        <f>IF(P296&lt;96,"PVP-down",IF(P296=96,96,IF(P296&gt;96,"PVP-up")))</f>
        <v>83</v>
      </c>
      <c r="G296" t="s">
        <f>IF(R296&lt;116,"PVV-down",IF(R296=116,116,IF(R296&gt;116,"PVV-up")))</f>
        <v>81</v>
      </c>
      <c r="H296" s="40">
        <f>R296/(Y296/10000)</f>
        <v>0.013188888888888889</v>
      </c>
      <c r="I296">
        <v>96.400000000000006</v>
      </c>
      <c r="J296">
        <v>100</v>
      </c>
      <c r="K296">
        <v>98.5</v>
      </c>
      <c r="L296">
        <v>3.6000000000000001</v>
      </c>
      <c r="M296">
        <v>0.0373</v>
      </c>
      <c r="N296">
        <v>100</v>
      </c>
      <c r="O296">
        <v>100.5</v>
      </c>
      <c r="P296">
        <v>100</v>
      </c>
      <c r="Q296">
        <v>78</v>
      </c>
      <c r="R296">
        <v>2374</v>
      </c>
      <c r="S296">
        <v>913</v>
      </c>
      <c r="T296">
        <f>((P296-K296)/K296)</f>
        <v>0.015228426395939087</v>
      </c>
      <c r="U296">
        <f>((T296*AB296)*D4)</f>
        <v>0.098233045395074145</v>
      </c>
      <c r="V296" s="3">
        <f>IF(P296&lt;=N296,(P296*Q296*1000),0)</f>
        <v>7800000</v>
      </c>
      <c r="W296" s="3">
        <f>IF(P296&gt;=O296,(P296*Q296*1000),0)</f>
        <v>0</v>
      </c>
      <c r="X296">
        <v>2723</v>
      </c>
      <c r="Y296" s="3">
        <v>1800000000</v>
      </c>
      <c r="Z296" s="40">
        <f>((C4*AB296)/P296)/10</f>
        <v>0.0059198411715023491</v>
      </c>
      <c r="AA296" s="40">
        <f>((M296*AB296)*C4)</f>
        <v>0.22081007569703762</v>
      </c>
      <c r="AB296" s="40">
        <f>AE296/AE323</f>
        <v>0.00050473714769575949</v>
      </c>
      <c r="AC296" s="40">
        <f>AF296/AF323</f>
        <v>0.00048204593443822104</v>
      </c>
      <c r="AD296" s="3">
        <f>IF(ISNA(J296),(I296*Y296)/10,(J296*Y296)/10)</f>
        <v>18000000000</v>
      </c>
      <c r="AE296" s="3">
        <f>IF(ISNA(P296),(I296*Y296)/10,(P296*Y296)/10)</f>
        <v>18000000000</v>
      </c>
      <c r="AF296" s="3">
        <f>(I296*Y296)/10</f>
        <v>17352000000</v>
      </c>
      <c r="AG296">
        <f>IF(AND(P296&lt;=N296,L296&lt;0),IF(Q296&lt;10,"DBL10",IF(Q296&gt;=200,"DBM200",IF(Q296&gt;=150,"DBM150",IF(Q296&gt;=100,"DBM100",IF(Q296&gt;=50,"DBM50","DBM10-50"))))),0)</f>
        <v>0</v>
      </c>
      <c r="AH296">
        <f>IF(AND(P296&gt;=O296,L296&lt;0),IF(Q296&lt;10,"DAL10",IF(Q296&gt;=200,"DAM200",IF(Q296&gt;=150,"DAM150",IF(Q296&gt;=100,"DAM100",IF(Q296&gt;=50,"DAM50","DAM10-50"))))),0)</f>
        <v>0</v>
      </c>
      <c r="AI296">
        <f>IF(AND(P296&gt;=O296,L296&gt;0),IF(Q296&lt;10,"UAL10",IF(Q296&gt;=200,"UAM200",IF(Q296&gt;=150,"UAM150",IF(Q296&gt;=100,"UAM100",IF(Q296&gt;=50,"UAM50","UAM10-50"))))),0)</f>
        <v>0</v>
      </c>
      <c r="AJ296" t="s">
        <f>IF(AND(P296&lt;=N296,L296&gt;0),IF(Q296&lt;10,"UBL10",IF(Q296&gt;=200,"UBM200",IF(Q296&gt;=150,"UBM150",IF(Q296&gt;=100,"UBM100",IF(Q296&gt;=50,"UBM50","UBM10-50"))))),0)</f>
        <v>18</v>
      </c>
      <c r="AK296" t="s">
        <f>IF(Q296&lt;29,"down",IF(Q296=29,29,IF(Q296&gt;29,"up")))</f>
        <v>6</v>
      </c>
    </row>
    <row r="297" spans="1:37">
      <c r="A297">
        <f>IF(X297=8422,8422,"Error")</f>
        <v>8422</v>
      </c>
      <c r="B297" t="s">
        <f>IF(K297&lt;162,"down",IF(K297=162,"low",IF(K297=166.5,"high",IF(AND(K297&gt;162,K297&lt;166.5),"normal","up"))))</f>
        <v>79</v>
      </c>
      <c r="C297" t="s">
        <f>IF(K297&lt;162,"down",IF(K297=162,"low",IF(K297=166.5,"high",IF(AND(K297&gt;162,K297&lt;166.5),"normal","up"))))</f>
        <v>79</v>
      </c>
      <c r="D297" t="s">
        <f>IF(K297&lt;162,"down",IF(K297=162,"low",IF(K297=166.5,"high",IF(AND(K297&gt;162,K297&lt;166.5),"normal","up"))))</f>
        <v>79</v>
      </c>
      <c r="E297" t="s">
        <f>IF(K297&lt;154,"down",IF(K297=154,"low",IF(K297=170,"high",IF(AND(K297&gt;154,K297&lt;170),"normal","up"))))</f>
        <v>79</v>
      </c>
      <c r="F297" t="s">
        <f>IF(P297&lt;163,"PVP-down",IF(P297=163,163,IF(P297&gt;163,"PVP-up")))</f>
        <v>80</v>
      </c>
      <c r="G297" t="s">
        <f>IF(R297&lt;161,"PVV-down",IF(R297=161,161,IF(R297&gt;161,"PVV-up")))</f>
        <v>81</v>
      </c>
      <c r="H297" s="40">
        <f>R297/(Y297/10000)</f>
        <v>0.0022224671221805891</v>
      </c>
      <c r="I297">
        <v>162.5</v>
      </c>
      <c r="J297">
        <v>161.5</v>
      </c>
      <c r="K297">
        <v>164</v>
      </c>
      <c r="L297">
        <v>-1</v>
      </c>
      <c r="M297">
        <v>-0.0061999999999999998</v>
      </c>
      <c r="N297">
        <v>161.5</v>
      </c>
      <c r="O297">
        <v>162.5</v>
      </c>
      <c r="P297">
        <v>161.5</v>
      </c>
      <c r="Q297">
        <v>4</v>
      </c>
      <c r="R297">
        <v>242</v>
      </c>
      <c r="S297">
        <v>456</v>
      </c>
      <c r="T297">
        <f>((P297-K297)/K297)</f>
        <v>-0.01524390243902439</v>
      </c>
      <c r="U297">
        <f>((T297*AB297)*D4)</f>
        <v>-0.096068007376793996</v>
      </c>
      <c r="V297" s="3">
        <f>IF(P297&lt;=N297,(P297*Q297*1000),0)</f>
        <v>646000</v>
      </c>
      <c r="W297" s="3">
        <f>IF(P297&gt;=O297,(P297*Q297*1000),0)</f>
        <v>0</v>
      </c>
      <c r="X297">
        <v>8422</v>
      </c>
      <c r="Y297" s="3">
        <v>1088880000</v>
      </c>
      <c r="Z297" s="40">
        <f>((C4*AB297)/P297)/10</f>
        <v>0.003581109252680821</v>
      </c>
      <c r="AA297" s="40">
        <f>((M297*AB297)*C4)</f>
        <v>-0.035857646947093064</v>
      </c>
      <c r="AB297" s="40">
        <f>AE297/AE323</f>
        <v>0.00049311170521859897</v>
      </c>
      <c r="AC297" s="40">
        <f>AF297/AF323</f>
        <v>0.00049155517391252963</v>
      </c>
      <c r="AD297" s="3">
        <f>IF(ISNA(J297),(I297*Y297)/10,(J297*Y297)/10)</f>
        <v>17585412000</v>
      </c>
      <c r="AE297" s="3">
        <f>IF(ISNA(P297),(I297*Y297)/10,(P297*Y297)/10)</f>
        <v>17585412000</v>
      </c>
      <c r="AF297" s="3">
        <f>(I297*Y297)/10</f>
        <v>17694300000</v>
      </c>
      <c r="AG297" t="s">
        <f>IF(AND(P297&lt;=N297,L297&lt;0),IF(Q297&lt;10,"DBL10",IF(Q297&gt;=200,"DBM200",IF(Q297&gt;=150,"DBM150",IF(Q297&gt;=100,"DBM100",IF(Q297&gt;=50,"DBM50","DBM10-50"))))),0)</f>
        <v>85</v>
      </c>
      <c r="AH297">
        <f>IF(AND(P297&gt;=O297,L297&lt;0),IF(Q297&lt;10,"DAL10",IF(Q297&gt;=200,"DAM200",IF(Q297&gt;=150,"DAM150",IF(Q297&gt;=100,"DAM100",IF(Q297&gt;=50,"DAM50","DAM10-50"))))),0)</f>
        <v>0</v>
      </c>
      <c r="AI297">
        <f>IF(AND(P297&gt;=O297,L297&gt;0),IF(Q297&lt;10,"UAL10",IF(Q297&gt;=200,"UAM200",IF(Q297&gt;=150,"UAM150",IF(Q297&gt;=100,"UAM100",IF(Q297&gt;=50,"UAM50","UAM10-50"))))),0)</f>
        <v>0</v>
      </c>
      <c r="AJ297">
        <f>IF(AND(P297&lt;=N297,L297&gt;0),IF(Q297&lt;10,"UBL10",IF(Q297&gt;=200,"UBM200",IF(Q297&gt;=150,"UBM150",IF(Q297&gt;=100,"UBM100",IF(Q297&gt;=50,"UBM50","UBM10-50"))))),0)</f>
        <v>0</v>
      </c>
      <c r="AK297" t="s">
        <f>IF(Q297&lt;12,"down",IF(Q297=12,12,IF(Q297&gt;12,"up")))</f>
        <v>7</v>
      </c>
    </row>
    <row r="298" spans="1:37">
      <c r="A298">
        <f>IF(X298=4766,4766,"Error")</f>
        <v>4766</v>
      </c>
      <c r="B298" t="s">
        <f>IF(K298&lt;132.5,"down",IF(K298=132.5,"low",IF(K298=137,"high",IF(AND(K298&gt;132.5,K298&lt;137),"normal","up"))))</f>
        <v>79</v>
      </c>
      <c r="C298" t="s">
        <f>IF(K298&lt;132.5,"down",IF(K298=132.5,"low",IF(K298=137,"high",IF(AND(K298&gt;132.5,K298&lt;137),"normal","up"))))</f>
        <v>79</v>
      </c>
      <c r="D298" t="s">
        <f>IF(K298&lt;132.5,"down",IF(K298=132.5,"low",IF(K298=137,"high",IF(AND(K298&gt;132.5,K298&lt;137),"normal","up"))))</f>
        <v>79</v>
      </c>
      <c r="E298" t="s">
        <f>IF(K298&lt;130,"down",IF(K298=130,"low",IF(K298=138.5,"high",IF(AND(K298&gt;130,K298&lt;138.5),"normal","up"))))</f>
        <v>79</v>
      </c>
      <c r="F298" t="s">
        <f>IF(P298&lt;136.5,"PVP-down",IF(P298=136.5,136.5,IF(P298&gt;136.5,"PVP-up")))</f>
        <v>80</v>
      </c>
      <c r="G298" t="s">
        <f>IF(R298&lt;45,"PVV-down",IF(R298=45,45,IF(R298&gt;45,"PVV-up")))</f>
        <v>81</v>
      </c>
      <c r="H298" s="40">
        <f>R298/(Y298/10000)</f>
        <v>0.0005142207755477737</v>
      </c>
      <c r="I298">
        <v>135</v>
      </c>
      <c r="J298">
        <v>134.5</v>
      </c>
      <c r="K298">
        <v>134.5</v>
      </c>
      <c r="L298">
        <v>-0.5</v>
      </c>
      <c r="M298">
        <v>-0.0037000000000000002</v>
      </c>
      <c r="N298">
        <v>134</v>
      </c>
      <c r="O298">
        <v>134.5</v>
      </c>
      <c r="P298">
        <v>134.5</v>
      </c>
      <c r="Q298">
        <v>1</v>
      </c>
      <c r="R298">
        <v>62</v>
      </c>
      <c r="S298">
        <v>165</v>
      </c>
      <c r="T298">
        <f>((P298-K298)/K298)</f>
        <v>0</v>
      </c>
      <c r="U298">
        <f>((T298*AB298)*D4)</f>
        <v>0</v>
      </c>
      <c r="V298" s="3">
        <f>IF(P298&lt;=N298,(P298*Q298*1000),0)</f>
        <v>0</v>
      </c>
      <c r="W298" s="3">
        <f>IF(P298&gt;=O298,(P298*Q298*1000),0)</f>
        <v>134500</v>
      </c>
      <c r="X298">
        <v>4766</v>
      </c>
      <c r="Y298" s="3">
        <v>1205707800</v>
      </c>
      <c r="Z298" s="40">
        <f>((C4*AB298)/P298)/10</f>
        <v>0.0039653325973564007</v>
      </c>
      <c r="AA298" s="40">
        <f>((M298*AB298)*C4)</f>
        <v>-0.019733477670744126</v>
      </c>
      <c r="AB298" s="40">
        <f>AE298/AE323</f>
        <v>0.00045473367717843434</v>
      </c>
      <c r="AC298" s="40">
        <f>AF298/AF323</f>
        <v>0.00045218351383074563</v>
      </c>
      <c r="AD298" s="3">
        <f>IF(ISNA(J298),(I298*Y298)/10,(J298*Y298)/10)</f>
        <v>16216769910</v>
      </c>
      <c r="AE298" s="3">
        <f>IF(ISNA(P298),(I298*Y298)/10,(P298*Y298)/10)</f>
        <v>16216769910</v>
      </c>
      <c r="AF298" s="3">
        <f>(I298*Y298)/10</f>
        <v>16277055300</v>
      </c>
      <c r="AG298">
        <f>IF(AND(P298&lt;=N298,L298&lt;0),IF(Q298&lt;10,"DBL10",IF(Q298&gt;=200,"DBM200",IF(Q298&gt;=150,"DBM150",IF(Q298&gt;=100,"DBM100",IF(Q298&gt;=50,"DBM50","DBM10-50"))))),0)</f>
        <v>0</v>
      </c>
      <c r="AH298" t="s">
        <f>IF(AND(P298&gt;=O298,L298&lt;0),IF(Q298&lt;10,"DAL10",IF(Q298&gt;=200,"DAM200",IF(Q298&gt;=150,"DAM150",IF(Q298&gt;=100,"DAM100",IF(Q298&gt;=50,"DAM50","DAM10-50"))))),0)</f>
        <v>88</v>
      </c>
      <c r="AI298">
        <f>IF(AND(P298&gt;=O298,L298&gt;0),IF(Q298&lt;10,"UAL10",IF(Q298&gt;=200,"UAM200",IF(Q298&gt;=150,"UAM150",IF(Q298&gt;=100,"UAM100",IF(Q298&gt;=50,"UAM50","UAM10-50"))))),0)</f>
        <v>0</v>
      </c>
      <c r="AJ298">
        <f>IF(AND(P298&lt;=N298,L298&gt;0),IF(Q298&lt;10,"UBL10",IF(Q298&gt;=200,"UBM200",IF(Q298&gt;=150,"UBM150",IF(Q298&gt;=100,"UBM100",IF(Q298&gt;=50,"UBM50","UBM10-50"))))),0)</f>
        <v>0</v>
      </c>
      <c r="AK298" t="s">
        <f>IF(Q298&lt;0,"down",IF(Q298=0,0,IF(Q298&gt;0,"up")))</f>
        <v>6</v>
      </c>
    </row>
    <row r="299" spans="1:37">
      <c r="A299">
        <f>IF(X299=4137,4137,"Error")</f>
        <v>4137</v>
      </c>
      <c r="B299" t="s">
        <f>IF(K299&lt;202.5,"down",IF(K299=202.5,"low",IF(K299=206,"high",IF(AND(K299&gt;202.5,K299&lt;206),"normal","up"))))</f>
        <v>79</v>
      </c>
      <c r="C299" t="s">
        <f>IF(K299&lt;202.5,"down",IF(K299=202.5,"low",IF(K299=206,"high",IF(AND(K299&gt;202.5,K299&lt;206),"normal","up"))))</f>
        <v>79</v>
      </c>
      <c r="D299" t="s">
        <f>IF(K299&lt;202.5,"down",IF(K299=202.5,"low",IF(K299=206,"high",IF(AND(K299&gt;202.5,K299&lt;206),"normal","up"))))</f>
        <v>79</v>
      </c>
      <c r="E299" t="s">
        <f>IF(K299&lt;202.5,"down",IF(K299=202.5,"low",IF(K299=215,"high",IF(AND(K299&gt;202.5,K299&lt;215),"normal","up"))))</f>
        <v>79</v>
      </c>
      <c r="F299" t="s">
        <f>IF(P299&lt;203,"PVP-down",IF(P299=203,203,IF(P299&gt;203,"PVP-up")))</f>
        <v>80</v>
      </c>
      <c r="G299" t="s">
        <f>IF(R299&lt;93,"PVV-down",IF(R299=93,93,IF(R299&gt;93,"PVV-up")))</f>
        <v>81</v>
      </c>
      <c r="H299" s="40">
        <f>R299/(Y299/10000)</f>
        <v>0.0027549820831815888</v>
      </c>
      <c r="I299">
        <v>203</v>
      </c>
      <c r="J299">
        <v>202</v>
      </c>
      <c r="K299">
        <v>203</v>
      </c>
      <c r="L299">
        <v>-1</v>
      </c>
      <c r="M299">
        <v>-0.0048999999999999998</v>
      </c>
      <c r="N299">
        <v>202</v>
      </c>
      <c r="O299">
        <v>202.5</v>
      </c>
      <c r="P299">
        <v>202</v>
      </c>
      <c r="Q299">
        <v>9</v>
      </c>
      <c r="R299">
        <v>219</v>
      </c>
      <c r="S299">
        <v>283</v>
      </c>
      <c r="T299">
        <f>((P299-K299)/K299)</f>
        <v>-0.0049261083743842365</v>
      </c>
      <c r="U299">
        <f>((T299*AB299)*D4)</f>
        <v>-0.028347237480885419</v>
      </c>
      <c r="V299" s="3">
        <f>IF(P299&lt;=N299,(P299*Q299*1000),0)</f>
        <v>1818000</v>
      </c>
      <c r="W299" s="3">
        <f>IF(P299&gt;=O299,(P299*Q299*1000),0)</f>
        <v>0</v>
      </c>
      <c r="X299">
        <v>4137</v>
      </c>
      <c r="Y299" s="3">
        <v>794923500</v>
      </c>
      <c r="Z299" s="40">
        <f>((C4*AB299)/P299)/10</f>
        <v>0.0026143449241637488</v>
      </c>
      <c r="AA299" s="40">
        <f>((M299*AB299)*C4)</f>
        <v>-0.025876786059372783</v>
      </c>
      <c r="AB299" s="40">
        <f>AE299/AE323</f>
        <v>0.00045026632691843704</v>
      </c>
      <c r="AC299" s="40">
        <f>AF299/AF323</f>
        <v>0.00044829124710104565</v>
      </c>
      <c r="AD299" s="3">
        <f>IF(ISNA(J299),(I299*Y299)/10,(J299*Y299)/10)</f>
        <v>16057454700</v>
      </c>
      <c r="AE299" s="3">
        <f>IF(ISNA(P299),(I299*Y299)/10,(P299*Y299)/10)</f>
        <v>16057454700</v>
      </c>
      <c r="AF299" s="3">
        <f>(I299*Y299)/10</f>
        <v>16136947050</v>
      </c>
      <c r="AG299" t="s">
        <f>IF(AND(P299&lt;=N299,L299&lt;0),IF(Q299&lt;10,"DBL10",IF(Q299&gt;=200,"DBM200",IF(Q299&gt;=150,"DBM150",IF(Q299&gt;=100,"DBM100",IF(Q299&gt;=50,"DBM50","DBM10-50"))))),0)</f>
        <v>85</v>
      </c>
      <c r="AH299">
        <f>IF(AND(P299&gt;=O299,L299&lt;0),IF(Q299&lt;10,"DAL10",IF(Q299&gt;=200,"DAM200",IF(Q299&gt;=150,"DAM150",IF(Q299&gt;=100,"DAM100",IF(Q299&gt;=50,"DAM50","DAM10-50"))))),0)</f>
        <v>0</v>
      </c>
      <c r="AI299">
        <f>IF(AND(P299&gt;=O299,L299&gt;0),IF(Q299&lt;10,"UAL10",IF(Q299&gt;=200,"UAM200",IF(Q299&gt;=150,"UAM150",IF(Q299&gt;=100,"UAM100",IF(Q299&gt;=50,"UAM50","UAM10-50"))))),0)</f>
        <v>0</v>
      </c>
      <c r="AJ299">
        <f>IF(AND(P299&lt;=N299,L299&gt;0),IF(Q299&lt;10,"UBL10",IF(Q299&gt;=200,"UBM200",IF(Q299&gt;=150,"UBM150",IF(Q299&gt;=100,"UBM100",IF(Q299&gt;=50,"UBM50","UBM10-50"))))),0)</f>
        <v>0</v>
      </c>
      <c r="AK299" t="s">
        <f>IF(Q299&lt;14,"down",IF(Q299=14,14,IF(Q299&gt;14,"up")))</f>
        <v>7</v>
      </c>
    </row>
    <row r="300" spans="1:37">
      <c r="A300">
        <f>IF(X300=2539,2539,"Error")</f>
        <v>2539</v>
      </c>
      <c r="B300" t="s">
        <f>IF(K300&lt;35,"down",IF(K300=35,"low",IF(K300=35.399999999999999,"high",IF(AND(K300&gt;35,K300&lt;35.399999999999999),"normal","up"))))</f>
        <v>82</v>
      </c>
      <c r="C300" t="s">
        <f>IF(K300&lt;35,"down",IF(K300=35,"low",IF(K300=35.399999999999999,"high",IF(AND(K300&gt;35,K300&lt;35.399999999999999),"normal","up"))))</f>
        <v>82</v>
      </c>
      <c r="D300" t="s">
        <f>IF(K300&lt;35,"down",IF(K300=35,"low",IF(K300=35.399999999999999,"high",IF(AND(K300&gt;35,K300&lt;35.399999999999999),"normal","up"))))</f>
        <v>82</v>
      </c>
      <c r="E300" t="s">
        <f>IF(K300&lt;34.5,"down",IF(K300=34.5,"low",IF(K300=35.399999999999999,"high",IF(AND(K300&gt;34.5,K300&lt;35.399999999999999),"normal","up"))))</f>
        <v>79</v>
      </c>
      <c r="F300" t="s">
        <f>IF(P300&lt;35,"PVP-down",IF(P300=35,35,IF(P300&gt;35,"PVP-up")))</f>
        <v>83</v>
      </c>
      <c r="G300" t="s">
        <f>IF(R300&lt;194,"PVV-down",IF(R300=194,194,IF(R300&gt;194,"PVV-up")))</f>
        <v>81</v>
      </c>
      <c r="H300" s="40">
        <f>R300/(Y300/10000)</f>
        <v>0.0008674171594283195</v>
      </c>
      <c r="I300">
        <v>35</v>
      </c>
      <c r="J300">
        <v>35.149999999999999</v>
      </c>
      <c r="K300">
        <v>35</v>
      </c>
      <c r="L300">
        <v>0.14999999999999999</v>
      </c>
      <c r="M300">
        <v>0.0043</v>
      </c>
      <c r="N300">
        <v>35.100000000000001</v>
      </c>
      <c r="O300">
        <v>35.149999999999999</v>
      </c>
      <c r="P300">
        <v>35.149999999999999</v>
      </c>
      <c r="Q300">
        <v>16</v>
      </c>
      <c r="R300">
        <v>404</v>
      </c>
      <c r="S300">
        <v>557</v>
      </c>
      <c r="T300">
        <f>((P300-K300)/K300)</f>
        <v>0.0042857142857142452</v>
      </c>
      <c r="U300">
        <f>((T300*AB300)*D4)</f>
        <v>0.025143861422213976</v>
      </c>
      <c r="V300" s="3">
        <f>IF(P300&lt;=N300,(P300*Q300*1000),0)</f>
        <v>0</v>
      </c>
      <c r="W300" s="3">
        <f>IF(P300&gt;=O300,(P300*Q300*1000),0)</f>
        <v>562400</v>
      </c>
      <c r="X300">
        <v>2539</v>
      </c>
      <c r="Y300" s="3">
        <v>4657505280</v>
      </c>
      <c r="Z300" s="40">
        <f>((C4*AB300)/P300)/10</f>
        <v>0.015317606396129765</v>
      </c>
      <c r="AA300" s="40">
        <f>((M300*AB300)*C4)</f>
        <v>0.023151796187430337</v>
      </c>
      <c r="AB300" s="40">
        <f>AE300/AE323</f>
        <v>0.00045906211085411478</v>
      </c>
      <c r="AC300" s="40">
        <f>AF300/AF323</f>
        <v>0.00045285616626152138</v>
      </c>
      <c r="AD300" s="3">
        <f>IF(ISNA(J300),(I300*Y300)/10,(J300*Y300)/10)</f>
        <v>16371131059.200001</v>
      </c>
      <c r="AE300" s="3">
        <f>IF(ISNA(P300),(I300*Y300)/10,(P300*Y300)/10)</f>
        <v>16371131059.200001</v>
      </c>
      <c r="AF300" s="3">
        <f>(I300*Y300)/10</f>
        <v>16301268480</v>
      </c>
      <c r="AG300">
        <f>IF(AND(P300&lt;=N300,L300&lt;0),IF(Q300&lt;10,"DBL10",IF(Q300&gt;=200,"DBM200",IF(Q300&gt;=150,"DBM150",IF(Q300&gt;=100,"DBM100",IF(Q300&gt;=50,"DBM50","DBM10-50"))))),0)</f>
        <v>0</v>
      </c>
      <c r="AH300">
        <f>IF(AND(P300&gt;=O300,L300&lt;0),IF(Q300&lt;10,"DAL10",IF(Q300&gt;=200,"DAM200",IF(Q300&gt;=150,"DAM150",IF(Q300&gt;=100,"DAM100",IF(Q300&gt;=50,"DAM50","DAM10-50"))))),0)</f>
        <v>0</v>
      </c>
      <c r="AI300" t="s">
        <f>IF(AND(P300&gt;=O300,L300&gt;0),IF(Q300&lt;10,"UAL10",IF(Q300&gt;=200,"UAM200",IF(Q300&gt;=150,"UAM150",IF(Q300&gt;=100,"UAM100",IF(Q300&gt;=50,"UAM50","UAM10-50"))))),0)</f>
        <v>27</v>
      </c>
      <c r="AJ300">
        <f>IF(AND(P300&lt;=N300,L300&gt;0),IF(Q300&lt;10,"UBL10",IF(Q300&gt;=200,"UBM200",IF(Q300&gt;=150,"UBM150",IF(Q300&gt;=100,"UBM100",IF(Q300&gt;=50,"UBM50","UBM10-50"))))),0)</f>
        <v>0</v>
      </c>
      <c r="AK300" t="s">
        <f>IF(Q300&lt;9,"down",IF(Q300=9,9,IF(Q300&gt;9,"up")))</f>
        <v>6</v>
      </c>
    </row>
    <row r="301" spans="1:37">
      <c r="A301">
        <f>IF(X301=2637,2637,"Error")</f>
        <v>2637</v>
      </c>
      <c r="B301" t="s">
        <f>IF(K301&lt;22.199999999999999,"down",IF(K301=22.199999999999999,"low",IF(K301=22.699999999999999,"high",IF(AND(K301&gt;22.199999999999999,K301&lt;22.699999999999999),"normal","up"))))</f>
        <v>79</v>
      </c>
      <c r="C301" t="s">
        <f>IF(K301&lt;22.199999999999999,"down",IF(K301=22.199999999999999,"low",IF(K301=22.699999999999999,"high",IF(AND(K301&gt;22.199999999999999,K301&lt;22.699999999999999),"normal","up"))))</f>
        <v>79</v>
      </c>
      <c r="D301" t="s">
        <f>IF(K301&lt;22.199999999999999,"down",IF(K301=22.199999999999999,"low",IF(K301=22.699999999999999,"high",IF(AND(K301&gt;22.199999999999999,K301&lt;22.699999999999999),"normal","up"))))</f>
        <v>79</v>
      </c>
      <c r="E301" t="s">
        <f>IF(K301&lt;21.149999999999999,"down",IF(K301=21.149999999999999,"low",IF(K301=22.699999999999999,"high",IF(AND(K301&gt;21.149999999999999,K301&lt;22.699999999999999),"normal","up"))))</f>
        <v>79</v>
      </c>
      <c r="F301" t="s">
        <f>IF(P301&lt;22.600000000000001,"PVP-down",IF(P301=22.600000000000001,22.600000000000001,IF(P301&gt;22.600000000000001,"PVP-up")))</f>
        <v>83</v>
      </c>
      <c r="G301" t="s">
        <f>IF(R301&lt;546,"PVV-down",IF(R301=546,546,IF(R301&gt;546,"PVV-up")))</f>
        <v>81</v>
      </c>
      <c r="H301" s="40">
        <f>R301/(Y301/10000)</f>
        <v>0.0020726007831571923</v>
      </c>
      <c r="I301">
        <v>22.600000000000001</v>
      </c>
      <c r="J301">
        <v>22.800000000000001</v>
      </c>
      <c r="K301">
        <v>22.649999999999999</v>
      </c>
      <c r="L301">
        <v>0.20000000000000001</v>
      </c>
      <c r="M301">
        <v>0.0088000000000000005</v>
      </c>
      <c r="N301">
        <v>22.75</v>
      </c>
      <c r="O301">
        <v>22.800000000000001</v>
      </c>
      <c r="P301">
        <v>22.800000000000001</v>
      </c>
      <c r="Q301">
        <v>19</v>
      </c>
      <c r="R301">
        <v>1547</v>
      </c>
      <c r="S301">
        <v>1459</v>
      </c>
      <c r="T301">
        <f>((P301-K301)/K301)</f>
        <v>0.0066225165562914853</v>
      </c>
      <c r="U301">
        <f>((T301*AB301)*D4)</f>
        <v>0.040388956239330732</v>
      </c>
      <c r="V301" s="3">
        <f>IF(P301&lt;=N301,(P301*Q301*1000),0)</f>
        <v>0</v>
      </c>
      <c r="W301" s="3">
        <f>IF(P301&gt;=O301,(P301*Q301*1000),0)</f>
        <v>433200</v>
      </c>
      <c r="X301">
        <v>2637</v>
      </c>
      <c r="Y301" s="3">
        <v>7464051990</v>
      </c>
      <c r="Z301" s="40">
        <f>((C4*AB301)/P301)/10</f>
        <v>0.024547779042575581</v>
      </c>
      <c r="AA301" s="40">
        <f>((M301*AB301)*C4)</f>
        <v>0.049252663871023644</v>
      </c>
      <c r="AB301" s="40">
        <f>AE301/AE323</f>
        <v>0.00047720201281349129</v>
      </c>
      <c r="AC301" s="40">
        <f>AF301/AF323</f>
        <v>0.00046862125234243483</v>
      </c>
      <c r="AD301" s="3">
        <f>IF(ISNA(J301),(I301*Y301)/10,(J301*Y301)/10)</f>
        <v>17018038537.200001</v>
      </c>
      <c r="AE301" s="3">
        <f>IF(ISNA(P301),(I301*Y301)/10,(P301*Y301)/10)</f>
        <v>17018038537.200001</v>
      </c>
      <c r="AF301" s="3">
        <f>(I301*Y301)/10</f>
        <v>16868757497.4</v>
      </c>
      <c r="AG301">
        <f>IF(AND(P301&lt;=N301,L301&lt;0),IF(Q301&lt;10,"DBL10",IF(Q301&gt;=200,"DBM200",IF(Q301&gt;=150,"DBM150",IF(Q301&gt;=100,"DBM100",IF(Q301&gt;=50,"DBM50","DBM10-50"))))),0)</f>
        <v>0</v>
      </c>
      <c r="AH301">
        <f>IF(AND(P301&gt;=O301,L301&lt;0),IF(Q301&lt;10,"DAL10",IF(Q301&gt;=200,"DAM200",IF(Q301&gt;=150,"DAM150",IF(Q301&gt;=100,"DAM100",IF(Q301&gt;=50,"DAM50","DAM10-50"))))),0)</f>
        <v>0</v>
      </c>
      <c r="AI301" t="s">
        <f>IF(AND(P301&gt;=O301,L301&gt;0),IF(Q301&lt;10,"UAL10",IF(Q301&gt;=200,"UAM200",IF(Q301&gt;=150,"UAM150",IF(Q301&gt;=100,"UAM100",IF(Q301&gt;=50,"UAM50","UAM10-50"))))),0)</f>
        <v>27</v>
      </c>
      <c r="AJ301">
        <f>IF(AND(P301&lt;=N301,L301&gt;0),IF(Q301&lt;10,"UBL10",IF(Q301&gt;=200,"UBM200",IF(Q301&gt;=150,"UBM150",IF(Q301&gt;=100,"UBM100",IF(Q301&gt;=50,"UBM50","UBM10-50"))))),0)</f>
        <v>0</v>
      </c>
      <c r="AK301" t="s">
        <f>IF(Q301&lt;32,"down",IF(Q301=32,32,IF(Q301&gt;32,"up")))</f>
        <v>7</v>
      </c>
    </row>
    <row r="302" spans="1:37">
      <c r="A302">
        <f>IF(X302=9908,9908,"Error")</f>
        <v>9908</v>
      </c>
      <c r="B302" t="s">
        <f>IF(K302&lt;30.550000000000001,"down",IF(K302=30.550000000000001,"low",IF(K302=30.75,"high",IF(AND(K302&gt;30.550000000000001,K302&lt;30.75),"normal","up"))))</f>
        <v>79</v>
      </c>
      <c r="C302" t="s">
        <f>IF(K302&lt;30.550000000000001,"down",IF(K302=30.550000000000001,"low",IF(K302=30.75,"high",IF(AND(K302&gt;30.550000000000001,K302&lt;30.75),"normal","up"))))</f>
        <v>79</v>
      </c>
      <c r="D302" t="s">
        <f>IF(K302&lt;30.550000000000001,"down",IF(K302=30.550000000000001,"low",IF(K302=30.75,"high",IF(AND(K302&gt;30.550000000000001,K302&lt;30.75),"normal","up"))))</f>
        <v>79</v>
      </c>
      <c r="E302" t="s">
        <f>IF(K302&lt;30.25,"down",IF(K302=30.25,"low",IF(K302=30.75,"high",IF(AND(K302&gt;30.25,K302&lt;30.75),"normal","up"))))</f>
        <v>79</v>
      </c>
      <c r="F302" t="s">
        <f>IF(P302&lt;30.699999999999999,"PVP-down",IF(P302=30.699999999999999,30.699999999999999,IF(P302&gt;30.699999999999999,"PVP-up")))</f>
        <v>80</v>
      </c>
      <c r="G302" t="s">
        <f>IF(R302&lt;40,"PVV-down",IF(R302=40,40,IF(R302&gt;40,"PVV-up")))</f>
        <v>87</v>
      </c>
      <c r="H302" s="40">
        <f>R302/(Y302/10000)</f>
        <v>6.5845789161783099e-05</v>
      </c>
      <c r="I302">
        <v>30.600000000000001</v>
      </c>
      <c r="J302">
        <v>30.649999999999999</v>
      </c>
      <c r="K302">
        <v>30.600000000000001</v>
      </c>
      <c r="L302">
        <v>0.050000000000000003</v>
      </c>
      <c r="M302">
        <v>0.0016000000000000001</v>
      </c>
      <c r="N302">
        <v>30.649999999999999</v>
      </c>
      <c r="O302">
        <v>30.699999999999999</v>
      </c>
      <c r="P302">
        <v>30.649999999999999</v>
      </c>
      <c r="Q302">
        <v>1</v>
      </c>
      <c r="R302">
        <v>34</v>
      </c>
      <c r="S302">
        <v>101</v>
      </c>
      <c r="T302">
        <f>((P302-K302)/K302)</f>
        <v>0.0016339869281044822</v>
      </c>
      <c r="U302">
        <f>((T302*AB302)*D4)</f>
        <v>0.009267445509926156</v>
      </c>
      <c r="V302" s="3">
        <f>IF(P302&lt;=N302,(P302*Q302*1000),0)</f>
        <v>30650</v>
      </c>
      <c r="W302" s="3">
        <f>IF(P302&gt;=O302,(P302*Q302*1000),0)</f>
        <v>0</v>
      </c>
      <c r="X302">
        <v>9908</v>
      </c>
      <c r="Y302" s="3">
        <v>5163580000</v>
      </c>
      <c r="Z302" s="40">
        <f>((C4*AB302)/P302)/10</f>
        <v>0.016981985264636724</v>
      </c>
      <c r="AA302" s="40">
        <f>((M302*AB302)*C4)</f>
        <v>0.0083279655737778496</v>
      </c>
      <c r="AB302" s="40">
        <f>AE302/AE323</f>
        <v>0.00044378656749822419</v>
      </c>
      <c r="AC302" s="40">
        <f>AF302/AF323</f>
        <v>0.00043894612743247571</v>
      </c>
      <c r="AD302" s="3">
        <f>IF(ISNA(J302),(I302*Y302)/10,(J302*Y302)/10)</f>
        <v>15826372700</v>
      </c>
      <c r="AE302" s="3">
        <f>IF(ISNA(P302),(I302*Y302)/10,(P302*Y302)/10)</f>
        <v>15826372700</v>
      </c>
      <c r="AF302" s="3">
        <f>(I302*Y302)/10</f>
        <v>15800554800</v>
      </c>
      <c r="AG302">
        <f>IF(AND(P302&lt;=N302,L302&lt;0),IF(Q302&lt;10,"DBL10",IF(Q302&gt;=200,"DBM200",IF(Q302&gt;=150,"DBM150",IF(Q302&gt;=100,"DBM100",IF(Q302&gt;=50,"DBM50","DBM10-50"))))),0)</f>
        <v>0</v>
      </c>
      <c r="AH302">
        <f>IF(AND(P302&gt;=O302,L302&lt;0),IF(Q302&lt;10,"DAL10",IF(Q302&gt;=200,"DAM200",IF(Q302&gt;=150,"DAM150",IF(Q302&gt;=100,"DAM100",IF(Q302&gt;=50,"DAM50","DAM10-50"))))),0)</f>
        <v>0</v>
      </c>
      <c r="AI302">
        <f>IF(AND(P302&gt;=O302,L302&gt;0),IF(Q302&lt;10,"UAL10",IF(Q302&gt;=200,"UAM200",IF(Q302&gt;=150,"UAM150",IF(Q302&gt;=100,"UAM100",IF(Q302&gt;=50,"UAM50","UAM10-50"))))),0)</f>
        <v>0</v>
      </c>
      <c r="AJ302" t="s">
        <f>IF(AND(P302&lt;=N302,L302&gt;0),IF(Q302&lt;10,"UBL10",IF(Q302&gt;=200,"UBM200",IF(Q302&gt;=150,"UBM150",IF(Q302&gt;=100,"UBM100",IF(Q302&gt;=50,"UBM50","UBM10-50"))))),0)</f>
        <v>86</v>
      </c>
      <c r="AK302" t="s">
        <f>IF(Q302&lt;0,"down",IF(Q302=0,0,IF(Q302&gt;0,"up")))</f>
        <v>6</v>
      </c>
    </row>
    <row r="303" spans="1:37">
      <c r="A303">
        <f>IF(X303=2511,2511,"Error")</f>
        <v>2511</v>
      </c>
      <c r="B303" t="s">
        <f>IF(K303&lt;9.6199999999999992,"down",IF(K303=9.6199999999999992,"low",IF(K303=9.8499999999999996,"high",IF(AND(K303&gt;9.6199999999999992,K303&lt;9.8499999999999996),"normal","up"))))</f>
        <v>79</v>
      </c>
      <c r="C303" t="s">
        <f>IF(K303&lt;9.6199999999999992,"down",IF(K303=9.6199999999999992,"low",IF(K303=9.8499999999999996,"high",IF(AND(K303&gt;9.6199999999999992,K303&lt;9.8499999999999996),"normal","up"))))</f>
        <v>79</v>
      </c>
      <c r="D303" t="s">
        <f>IF(K303&lt;9.6199999999999992,"down",IF(K303=9.6199999999999992,"low",IF(K303=9.8499999999999996,"high",IF(AND(K303&gt;9.6199999999999992,K303&lt;9.8499999999999996),"normal","up"))))</f>
        <v>79</v>
      </c>
      <c r="E303" t="s">
        <f>IF(K303&lt;9.6199999999999992,"down",IF(K303=9.6199999999999992,"low",IF(K303=9.8499999999999996,"high",IF(AND(K303&gt;9.6199999999999992,K303&lt;9.8499999999999996),"normal","up"))))</f>
        <v>79</v>
      </c>
      <c r="F303" t="s">
        <f>IF(P303&lt;9.8300000000000001,"PVP-down",IF(P303=9.8300000000000001,9.8300000000000001,IF(P303&gt;9.8300000000000001,"PVP-up")))</f>
        <v>80</v>
      </c>
      <c r="G303" t="s">
        <f>IF(R303&lt;219,"PVV-down",IF(R303=219,219,IF(R303&gt;219,"PVV-up")))</f>
        <v>81</v>
      </c>
      <c r="H303" s="40">
        <f>R303/(Y303/10000)</f>
        <v>0.00031355374946720422</v>
      </c>
      <c r="I303">
        <v>9.8300000000000001</v>
      </c>
      <c r="J303">
        <v>9.7699999999999996</v>
      </c>
      <c r="K303">
        <v>9.8300000000000001</v>
      </c>
      <c r="L303">
        <v>-0.059999999999999998</v>
      </c>
      <c r="M303">
        <v>-0.0061000000000000004</v>
      </c>
      <c r="N303">
        <v>9.7699999999999996</v>
      </c>
      <c r="O303">
        <v>9.7799999999999994</v>
      </c>
      <c r="P303">
        <v>9.7699999999999996</v>
      </c>
      <c r="Q303">
        <v>17</v>
      </c>
      <c r="R303">
        <v>509</v>
      </c>
      <c r="S303">
        <v>1195</v>
      </c>
      <c r="T303">
        <f>((P303-K303)/K303)</f>
        <v>-0.0061037639877925222</v>
      </c>
      <c r="U303">
        <f>((T303*AB303)*D4)</f>
        <v>-0.034691905495964029</v>
      </c>
      <c r="V303" s="3">
        <f>IF(P303&lt;=N303,(P303*Q303*1000),0)</f>
        <v>166090</v>
      </c>
      <c r="W303" s="3">
        <f>IF(P303&gt;=O303,(P303*Q303*1000),0)</f>
        <v>0</v>
      </c>
      <c r="X303">
        <v>2511</v>
      </c>
      <c r="Y303" s="3">
        <v>16233261470</v>
      </c>
      <c r="Z303" s="40">
        <f>((C4*AB303)/P303)/10</f>
        <v>0.053387960887704852</v>
      </c>
      <c r="AA303" s="40">
        <f>((M303*AB303)*C4)</f>
        <v>-0.031817623050245464</v>
      </c>
      <c r="AB303" s="40">
        <f>AE303/AE323</f>
        <v>0.00044472660555819018</v>
      </c>
      <c r="AC303" s="40">
        <f>AF303/AF323</f>
        <v>0.00044330046527681278</v>
      </c>
      <c r="AD303" s="3">
        <f>IF(ISNA(J303),(I303*Y303)/10,(J303*Y303)/10)</f>
        <v>15859896456.189999</v>
      </c>
      <c r="AE303" s="3">
        <f>IF(ISNA(P303),(I303*Y303)/10,(P303*Y303)/10)</f>
        <v>15859896456.189999</v>
      </c>
      <c r="AF303" s="3">
        <f>(I303*Y303)/10</f>
        <v>15957296025.01</v>
      </c>
      <c r="AG303" t="s">
        <f>IF(AND(P303&lt;=N303,L303&lt;0),IF(Q303&lt;10,"DBL10",IF(Q303&gt;=200,"DBM200",IF(Q303&gt;=150,"DBM150",IF(Q303&gt;=100,"DBM100",IF(Q303&gt;=50,"DBM50","DBM10-50"))))),0)</f>
        <v>12</v>
      </c>
      <c r="AH303">
        <f>IF(AND(P303&gt;=O303,L303&lt;0),IF(Q303&lt;10,"DAL10",IF(Q303&gt;=200,"DAM200",IF(Q303&gt;=150,"DAM150",IF(Q303&gt;=100,"DAM100",IF(Q303&gt;=50,"DAM50","DAM10-50"))))),0)</f>
        <v>0</v>
      </c>
      <c r="AI303">
        <f>IF(AND(P303&gt;=O303,L303&gt;0),IF(Q303&lt;10,"UAL10",IF(Q303&gt;=200,"UAM200",IF(Q303&gt;=150,"UAM150",IF(Q303&gt;=100,"UAM100",IF(Q303&gt;=50,"UAM50","UAM10-50"))))),0)</f>
        <v>0</v>
      </c>
      <c r="AJ303">
        <f>IF(AND(P303&lt;=N303,L303&gt;0),IF(Q303&lt;10,"UBL10",IF(Q303&gt;=200,"UBM200",IF(Q303&gt;=150,"UBM150",IF(Q303&gt;=100,"UBM100",IF(Q303&gt;=50,"UBM50","UBM10-50"))))),0)</f>
        <v>0</v>
      </c>
      <c r="AK303" t="s">
        <f>IF(Q303&lt;1,"down",IF(Q303=1,1,IF(Q303&gt;1,"up")))</f>
        <v>6</v>
      </c>
    </row>
    <row r="304" spans="1:37">
      <c r="A304">
        <f>IF(X304=2023,2023,"Error")</f>
        <v>2023</v>
      </c>
      <c r="B304" t="s">
        <f>IF(K304&lt;8.4600000000000009,"down",IF(K304=8.4600000000000009,"low",IF(K304=8.5800000000000001,"high",IF(AND(K304&gt;8.4600000000000009,K304&lt;8.5800000000000001),"normal","up"))))</f>
        <v>79</v>
      </c>
      <c r="C304" t="s">
        <f>IF(K304&lt;8.4600000000000009,"down",IF(K304=8.4600000000000009,"low",IF(K304=8.5800000000000001,"high",IF(AND(K304&gt;8.4600000000000009,K304&lt;8.5800000000000001),"normal","up"))))</f>
        <v>79</v>
      </c>
      <c r="D304" t="s">
        <f>IF(K304&lt;8.4600000000000009,"down",IF(K304=8.4600000000000009,"low",IF(K304=8.5800000000000001,"high",IF(AND(K304&gt;8.4600000000000009,K304&lt;8.5800000000000001),"normal","up"))))</f>
        <v>79</v>
      </c>
      <c r="E304" t="s">
        <f>IF(K304&lt;8.2100000000000009,"down",IF(K304=8.2100000000000009,"low",IF(K304=8.7599999999999998,"high",IF(AND(K304&gt;8.2100000000000009,K304&lt;8.7599999999999998),"normal","up"))))</f>
        <v>79</v>
      </c>
      <c r="F304" t="s">
        <f>IF(P304&lt;8.5,"PVP-down",IF(P304=8.5,8.5,IF(P304&gt;8.5,"PVP-up")))</f>
        <v>83</v>
      </c>
      <c r="G304" t="s">
        <f>IF(R304&lt;143,"PVV-down",IF(R304=143,143,IF(R304&gt;143,"PVV-up")))</f>
        <v>81</v>
      </c>
      <c r="H304" s="40">
        <f>R304/(Y304/10000)</f>
        <v>0.0004416389729675126</v>
      </c>
      <c r="I304">
        <v>8.5800000000000001</v>
      </c>
      <c r="J304">
        <v>8.5899999999999999</v>
      </c>
      <c r="K304">
        <v>8.5299999999999994</v>
      </c>
      <c r="L304">
        <v>0.01</v>
      </c>
      <c r="M304">
        <v>0.0011999999999999999</v>
      </c>
      <c r="N304">
        <v>8.5899999999999999</v>
      </c>
      <c r="O304">
        <v>8.5999999999999996</v>
      </c>
      <c r="P304">
        <v>8.5899999999999999</v>
      </c>
      <c r="Q304">
        <v>9</v>
      </c>
      <c r="R304">
        <v>845</v>
      </c>
      <c r="S304">
        <v>696</v>
      </c>
      <c r="T304">
        <f>((P304-K304)/K304)</f>
        <v>0.0070339976553341734</v>
      </c>
      <c r="U304">
        <f>((T304*AB304)*D4)</f>
        <v>0.041429984919797012</v>
      </c>
      <c r="V304" s="3">
        <f>IF(P304&lt;=N304,(P304*Q304*1000),0)</f>
        <v>77310</v>
      </c>
      <c r="W304" s="3">
        <f>IF(P304&gt;=O304,(P304*Q304*1000),0)</f>
        <v>0</v>
      </c>
      <c r="X304">
        <v>2023</v>
      </c>
      <c r="Y304" s="3">
        <v>19133275180</v>
      </c>
      <c r="Z304" s="40">
        <f>((C4*AB304)/P304)/10</f>
        <v>0.062925527864582234</v>
      </c>
      <c r="AA304" s="40">
        <f>((M304*AB304)*C4)</f>
        <v>0.0064863634122811356</v>
      </c>
      <c r="AB304" s="40">
        <f>AE304/AE323</f>
        <v>0.00046086661122391446</v>
      </c>
      <c r="AC304" s="40">
        <f>AF304/AF323</f>
        <v>0.00045605318269708196</v>
      </c>
      <c r="AD304" s="3">
        <f>IF(ISNA(J304),(I304*Y304)/10,(J304*Y304)/10)</f>
        <v>16435483379.620001</v>
      </c>
      <c r="AE304" s="3">
        <f>IF(ISNA(P304),(I304*Y304)/10,(P304*Y304)/10)</f>
        <v>16435483379.620001</v>
      </c>
      <c r="AF304" s="3">
        <f>(I304*Y304)/10</f>
        <v>16416350104.439999</v>
      </c>
      <c r="AG304">
        <f>IF(AND(P304&lt;=N304,L304&lt;0),IF(Q304&lt;10,"DBL10",IF(Q304&gt;=200,"DBM200",IF(Q304&gt;=150,"DBM150",IF(Q304&gt;=100,"DBM100",IF(Q304&gt;=50,"DBM50","DBM10-50"))))),0)</f>
        <v>0</v>
      </c>
      <c r="AH304">
        <f>IF(AND(P304&gt;=O304,L304&lt;0),IF(Q304&lt;10,"DAL10",IF(Q304&gt;=200,"DAM200",IF(Q304&gt;=150,"DAM150",IF(Q304&gt;=100,"DAM100",IF(Q304&gt;=50,"DAM50","DAM10-50"))))),0)</f>
        <v>0</v>
      </c>
      <c r="AI304">
        <f>IF(AND(P304&gt;=O304,L304&gt;0),IF(Q304&lt;10,"UAL10",IF(Q304&gt;=200,"UAM200",IF(Q304&gt;=150,"UAM150",IF(Q304&gt;=100,"UAM100",IF(Q304&gt;=50,"UAM50","UAM10-50"))))),0)</f>
        <v>0</v>
      </c>
      <c r="AJ304" t="s">
        <f>IF(AND(P304&lt;=N304,L304&gt;0),IF(Q304&lt;10,"UBL10",IF(Q304&gt;=200,"UBM200",IF(Q304&gt;=150,"UBM150",IF(Q304&gt;=100,"UBM100",IF(Q304&gt;=50,"UBM50","UBM10-50"))))),0)</f>
        <v>86</v>
      </c>
      <c r="AK304" t="s">
        <f>IF(Q304&lt;20,"down",IF(Q304=20,20,IF(Q304&gt;20,"up")))</f>
        <v>7</v>
      </c>
    </row>
    <row r="305" spans="1:37">
      <c r="A305">
        <f>IF(X305=9939,9939,"Error")</f>
        <v>9939</v>
      </c>
      <c r="B305" t="s">
        <f>IF(K305&lt;54,"down",IF(K305=54,"low",IF(K305=54.700000000000003,"high",IF(AND(K305&gt;54,K305&lt;54.700000000000003),"normal","up"))))</f>
        <v>6</v>
      </c>
      <c r="C305" t="s">
        <f>IF(K305&lt;54,"down",IF(K305=54,"low",IF(K305=54.700000000000003,"high",IF(AND(K305&gt;54,K305&lt;54.700000000000003),"normal","up"))))</f>
        <v>6</v>
      </c>
      <c r="D305" t="s">
        <f>IF(K305&lt;54,"down",IF(K305=54,"low",IF(K305=54.700000000000003,"high",IF(AND(K305&gt;54,K305&lt;54.700000000000003),"normal","up"))))</f>
        <v>6</v>
      </c>
      <c r="E305" t="s">
        <f>IF(K305&lt;52.899999999999999,"down",IF(K305=52.899999999999999,"low",IF(K305=54.700000000000003,"high",IF(AND(K305&gt;52.899999999999999,K305&lt;54.700000000000003),"normal","up"))))</f>
        <v>6</v>
      </c>
      <c r="F305">
        <f>IF(P305&lt;54.5,"PVP-down",IF(P305=54.5,54.5,IF(P305&gt;54.5,"PVP-up")))</f>
        <v>54.5</v>
      </c>
      <c r="G305" t="s">
        <f>IF(R305&lt;151,"PVV-down",IF(R305=151,151,IF(R305&gt;151,"PVV-up")))</f>
        <v>81</v>
      </c>
      <c r="H305" s="40">
        <f>R305/(Y305/10000)</f>
        <v>0.0039508540306107233</v>
      </c>
      <c r="I305">
        <v>54.299999999999997</v>
      </c>
      <c r="J305">
        <v>54.5</v>
      </c>
      <c r="K305">
        <v>54.799999999999997</v>
      </c>
      <c r="L305">
        <v>0.20000000000000001</v>
      </c>
      <c r="M305">
        <v>0.0037000000000000002</v>
      </c>
      <c r="N305">
        <v>54.5</v>
      </c>
      <c r="O305">
        <v>54.600000000000001</v>
      </c>
      <c r="P305">
        <v>54.5</v>
      </c>
      <c r="Q305">
        <v>54</v>
      </c>
      <c r="R305">
        <v>1137</v>
      </c>
      <c r="S305">
        <v>474</v>
      </c>
      <c r="T305">
        <f>((P305-K305)/K305)</f>
        <v>-0.0054744525547444738</v>
      </c>
      <c r="U305">
        <f>((T305*AB305)*D4)</f>
        <v>-0.030770655871940111</v>
      </c>
      <c r="V305" s="3">
        <f>IF(P305&lt;=N305,(P305*Q305*1000),0)</f>
        <v>2943000</v>
      </c>
      <c r="W305" s="3">
        <f>IF(P305&gt;=O305,(P305*Q305*1000),0)</f>
        <v>0</v>
      </c>
      <c r="X305">
        <v>9939</v>
      </c>
      <c r="Y305" s="3">
        <v>2877858790</v>
      </c>
      <c r="Z305" s="40">
        <f>((C4*AB305)/P305)/10</f>
        <v>0.0094647038615621841</v>
      </c>
      <c r="AA305" s="40">
        <f>((M305*AB305)*C4)</f>
        <v>0.019085575336840147</v>
      </c>
      <c r="AB305" s="40">
        <f>AE305/AE323</f>
        <v>0.00043980356624388577</v>
      </c>
      <c r="AC305" s="40">
        <f>AF305/AF323</f>
        <v>0.00043411840155399458</v>
      </c>
      <c r="AD305" s="3">
        <f>IF(ISNA(J305),(I305*Y305)/10,(J305*Y305)/10)</f>
        <v>15684330405.5</v>
      </c>
      <c r="AE305" s="3">
        <f>IF(ISNA(P305),(I305*Y305)/10,(P305*Y305)/10)</f>
        <v>15684330405.5</v>
      </c>
      <c r="AF305" s="3">
        <f>(I305*Y305)/10</f>
        <v>15626773229.700001</v>
      </c>
      <c r="AG305">
        <f>IF(AND(P305&lt;=N305,L305&lt;0),IF(Q305&lt;10,"DBL10",IF(Q305&gt;=200,"DBM200",IF(Q305&gt;=150,"DBM150",IF(Q305&gt;=100,"DBM100",IF(Q305&gt;=50,"DBM50","DBM10-50"))))),0)</f>
        <v>0</v>
      </c>
      <c r="AH305">
        <f>IF(AND(P305&gt;=O305,L305&lt;0),IF(Q305&lt;10,"DAL10",IF(Q305&gt;=200,"DAM200",IF(Q305&gt;=150,"DAM150",IF(Q305&gt;=100,"DAM100",IF(Q305&gt;=50,"DAM50","DAM10-50"))))),0)</f>
        <v>0</v>
      </c>
      <c r="AI305">
        <f>IF(AND(P305&gt;=O305,L305&gt;0),IF(Q305&lt;10,"UAL10",IF(Q305&gt;=200,"UAM200",IF(Q305&gt;=150,"UAM150",IF(Q305&gt;=100,"UAM100",IF(Q305&gt;=50,"UAM50","UAM10-50"))))),0)</f>
        <v>0</v>
      </c>
      <c r="AJ305" t="s">
        <f>IF(AND(P305&lt;=N305,L305&gt;0),IF(Q305&lt;10,"UBL10",IF(Q305&gt;=200,"UBM200",IF(Q305&gt;=150,"UBM150",IF(Q305&gt;=100,"UBM100",IF(Q305&gt;=50,"UBM50","UBM10-50"))))),0)</f>
        <v>18</v>
      </c>
      <c r="AK305" t="s">
        <f>IF(Q305&lt;5,"down",IF(Q305=5,5,IF(Q305&gt;5,"up")))</f>
        <v>6</v>
      </c>
    </row>
    <row r="306" spans="1:37">
      <c r="A306">
        <f>IF(X306=2231,2231,"Error")</f>
        <v>2231</v>
      </c>
      <c r="B306" t="s">
        <f>IF(K306&lt;117,"down",IF(K306=117,"low",IF(K306=121,"high",IF(AND(K306&gt;117,K306&lt;121),"normal","up"))))</f>
        <v>79</v>
      </c>
      <c r="C306" t="s">
        <f>IF(K306&lt;117,"down",IF(K306=117,"low",IF(K306=121,"high",IF(AND(K306&gt;117,K306&lt;121),"normal","up"))))</f>
        <v>79</v>
      </c>
      <c r="D306" t="s">
        <f>IF(K306&lt;117,"down",IF(K306=117,"low",IF(K306=121,"high",IF(AND(K306&gt;117,K306&lt;121),"normal","up"))))</f>
        <v>79</v>
      </c>
      <c r="E306" t="s">
        <f>IF(K306&lt;117,"down",IF(K306=117,"low",IF(K306=125.5,"high",IF(AND(K306&gt;117,K306&lt;125.5),"normal","up"))))</f>
        <v>79</v>
      </c>
      <c r="F306" t="s">
        <f>IF(P306&lt;119,"PVP-down",IF(P306=119,119,IF(P306&gt;119,"PVP-up")))</f>
        <v>80</v>
      </c>
      <c r="G306" t="s">
        <f>IF(R306&lt;175,"PVV-down",IF(R306=175,175,IF(R306&gt;175,"PVV-up")))</f>
        <v>81</v>
      </c>
      <c r="H306" s="40">
        <f>R306/(Y306/10000)</f>
        <v>0.0049339999748089182</v>
      </c>
      <c r="I306">
        <v>119</v>
      </c>
      <c r="J306">
        <v>118</v>
      </c>
      <c r="K306">
        <v>119.5</v>
      </c>
      <c r="L306">
        <v>-1</v>
      </c>
      <c r="M306">
        <v>-0.0083999999999999995</v>
      </c>
      <c r="N306">
        <v>118</v>
      </c>
      <c r="O306">
        <v>118.5</v>
      </c>
      <c r="P306">
        <v>118</v>
      </c>
      <c r="Q306">
        <v>31</v>
      </c>
      <c r="R306">
        <v>606</v>
      </c>
      <c r="S306">
        <v>518</v>
      </c>
      <c r="T306">
        <f>((P306-K306)/K306)</f>
        <v>-0.012552301255230125</v>
      </c>
      <c r="U306">
        <f>((T306*AB306)*D4)</f>
        <v>-0.065194193444451737</v>
      </c>
      <c r="V306" s="3">
        <f>IF(P306&lt;=N306,(P306*Q306*1000),0)</f>
        <v>3658000</v>
      </c>
      <c r="W306" s="3">
        <f>IF(P306&gt;=O306,(P306*Q306*1000),0)</f>
        <v>0</v>
      </c>
      <c r="X306">
        <v>2231</v>
      </c>
      <c r="Y306" s="3">
        <v>1228212410</v>
      </c>
      <c r="Z306" s="40">
        <f>((C4*AB306)/P306)/10</f>
        <v>0.0040393457733711802</v>
      </c>
      <c r="AA306" s="40">
        <f>((M306*AB306)*C4)</f>
        <v>-0.040037995305655126</v>
      </c>
      <c r="AB306" s="40">
        <f>AE306/AE323</f>
        <v>0.00040639490318542383</v>
      </c>
      <c r="AC306" s="40">
        <f>AF306/AF323</f>
        <v>0.00040603112647061583</v>
      </c>
      <c r="AD306" s="3">
        <f>IF(ISNA(J306),(I306*Y306)/10,(J306*Y306)/10)</f>
        <v>14492906438</v>
      </c>
      <c r="AE306" s="3">
        <f>IF(ISNA(P306),(I306*Y306)/10,(P306*Y306)/10)</f>
        <v>14492906438</v>
      </c>
      <c r="AF306" s="3">
        <f>(I306*Y306)/10</f>
        <v>14615727679</v>
      </c>
      <c r="AG306" t="s">
        <f>IF(AND(P306&lt;=N306,L306&lt;0),IF(Q306&lt;10,"DBL10",IF(Q306&gt;=200,"DBM200",IF(Q306&gt;=150,"DBM150",IF(Q306&gt;=100,"DBM100",IF(Q306&gt;=50,"DBM50","DBM10-50"))))),0)</f>
        <v>12</v>
      </c>
      <c r="AH306">
        <f>IF(AND(P306&gt;=O306,L306&lt;0),IF(Q306&lt;10,"DAL10",IF(Q306&gt;=200,"DAM200",IF(Q306&gt;=150,"DAM150",IF(Q306&gt;=100,"DAM100",IF(Q306&gt;=50,"DAM50","DAM10-50"))))),0)</f>
        <v>0</v>
      </c>
      <c r="AI306">
        <f>IF(AND(P306&gt;=O306,L306&gt;0),IF(Q306&lt;10,"UAL10",IF(Q306&gt;=200,"UAM200",IF(Q306&gt;=150,"UAM150",IF(Q306&gt;=100,"UAM100",IF(Q306&gt;=50,"UAM50","UAM10-50"))))),0)</f>
        <v>0</v>
      </c>
      <c r="AJ306">
        <f>IF(AND(P306&lt;=N306,L306&gt;0),IF(Q306&lt;10,"UBL10",IF(Q306&gt;=200,"UBM200",IF(Q306&gt;=150,"UBM150",IF(Q306&gt;=100,"UBM100",IF(Q306&gt;=50,"UBM50","UBM10-50"))))),0)</f>
        <v>0</v>
      </c>
      <c r="AK306" t="s">
        <f>IF(Q306&lt;8,"down",IF(Q306=8,8,IF(Q306&gt;8,"up")))</f>
        <v>6</v>
      </c>
    </row>
    <row r="307" spans="1:37">
      <c r="A307">
        <f>IF(X307=6464,6464,"Error")</f>
        <v>6464</v>
      </c>
      <c r="B307" t="s">
        <f>IF(K307&lt;122.5,"down",IF(K307=122.5,"low",IF(K307=122.5,"high",IF(AND(K307&gt;122.5,K307&lt;122.5),"normal","up"))))</f>
        <v>7</v>
      </c>
      <c r="C307" t="s">
        <f>IF(K307&lt;122.5,"down",IF(K307=122.5,"low",IF(K307=122.5,"high",IF(AND(K307&gt;122.5,K307&lt;122.5),"normal","up"))))</f>
        <v>7</v>
      </c>
      <c r="D307" t="s">
        <f>IF(K307&lt;122.5,"down",IF(K307=122.5,"low",IF(K307=122.5,"high",IF(AND(K307&gt;122.5,K307&lt;122.5),"normal","up"))))</f>
        <v>7</v>
      </c>
      <c r="E307" t="s">
        <f>IF(K307&lt;120.5,"down",IF(K307=120.5,"low",IF(K307=122.5,"high",IF(AND(K307&gt;120.5,K307&lt;122.5),"normal","up"))))</f>
        <v>79</v>
      </c>
      <c r="F307" t="s">
        <f>IF(P307&lt;122.5,"PVP-down",IF(P307=122.5,122.5,IF(P307&gt;122.5,"PVP-up")))</f>
        <v>80</v>
      </c>
      <c r="G307" t="s">
        <f>IF(R307&lt;1,"PVV-down",IF(R307=1,1,IF(R307&gt;1,"PVV-up")))</f>
        <v>81</v>
      </c>
      <c r="H307" s="40">
        <f>R307/(Y307/10000)</f>
        <v>9.780373083089664e-05</v>
      </c>
      <c r="I307">
        <v>122.5</v>
      </c>
      <c r="J307">
        <v>121</v>
      </c>
      <c r="K307">
        <v>121</v>
      </c>
      <c r="L307">
        <v>-1</v>
      </c>
      <c r="M307">
        <v>-0.0082000000000000007</v>
      </c>
      <c r="N307">
        <v>121</v>
      </c>
      <c r="O307">
        <v>121.5</v>
      </c>
      <c r="P307">
        <v>121.5</v>
      </c>
      <c r="Q307">
        <v>2</v>
      </c>
      <c r="R307">
        <v>12</v>
      </c>
      <c r="S307">
        <v>1</v>
      </c>
      <c r="T307">
        <f>((P307-K307)/K307)</f>
        <v>0.0041322314049586778</v>
      </c>
      <c r="U307">
        <f>((T307*AB307)*D4)</f>
        <v>0.022075818294179334</v>
      </c>
      <c r="V307" s="3">
        <f>IF(P307&lt;=N307,(P307*Q307*1000),0)</f>
        <v>0</v>
      </c>
      <c r="W307" s="3">
        <f>IF(P307&gt;=O307,(P307*Q307*1000),0)</f>
        <v>243000</v>
      </c>
      <c r="X307">
        <v>6464</v>
      </c>
      <c r="Y307" s="3">
        <v>1226947060</v>
      </c>
      <c r="Z307" s="40">
        <f>((C4*AB307)/P307)/10</f>
        <v>0.0040351842894676467</v>
      </c>
      <c r="AA307" s="40">
        <f>((M307*AB307)*C4)</f>
        <v>-0.040202541075966158</v>
      </c>
      <c r="AB307" s="40">
        <f>AE307/AE323</f>
        <v>0.00041801788762071604</v>
      </c>
      <c r="AC307" s="40">
        <f>AF307/AF323</f>
        <v>0.00041754260690630003</v>
      </c>
      <c r="AD307" s="3">
        <f>IF(ISNA(J307),(I307*Y307)/10,(J307*Y307)/10)</f>
        <v>14846059426</v>
      </c>
      <c r="AE307" s="3">
        <f>IF(ISNA(P307),(I307*Y307)/10,(P307*Y307)/10)</f>
        <v>14907406779</v>
      </c>
      <c r="AF307" s="3">
        <f>(I307*Y307)/10</f>
        <v>15030101485</v>
      </c>
      <c r="AG307">
        <f>IF(AND(P307&lt;=N307,L307&lt;0),IF(Q307&lt;10,"DBL10",IF(Q307&gt;=200,"DBM200",IF(Q307&gt;=150,"DBM150",IF(Q307&gt;=100,"DBM100",IF(Q307&gt;=50,"DBM50","DBM10-50"))))),0)</f>
        <v>0</v>
      </c>
      <c r="AH307" t="s">
        <f>IF(AND(P307&gt;=O307,L307&lt;0),IF(Q307&lt;10,"DAL10",IF(Q307&gt;=200,"DAM200",IF(Q307&gt;=150,"DAM150",IF(Q307&gt;=100,"DAM100",IF(Q307&gt;=50,"DAM50","DAM10-50"))))),0)</f>
        <v>88</v>
      </c>
      <c r="AI307">
        <f>IF(AND(P307&gt;=O307,L307&gt;0),IF(Q307&lt;10,"UAL10",IF(Q307&gt;=200,"UAM200",IF(Q307&gt;=150,"UAM150",IF(Q307&gt;=100,"UAM100",IF(Q307&gt;=50,"UAM50","UAM10-50"))))),0)</f>
        <v>0</v>
      </c>
      <c r="AJ307">
        <f>IF(AND(P307&lt;=N307,L307&gt;0),IF(Q307&lt;10,"UBL10",IF(Q307&gt;=200,"UBM200",IF(Q307&gt;=150,"UBM150",IF(Q307&gt;=100,"UBM100",IF(Q307&gt;=50,"UBM50","UBM10-50"))))),0)</f>
        <v>0</v>
      </c>
      <c r="AK307" t="s">
        <f>IF(Q307&lt;0,"down",IF(Q307=0,0,IF(Q307&gt;0,"up")))</f>
        <v>6</v>
      </c>
    </row>
    <row r="308" spans="1:37">
      <c r="A308">
        <f>IF(X308=1515,1515,"Error")</f>
        <v>1515</v>
      </c>
      <c r="B308" t="s">
        <f>IF(K308&lt;86.5,"down",IF(K308=86.5,"low",IF(K308=93.299999999999997,"high",IF(AND(K308&gt;86.5,K308&lt;93.299999999999997),"normal","up"))))</f>
        <v>79</v>
      </c>
      <c r="C308" t="s">
        <f>IF(K308&lt;86.5,"down",IF(K308=86.5,"low",IF(K308=93.299999999999997,"high",IF(AND(K308&gt;86.5,K308&lt;93.299999999999997),"normal","up"))))</f>
        <v>79</v>
      </c>
      <c r="D308" t="s">
        <f>IF(K308&lt;86.5,"down",IF(K308=86.5,"low",IF(K308=93.299999999999997,"high",IF(AND(K308&gt;86.5,K308&lt;93.299999999999997),"normal","up"))))</f>
        <v>79</v>
      </c>
      <c r="E308" t="s">
        <f>IF(K308&lt;80.599999999999994,"down",IF(K308=80.599999999999994,"low",IF(K308=93.299999999999997,"high",IF(AND(K308&gt;80.599999999999994,K308&lt;93.299999999999997),"normal","up"))))</f>
        <v>79</v>
      </c>
      <c r="F308" t="s">
        <f>IF(P308&lt;91,"PVP-down",IF(P308=91,91,IF(P308&gt;91,"PVP-up")))</f>
        <v>80</v>
      </c>
      <c r="G308" t="s">
        <f>IF(R308&lt;689,"PVV-down",IF(R308=689,689,IF(R308&gt;689,"PVV-up")))</f>
        <v>81</v>
      </c>
      <c r="H308" s="40">
        <f>R308/(Y308/10000)</f>
        <v>0.022995092947455137</v>
      </c>
      <c r="I308">
        <v>86.900000000000006</v>
      </c>
      <c r="J308">
        <v>84.599999999999994</v>
      </c>
      <c r="K308">
        <v>87.400000000000006</v>
      </c>
      <c r="L308">
        <v>-2.2000000000000002</v>
      </c>
      <c r="M308">
        <v>-0.0253</v>
      </c>
      <c r="N308">
        <v>84.700000000000003</v>
      </c>
      <c r="O308">
        <v>84.799999999999997</v>
      </c>
      <c r="P308">
        <v>84.700000000000003</v>
      </c>
      <c r="Q308">
        <v>160</v>
      </c>
      <c r="R308">
        <v>4173</v>
      </c>
      <c r="S308">
        <v>8861</v>
      </c>
      <c r="T308">
        <f>((P308-K308)/K308)</f>
        <v>-0.030892448512585841</v>
      </c>
      <c r="U308">
        <f>((T308*AB308)*D4)</f>
        <v>-0.17016844554757135</v>
      </c>
      <c r="V308" s="3">
        <f>IF(P308&lt;=N308,(P308*Q308*1000),0)</f>
        <v>13552000</v>
      </c>
      <c r="W308" s="3">
        <f>IF(P308&gt;=O308,(P308*Q308*1000),0)</f>
        <v>0</v>
      </c>
      <c r="X308">
        <v>1515</v>
      </c>
      <c r="Y308" s="3">
        <v>1814735000</v>
      </c>
      <c r="Z308" s="40">
        <f>((C4*AB308)/P308)/10</f>
        <v>0.0059683016490923975</v>
      </c>
      <c r="AA308" s="40">
        <f>((M308*AB308)*C4)</f>
        <v>-0.12789533286856589</v>
      </c>
      <c r="AB308" s="40">
        <f>AE308/AE323</f>
        <v>0.0004310120278121908</v>
      </c>
      <c r="AC308" s="40">
        <f>AF308/AF323</f>
        <v>0.00043809861195000889</v>
      </c>
      <c r="AD308" s="3">
        <f>IF(ISNA(J308),(I308*Y308)/10,(J308*Y308)/10)</f>
        <v>15352658100</v>
      </c>
      <c r="AE308" s="3">
        <f>IF(ISNA(P308),(I308*Y308)/10,(P308*Y308)/10)</f>
        <v>15370805450</v>
      </c>
      <c r="AF308" s="3">
        <f>(I308*Y308)/10</f>
        <v>15770047150</v>
      </c>
      <c r="AG308" t="s">
        <f>IF(AND(P308&lt;=N308,L308&lt;0),IF(Q308&lt;10,"DBL10",IF(Q308&gt;=200,"DBM200",IF(Q308&gt;=150,"DBM150",IF(Q308&gt;=100,"DBM100",IF(Q308&gt;=50,"DBM50","DBM10-50"))))),0)</f>
        <v>15</v>
      </c>
      <c r="AH308">
        <f>IF(AND(P308&gt;=O308,L308&lt;0),IF(Q308&lt;10,"DAL10",IF(Q308&gt;=200,"DAM200",IF(Q308&gt;=150,"DAM150",IF(Q308&gt;=100,"DAM100",IF(Q308&gt;=50,"DAM50","DAM10-50"))))),0)</f>
        <v>0</v>
      </c>
      <c r="AI308">
        <f>IF(AND(P308&gt;=O308,L308&gt;0),IF(Q308&lt;10,"UAL10",IF(Q308&gt;=200,"UAM200",IF(Q308&gt;=150,"UAM150",IF(Q308&gt;=100,"UAM100",IF(Q308&gt;=50,"UAM50","UAM10-50"))))),0)</f>
        <v>0</v>
      </c>
      <c r="AJ308">
        <f>IF(AND(P308&lt;=N308,L308&gt;0),IF(Q308&lt;10,"UBL10",IF(Q308&gt;=200,"UBM200",IF(Q308&gt;=150,"UBM150",IF(Q308&gt;=100,"UBM100",IF(Q308&gt;=50,"UBM50","UBM10-50"))))),0)</f>
        <v>0</v>
      </c>
      <c r="AK308" t="s">
        <f>IF(Q308&lt;0,"down",IF(Q308=0,0,IF(Q308&gt;0,"up")))</f>
        <v>6</v>
      </c>
    </row>
    <row r="309" spans="1:37">
      <c r="A309">
        <f>IF(X309=4536,4536,"Error")</f>
        <v>4536</v>
      </c>
      <c r="B309" t="s">
        <f>IF(K309&lt;161,"down",IF(K309=161,"low",IF(K309=166.5,"high",IF(AND(K309&gt;161,K309&lt;166.5),"normal","up"))))</f>
        <v>79</v>
      </c>
      <c r="C309" t="s">
        <f>IF(K309&lt;161,"down",IF(K309=161,"low",IF(K309=166.5,"high",IF(AND(K309&gt;161,K309&lt;166.5),"normal","up"))))</f>
        <v>79</v>
      </c>
      <c r="D309" t="s">
        <f>IF(K309&lt;161,"down",IF(K309=161,"low",IF(K309=166.5,"high",IF(AND(K309&gt;161,K309&lt;166.5),"normal","up"))))</f>
        <v>79</v>
      </c>
      <c r="E309" t="s">
        <f>IF(K309&lt;158,"down",IF(K309=158,"low",IF(K309=168,"high",IF(AND(K309&gt;158,K309&lt;168),"normal","up"))))</f>
        <v>79</v>
      </c>
      <c r="F309" t="s">
        <f>IF(P309&lt;162,"PVP-down",IF(P309=162,162,IF(P309&gt;162,"PVP-up")))</f>
        <v>80</v>
      </c>
      <c r="G309" t="s">
        <f>IF(R309&lt;72,"PVV-down",IF(R309=72,72,IF(R309&gt;72,"PVV-up")))</f>
        <v>81</v>
      </c>
      <c r="H309" s="40">
        <f>R309/(Y309/10000)</f>
        <v>0.0035564853556485356</v>
      </c>
      <c r="I309">
        <v>161.5</v>
      </c>
      <c r="J309">
        <v>161</v>
      </c>
      <c r="K309">
        <v>162</v>
      </c>
      <c r="L309">
        <v>-0.5</v>
      </c>
      <c r="M309">
        <v>-0.0030999999999999999</v>
      </c>
      <c r="N309">
        <v>161</v>
      </c>
      <c r="O309">
        <v>161.5</v>
      </c>
      <c r="P309">
        <v>161</v>
      </c>
      <c r="Q309">
        <v>28</v>
      </c>
      <c r="R309">
        <v>323</v>
      </c>
      <c r="S309">
        <v>416</v>
      </c>
      <c r="T309">
        <f>((P309-K309)/K309)</f>
        <v>-0.0061728395061728392</v>
      </c>
      <c r="U309">
        <f>((T309*AB309)*D4)</f>
        <v>-0.032346137885488492</v>
      </c>
      <c r="V309" s="3">
        <f>IF(P309&lt;=N309,(P309*Q309*1000),0)</f>
        <v>4508000</v>
      </c>
      <c r="W309" s="3">
        <f>IF(P309&gt;=O309,(P309*Q309*1000),0)</f>
        <v>0</v>
      </c>
      <c r="X309">
        <v>4536</v>
      </c>
      <c r="Y309" s="3">
        <v>908200000</v>
      </c>
      <c r="Z309" s="40">
        <f>((C4*AB309)/P309)/10</f>
        <v>0.0029868887510880182</v>
      </c>
      <c r="AA309" s="40">
        <f>((M309*AB309)*C4)</f>
        <v>-0.0149075617566803</v>
      </c>
      <c r="AB309" s="40">
        <f>AE309/AE323</f>
        <v>0.00041001537046390826</v>
      </c>
      <c r="AC309" s="40">
        <f>AF309/AF323</f>
        <v>0.00040746743892100025</v>
      </c>
      <c r="AD309" s="3">
        <f>IF(ISNA(J309),(I309*Y309)/10,(J309*Y309)/10)</f>
        <v>14622020000</v>
      </c>
      <c r="AE309" s="3">
        <f>IF(ISNA(P309),(I309*Y309)/10,(P309*Y309)/10)</f>
        <v>14622020000</v>
      </c>
      <c r="AF309" s="3">
        <f>(I309*Y309)/10</f>
        <v>14667430000</v>
      </c>
      <c r="AG309" t="s">
        <f>IF(AND(P309&lt;=N309,L309&lt;0),IF(Q309&lt;10,"DBL10",IF(Q309&gt;=200,"DBM200",IF(Q309&gt;=150,"DBM150",IF(Q309&gt;=100,"DBM100",IF(Q309&gt;=50,"DBM50","DBM10-50"))))),0)</f>
        <v>12</v>
      </c>
      <c r="AH309">
        <f>IF(AND(P309&gt;=O309,L309&lt;0),IF(Q309&lt;10,"DAL10",IF(Q309&gt;=200,"DAM200",IF(Q309&gt;=150,"DAM150",IF(Q309&gt;=100,"DAM100",IF(Q309&gt;=50,"DAM50","DAM10-50"))))),0)</f>
        <v>0</v>
      </c>
      <c r="AI309">
        <f>IF(AND(P309&gt;=O309,L309&gt;0),IF(Q309&lt;10,"UAL10",IF(Q309&gt;=200,"UAM200",IF(Q309&gt;=150,"UAM150",IF(Q309&gt;=100,"UAM100",IF(Q309&gt;=50,"UAM50","UAM10-50"))))),0)</f>
        <v>0</v>
      </c>
      <c r="AJ309">
        <f>IF(AND(P309&lt;=N309,L309&gt;0),IF(Q309&lt;10,"UBL10",IF(Q309&gt;=200,"UBM200",IF(Q309&gt;=150,"UBM150",IF(Q309&gt;=100,"UBM100",IF(Q309&gt;=50,"UBM50","UBM10-50"))))),0)</f>
        <v>0</v>
      </c>
      <c r="AK309" t="s">
        <f>IF(Q309&lt;0,"down",IF(Q309=0,0,IF(Q309&gt;0,"up")))</f>
        <v>6</v>
      </c>
    </row>
    <row r="310" spans="1:37">
      <c r="A310">
        <f>IF(X310=6582,6582,"Error")</f>
        <v>6582</v>
      </c>
      <c r="B310" t="s">
        <f>IF(K310&lt;157,"down",IF(K310=157,"low",IF(K310=167.5,"high",IF(AND(K310&gt;157,K310&lt;167.5),"normal","up"))))</f>
        <v>79</v>
      </c>
      <c r="C310" t="s">
        <f>IF(K310&lt;157,"down",IF(K310=157,"low",IF(K310=167.5,"high",IF(AND(K310&gt;157,K310&lt;167.5),"normal","up"))))</f>
        <v>79</v>
      </c>
      <c r="D310" t="s">
        <f>IF(K310&lt;157,"down",IF(K310=157,"low",IF(K310=167.5,"high",IF(AND(K310&gt;157,K310&lt;167.5),"normal","up"))))</f>
        <v>79</v>
      </c>
      <c r="E310" t="s">
        <f>IF(K310&lt;136.5,"down",IF(K310=136.5,"low",IF(K310=167.5,"high",IF(AND(K310&gt;136.5,K310&lt;167.5),"normal","up"))))</f>
        <v>79</v>
      </c>
      <c r="F310" t="s">
        <f>IF(P310&lt;160,"PVP-down",IF(P310=160,160,IF(P310&gt;160,"PVP-up")))</f>
        <v>80</v>
      </c>
      <c r="G310" t="s">
        <f>IF(R310&lt;241,"PVV-down",IF(R310=241,241,IF(R310&gt;241,"PVV-up")))</f>
        <v>81</v>
      </c>
      <c r="H310" s="40">
        <f>R310/(Y310/10000)</f>
        <v>0.012947743431901986</v>
      </c>
      <c r="I310">
        <v>160</v>
      </c>
      <c r="J310">
        <v>159</v>
      </c>
      <c r="K310">
        <v>161</v>
      </c>
      <c r="L310">
        <v>-1</v>
      </c>
      <c r="M310">
        <v>-0.0061999999999999998</v>
      </c>
      <c r="N310">
        <v>158.5</v>
      </c>
      <c r="O310">
        <v>159</v>
      </c>
      <c r="P310">
        <v>159</v>
      </c>
      <c r="Q310">
        <v>59</v>
      </c>
      <c r="R310">
        <v>1358</v>
      </c>
      <c r="S310">
        <v>1795</v>
      </c>
      <c r="T310">
        <f>((P310-K310)/K310)</f>
        <v>-0.012422360248447204</v>
      </c>
      <c r="U310">
        <f>((T310*AB310)*D4)</f>
        <v>-0.074239835924854558</v>
      </c>
      <c r="V310" s="3">
        <f>IF(P310&lt;=N310,(P310*Q310*1000),0)</f>
        <v>0</v>
      </c>
      <c r="W310" s="3">
        <f>IF(P310&gt;=O310,(P310*Q310*1000),0)</f>
        <v>9381000</v>
      </c>
      <c r="X310">
        <v>6582</v>
      </c>
      <c r="Y310" s="3">
        <v>1048831410</v>
      </c>
      <c r="Z310" s="40">
        <f>((C4*AB310)/P310)/10</f>
        <v>0.0034493974238238114</v>
      </c>
      <c r="AA310" s="40">
        <f>((M310*AB310)*C4)</f>
        <v>-0.034004159804055127</v>
      </c>
      <c r="AB310" s="40">
        <f>AE310/AE323</f>
        <v>0.00046762268729579076</v>
      </c>
      <c r="AC310" s="40">
        <f>AF310/AF323</f>
        <v>0.00046619171701392981</v>
      </c>
      <c r="AD310" s="3">
        <f>IF(ISNA(J310),(I310*Y310)/10,(J310*Y310)/10)</f>
        <v>16676419419</v>
      </c>
      <c r="AE310" s="3">
        <f>IF(ISNA(P310),(I310*Y310)/10,(P310*Y310)/10)</f>
        <v>16676419419</v>
      </c>
      <c r="AF310" s="3">
        <f>(I310*Y310)/10</f>
        <v>16781302560</v>
      </c>
      <c r="AG310">
        <f>IF(AND(P310&lt;=N310,L310&lt;0),IF(Q310&lt;10,"DBL10",IF(Q310&gt;=200,"DBM200",IF(Q310&gt;=150,"DBM150",IF(Q310&gt;=100,"DBM100",IF(Q310&gt;=50,"DBM50","DBM10-50"))))),0)</f>
        <v>0</v>
      </c>
      <c r="AH310" t="s">
        <f>IF(AND(P310&gt;=O310,L310&lt;0),IF(Q310&lt;10,"DAL10",IF(Q310&gt;=200,"DAM200",IF(Q310&gt;=150,"DAM150",IF(Q310&gt;=100,"DAM100",IF(Q310&gt;=50,"DAM50","DAM10-50"))))),0)</f>
        <v>23</v>
      </c>
      <c r="AI310">
        <f>IF(AND(P310&gt;=O310,L310&gt;0),IF(Q310&lt;10,"UAL10",IF(Q310&gt;=200,"UAM200",IF(Q310&gt;=150,"UAM150",IF(Q310&gt;=100,"UAM100",IF(Q310&gt;=50,"UAM50","UAM10-50"))))),0)</f>
        <v>0</v>
      </c>
      <c r="AJ310">
        <f>IF(AND(P310&lt;=N310,L310&gt;0),IF(Q310&lt;10,"UBL10",IF(Q310&gt;=200,"UBM200",IF(Q310&gt;=150,"UBM150",IF(Q310&gt;=100,"UBM100",IF(Q310&gt;=50,"UBM50","UBM10-50"))))),0)</f>
        <v>0</v>
      </c>
      <c r="AK310" t="s">
        <f>IF(Q310&lt;128,"down",IF(Q310=128,128,IF(Q310&gt;128,"up")))</f>
        <v>7</v>
      </c>
    </row>
    <row r="311" spans="1:37">
      <c r="A311">
        <f>IF(X311=9925,9925,"Error")</f>
        <v>9925</v>
      </c>
      <c r="B311" t="s">
        <f>IF(K311&lt;35.950000000000003,"down",IF(K311=35.950000000000003,"low",IF(K311=36.049999999999997,"high",IF(AND(K311&gt;35.950000000000003,K311&lt;36.049999999999997),"normal","up"))))</f>
        <v>82</v>
      </c>
      <c r="C311" t="s">
        <f>IF(K311&lt;35.950000000000003,"down",IF(K311=35.950000000000003,"low",IF(K311=36.049999999999997,"high",IF(AND(K311&gt;35.950000000000003,K311&lt;36.049999999999997),"normal","up"))))</f>
        <v>82</v>
      </c>
      <c r="D311" t="s">
        <f>IF(K311&lt;35.950000000000003,"down",IF(K311=35.950000000000003,"low",IF(K311=36.049999999999997,"high",IF(AND(K311&gt;35.950000000000003,K311&lt;36.049999999999997),"normal","up"))))</f>
        <v>82</v>
      </c>
      <c r="E311" t="s">
        <f>IF(K311&lt;35.5,"down",IF(K311=35.5,"low",IF(K311=37.75,"high",IF(AND(K311&gt;35.5,K311&lt;37.75),"normal","up"))))</f>
        <v>79</v>
      </c>
      <c r="F311" t="s">
        <f>IF(P311&lt;36,"PVP-down",IF(P311=36,36,IF(P311&gt;36,"PVP-up")))</f>
        <v>80</v>
      </c>
      <c r="G311" t="s">
        <f>IF(R311&lt;117,"PVV-down",IF(R311=117,117,IF(R311&gt;117,"PVV-up")))</f>
        <v>81</v>
      </c>
      <c r="H311" s="40">
        <f>R311/(Y311/10000)</f>
        <v>0.00044571518161297153</v>
      </c>
      <c r="I311">
        <v>35.950000000000003</v>
      </c>
      <c r="J311">
        <v>35.950000000000003</v>
      </c>
      <c r="K311">
        <v>35.950000000000003</v>
      </c>
      <c r="L311">
        <v>0</v>
      </c>
      <c r="M311">
        <v>0</v>
      </c>
      <c r="N311">
        <v>35.899999999999999</v>
      </c>
      <c r="O311">
        <v>35.950000000000003</v>
      </c>
      <c r="P311">
        <v>35.950000000000003</v>
      </c>
      <c r="Q311">
        <v>15</v>
      </c>
      <c r="R311">
        <v>171</v>
      </c>
      <c r="S311">
        <v>170</v>
      </c>
      <c r="T311">
        <f>((P311-K311)/K311)</f>
        <v>0</v>
      </c>
      <c r="U311">
        <f>((T311*AB311)*D4)</f>
        <v>0</v>
      </c>
      <c r="V311" s="3">
        <f>IF(P311&lt;=N311,(P311*Q311*1000),0)</f>
        <v>0</v>
      </c>
      <c r="W311" s="3">
        <f>IF(P311&gt;=O311,(P311*Q311*1000),0)</f>
        <v>539250</v>
      </c>
      <c r="X311">
        <v>9925</v>
      </c>
      <c r="Y311" s="3">
        <v>3836530750</v>
      </c>
      <c r="Z311" s="40">
        <f>((C4*AB311)/P311)/10</f>
        <v>0.012617584827547101</v>
      </c>
      <c r="AA311" s="40">
        <f>((M311*AB311)*C4)</f>
        <v>0</v>
      </c>
      <c r="AB311" s="40">
        <f>AE311/AE323</f>
        <v>0.00038675001767491399</v>
      </c>
      <c r="AC311" s="40">
        <f>AF311/AF323</f>
        <v>0.00038315673473565378</v>
      </c>
      <c r="AD311" s="3">
        <f>IF(ISNA(J311),(I311*Y311)/10,(J311*Y311)/10)</f>
        <v>13792328046.25</v>
      </c>
      <c r="AE311" s="3">
        <f>IF(ISNA(P311),(I311*Y311)/10,(P311*Y311)/10)</f>
        <v>13792328046.25</v>
      </c>
      <c r="AF311" s="3">
        <f>(I311*Y311)/10</f>
        <v>13792328046.25</v>
      </c>
      <c r="AG311">
        <f>IF(AND(P311&lt;=N311,L311&lt;0),IF(Q311&lt;10,"DBL10",IF(Q311&gt;=200,"DBM200",IF(Q311&gt;=150,"DBM150",IF(Q311&gt;=100,"DBM100",IF(Q311&gt;=50,"DBM50","DBM10-50"))))),0)</f>
        <v>0</v>
      </c>
      <c r="AH311">
        <f>IF(AND(P311&gt;=O311,L311&lt;0),IF(Q311&lt;10,"DAL10",IF(Q311&gt;=200,"DAM200",IF(Q311&gt;=150,"DAM150",IF(Q311&gt;=100,"DAM100",IF(Q311&gt;=50,"DAM50","DAM10-50"))))),0)</f>
        <v>0</v>
      </c>
      <c r="AI311">
        <f>IF(AND(P311&gt;=O311,L311&gt;0),IF(Q311&lt;10,"UAL10",IF(Q311&gt;=200,"UAM200",IF(Q311&gt;=150,"UAM150",IF(Q311&gt;=100,"UAM100",IF(Q311&gt;=50,"UAM50","UAM10-50"))))),0)</f>
        <v>0</v>
      </c>
      <c r="AJ311">
        <f>IF(AND(P311&lt;=N311,L311&gt;0),IF(Q311&lt;10,"UBL10",IF(Q311&gt;=200,"UBM200",IF(Q311&gt;=150,"UBM150",IF(Q311&gt;=100,"UBM100",IF(Q311&gt;=50,"UBM50","UBM10-50"))))),0)</f>
        <v>0</v>
      </c>
      <c r="AK311" t="s">
        <f>IF(Q311&lt;0,"down",IF(Q311=0,0,IF(Q311&gt;0,"up")))</f>
        <v>6</v>
      </c>
    </row>
    <row r="312" spans="1:37">
      <c r="A312">
        <f>IF(X312=1325,1325,"Error")</f>
        <v>1325</v>
      </c>
      <c r="B312" t="s">
        <f>IF(K312&lt;188.5,"down",IF(K312=188.5,"low",IF(K312=201.5,"high",IF(AND(K312&gt;188.5,K312&lt;201.5),"normal","up"))))</f>
        <v>7</v>
      </c>
      <c r="C312" t="s">
        <f>IF(K312&lt;188.5,"down",IF(K312=188.5,"low",IF(K312=201.5,"high",IF(AND(K312&gt;188.5,K312&lt;201.5),"normal","up"))))</f>
        <v>7</v>
      </c>
      <c r="D312" t="s">
        <f>IF(K312&lt;188.5,"down",IF(K312=188.5,"low",IF(K312=201.5,"high",IF(AND(K312&gt;188.5,K312&lt;201.5),"normal","up"))))</f>
        <v>7</v>
      </c>
      <c r="E312" t="s">
        <f>IF(K312&lt;178,"down",IF(K312=178,"low",IF(K312=210,"high",IF(AND(K312&gt;178,K312&lt;210),"normal","up"))))</f>
        <v>79</v>
      </c>
      <c r="F312" t="s">
        <f>IF(P312&lt;198,"PVP-down",IF(P312=198,198,IF(P312&gt;198,"PVP-up")))</f>
        <v>80</v>
      </c>
      <c r="G312" t="s">
        <f>IF(R312&lt;1443,"PVV-down",IF(R312=1443,1443,IF(R312&gt;1443,"PVV-up")))</f>
        <v>81</v>
      </c>
      <c r="H312" s="40">
        <f>R312/(Y312/10000)</f>
        <v>0.18992463028017031</v>
      </c>
      <c r="I312">
        <v>198</v>
      </c>
      <c r="J312">
        <v>178.5</v>
      </c>
      <c r="K312">
        <v>178.5</v>
      </c>
      <c r="L312">
        <v>-19.5</v>
      </c>
      <c r="M312">
        <v>-0.098500000000000004</v>
      </c>
      <c r="N312">
        <v>178.5</v>
      </c>
      <c r="O312">
        <v>178.5</v>
      </c>
      <c r="P312">
        <v>178.5</v>
      </c>
      <c r="Q312">
        <v>26</v>
      </c>
      <c r="R312">
        <v>16197</v>
      </c>
      <c r="S312">
        <v>13764</v>
      </c>
      <c r="T312">
        <f>((P312-K312)/K312)</f>
        <v>0</v>
      </c>
      <c r="U312">
        <f>((T312*AB312)*D4)</f>
        <v>0</v>
      </c>
      <c r="V312" s="3">
        <f>IF(P312&lt;=N312,(P312*Q312*1000),0)</f>
        <v>4641000</v>
      </c>
      <c r="W312" s="3">
        <f>IF(P312&gt;=O312,(P312*Q312*1000),0)</f>
        <v>4641000</v>
      </c>
      <c r="X312">
        <v>1325</v>
      </c>
      <c r="Y312" s="3">
        <v>852811980</v>
      </c>
      <c r="Z312" s="40">
        <f>((C4*AB312)/P312)/10</f>
        <v>0.0028047285948635766</v>
      </c>
      <c r="AA312" s="40">
        <f>((M312*AB312)*C4)</f>
        <v>-0.49313439337040116</v>
      </c>
      <c r="AB312" s="40">
        <f>AE312/AE323</f>
        <v>0.00042685883725342329</v>
      </c>
      <c r="AC312" s="40">
        <f>AF312/AF323</f>
        <v>0.0004690912889825004</v>
      </c>
      <c r="AD312" s="3">
        <f>IF(ISNA(J312),(I312*Y312)/10,(J312*Y312)/10)</f>
        <v>15222693843</v>
      </c>
      <c r="AE312" s="3">
        <f>IF(ISNA(P312),(I312*Y312)/10,(P312*Y312)/10)</f>
        <v>15222693843</v>
      </c>
      <c r="AF312" s="3">
        <f>(I312*Y312)/10</f>
        <v>16885677204</v>
      </c>
      <c r="AG312" t="s">
        <f>IF(AND(P312&lt;=N312,L312&lt;0),IF(Q312&lt;10,"DBL10",IF(Q312&gt;=200,"DBM200",IF(Q312&gt;=150,"DBM150",IF(Q312&gt;=100,"DBM100",IF(Q312&gt;=50,"DBM50","DBM10-50"))))),0)</f>
        <v>12</v>
      </c>
      <c r="AH312" t="s">
        <f>IF(AND(P312&gt;=O312,L312&lt;0),IF(Q312&lt;10,"DAL10",IF(Q312&gt;=200,"DAM200",IF(Q312&gt;=150,"DAM150",IF(Q312&gt;=100,"DAM100",IF(Q312&gt;=50,"DAM50","DAM10-50"))))),0)</f>
        <v>22</v>
      </c>
      <c r="AI312">
        <f>IF(AND(P312&gt;=O312,L312&gt;0),IF(Q312&lt;10,"UAL10",IF(Q312&gt;=200,"UAM200",IF(Q312&gt;=150,"UAM150",IF(Q312&gt;=100,"UAM100",IF(Q312&gt;=50,"UAM50","UAM10-50"))))),0)</f>
        <v>0</v>
      </c>
      <c r="AJ312">
        <f>IF(AND(P312&lt;=N312,L312&gt;0),IF(Q312&lt;10,"UBL10",IF(Q312&gt;=200,"UBM200",IF(Q312&gt;=150,"UBM150",IF(Q312&gt;=100,"UBM100",IF(Q312&gt;=50,"UBM50","UBM10-50"))))),0)</f>
        <v>0</v>
      </c>
      <c r="AK312" t="s">
        <f>IF(Q312&lt;730,"down",IF(Q312=730,730,IF(Q312&gt;730,"up")))</f>
        <v>7</v>
      </c>
    </row>
    <row r="313" spans="1:37">
      <c r="A313">
        <f>IF(X313=9907,9907,"Error")</f>
        <v>9907</v>
      </c>
      <c r="B313" t="s">
        <f>IF(K313&lt;8.9900000000000002,"down",IF(K313=8.9900000000000002,"low",IF(K313=9.0800000000000001,"high",IF(AND(K313&gt;8.9900000000000002,K313&lt;9.0800000000000001),"normal","up"))))</f>
        <v>6</v>
      </c>
      <c r="C313" t="s">
        <f>IF(K313&lt;8.9900000000000002,"down",IF(K313=8.9900000000000002,"low",IF(K313=9.0800000000000001,"high",IF(AND(K313&gt;8.9900000000000002,K313&lt;9.0800000000000001),"normal","up"))))</f>
        <v>6</v>
      </c>
      <c r="D313" t="s">
        <f>IF(K313&lt;8.9900000000000002,"down",IF(K313=8.9900000000000002,"low",IF(K313=9.0800000000000001,"high",IF(AND(K313&gt;8.9900000000000002,K313&lt;9.0800000000000001),"normal","up"))))</f>
        <v>6</v>
      </c>
      <c r="E313" t="s">
        <f>IF(K313&lt;8.9499999999999993,"down",IF(K313=8.9499999999999993,"low",IF(K313=9.1500000000000004,"high",IF(AND(K313&gt;8.9499999999999993,K313&lt;9.1500000000000004),"normal","up"))))</f>
        <v>6</v>
      </c>
      <c r="F313" t="s">
        <f>IF(P313&lt;9.0500000000000007,"PVP-down",IF(P313=9.0500000000000007,9.0500000000000007,IF(P313&gt;9.0500000000000007,"PVP-up")))</f>
        <v>83</v>
      </c>
      <c r="G313" t="s">
        <f>IF(R313&lt;260,"PVV-down",IF(R313=260,260,IF(R313&gt;260,"PVV-up")))</f>
        <v>81</v>
      </c>
      <c r="H313" s="40">
        <f>R313/(Y313/10000)</f>
        <v>0.0022930124946029195</v>
      </c>
      <c r="I313">
        <v>9.0700000000000003</v>
      </c>
      <c r="J313">
        <v>9.1999999999999993</v>
      </c>
      <c r="K313">
        <v>9.1799999999999997</v>
      </c>
      <c r="L313">
        <v>0.13</v>
      </c>
      <c r="M313">
        <v>0.0143</v>
      </c>
      <c r="N313">
        <v>9.1899999999999995</v>
      </c>
      <c r="O313">
        <v>9.1999999999999993</v>
      </c>
      <c r="P313">
        <v>9.1999999999999993</v>
      </c>
      <c r="Q313">
        <v>73</v>
      </c>
      <c r="R313">
        <v>3621</v>
      </c>
      <c r="S313">
        <v>1129</v>
      </c>
      <c r="T313">
        <f>((P313-K313)/K313)</f>
        <v>0.0021786492374727207</v>
      </c>
      <c r="U313">
        <f>((T313*AB313)*D4)</f>
        <v>0.011342984010901488</v>
      </c>
      <c r="V313" s="3">
        <f>IF(P313&lt;=N313,(P313*Q313*1000),0)</f>
        <v>0</v>
      </c>
      <c r="W313" s="3">
        <f>IF(P313&gt;=O313,(P313*Q313*1000),0)</f>
        <v>671599.99999999988</v>
      </c>
      <c r="X313">
        <v>9907</v>
      </c>
      <c r="Y313" s="3">
        <v>15791453420</v>
      </c>
      <c r="Z313" s="40">
        <f>((C4*AB313)/P313)/10</f>
        <v>0.051934942285320876</v>
      </c>
      <c r="AA313" s="40">
        <f>((M313*AB313)*C4)</f>
        <v>0.068325610070568144</v>
      </c>
      <c r="AB313" s="40">
        <f>AE313/AE323</f>
        <v>0.00040738280581148587</v>
      </c>
      <c r="AC313" s="40">
        <f>AF313/AF323</f>
        <v>0.00039789481151586312</v>
      </c>
      <c r="AD313" s="3">
        <f>IF(ISNA(J313),(I313*Y313)/10,(J313*Y313)/10)</f>
        <v>14528137146.4</v>
      </c>
      <c r="AE313" s="3">
        <f>IF(ISNA(P313),(I313*Y313)/10,(P313*Y313)/10)</f>
        <v>14528137146.4</v>
      </c>
      <c r="AF313" s="3">
        <f>(I313*Y313)/10</f>
        <v>14322848251.939999</v>
      </c>
      <c r="AG313">
        <f>IF(AND(P313&lt;=N313,L313&lt;0),IF(Q313&lt;10,"DBL10",IF(Q313&gt;=200,"DBM200",IF(Q313&gt;=150,"DBM150",IF(Q313&gt;=100,"DBM100",IF(Q313&gt;=50,"DBM50","DBM10-50"))))),0)</f>
        <v>0</v>
      </c>
      <c r="AH313">
        <f>IF(AND(P313&gt;=O313,L313&lt;0),IF(Q313&lt;10,"DAL10",IF(Q313&gt;=200,"DAM200",IF(Q313&gt;=150,"DAM150",IF(Q313&gt;=100,"DAM100",IF(Q313&gt;=50,"DAM50","DAM10-50"))))),0)</f>
        <v>0</v>
      </c>
      <c r="AI313" t="s">
        <f>IF(AND(P313&gt;=O313,L313&gt;0),IF(Q313&lt;10,"UAL10",IF(Q313&gt;=200,"UAM200",IF(Q313&gt;=150,"UAM150",IF(Q313&gt;=100,"UAM100",IF(Q313&gt;=50,"UAM50","UAM10-50"))))),0)</f>
        <v>28</v>
      </c>
      <c r="AJ313">
        <f>IF(AND(P313&lt;=N313,L313&gt;0),IF(Q313&lt;10,"UBL10",IF(Q313&gt;=200,"UBM200",IF(Q313&gt;=150,"UBM150",IF(Q313&gt;=100,"UBM100",IF(Q313&gt;=50,"UBM50","UBM10-50"))))),0)</f>
        <v>0</v>
      </c>
      <c r="AK313" t="s">
        <f>IF(Q313&lt;20,"down",IF(Q313=20,20,IF(Q313&gt;20,"up")))</f>
        <v>6</v>
      </c>
    </row>
    <row r="314" spans="1:37">
      <c r="A314">
        <f>IF(X314=2607,2607,"Error")</f>
        <v>2607</v>
      </c>
      <c r="B314" t="s">
        <f>IF(K314&lt;13.300000000000001,"down",IF(K314=13.300000000000001,"low",IF(K314=13.5,"high",IF(AND(K314&gt;13.300000000000001,K314&lt;13.5),"normal","up"))))</f>
        <v>84</v>
      </c>
      <c r="C314" t="s">
        <f>IF(K314&lt;13.300000000000001,"down",IF(K314=13.300000000000001,"low",IF(K314=13.5,"high",IF(AND(K314&gt;13.300000000000001,K314&lt;13.5),"normal","up"))))</f>
        <v>84</v>
      </c>
      <c r="D314" t="s">
        <f>IF(K314&lt;13.300000000000001,"down",IF(K314=13.300000000000001,"low",IF(K314=13.5,"high",IF(AND(K314&gt;13.300000000000001,K314&lt;13.5),"normal","up"))))</f>
        <v>84</v>
      </c>
      <c r="E314" t="s">
        <f>IF(K314&lt;13.1,"down",IF(K314=13.1,"low",IF(K314=13.5,"high",IF(AND(K314&gt;13.1,K314&lt;13.5),"normal","up"))))</f>
        <v>84</v>
      </c>
      <c r="F314" t="s">
        <f>IF(P314&lt;13.4,"PVP-down",IF(P314=13.4,13.4,IF(P314&gt;13.4,"PVP-up")))</f>
        <v>83</v>
      </c>
      <c r="G314" t="s">
        <f>IF(R314&lt;822,"PVV-down",IF(R314=822,822,IF(R314&gt;822,"PVV-up")))</f>
        <v>81</v>
      </c>
      <c r="H314" s="40">
        <f>R314/(Y314/10000)</f>
        <v>0.00095020237314560765</v>
      </c>
      <c r="I314">
        <v>13.449999999999999</v>
      </c>
      <c r="J314">
        <v>13.449999999999999</v>
      </c>
      <c r="K314">
        <v>13.5</v>
      </c>
      <c r="L314">
        <v>0</v>
      </c>
      <c r="M314">
        <v>0</v>
      </c>
      <c r="N314">
        <v>13.4</v>
      </c>
      <c r="O314">
        <v>13.5</v>
      </c>
      <c r="P314">
        <v>13.449999999999999</v>
      </c>
      <c r="Q314">
        <v>20</v>
      </c>
      <c r="R314">
        <v>1014</v>
      </c>
      <c r="S314">
        <v>1710</v>
      </c>
      <c r="T314">
        <f>((P314-K314)/K314)</f>
        <v>-0.0037037037037037563</v>
      </c>
      <c r="U314">
        <f>((T314*AB314)*D4)</f>
        <v>-0.01905067810509423</v>
      </c>
      <c r="V314" s="3">
        <f>IF(P314&lt;=N314,(P314*Q314*1000),0)</f>
        <v>0</v>
      </c>
      <c r="W314" s="3">
        <f>IF(P314&gt;=O314,(P314*Q314*1000),0)</f>
        <v>0</v>
      </c>
      <c r="X314">
        <v>2607</v>
      </c>
      <c r="Y314" s="3">
        <v>10671410940</v>
      </c>
      <c r="Z314" s="40">
        <f>((C4*AB314)/P314)/10</f>
        <v>0.035096143244795888</v>
      </c>
      <c r="AA314" s="40">
        <f>((M314*AB314)*C4)</f>
        <v>0</v>
      </c>
      <c r="AB314" s="40">
        <f>AE314/AE323</f>
        <v>0.00040247313133649564</v>
      </c>
      <c r="AC314" s="40">
        <f>AF314/AF323</f>
        <v>0.00039873376541471389</v>
      </c>
      <c r="AD314" s="3">
        <f>IF(ISNA(J314),(I314*Y314)/10,(J314*Y314)/10)</f>
        <v>14353047714.299999</v>
      </c>
      <c r="AE314" s="3">
        <f>IF(ISNA(P314),(I314*Y314)/10,(P314*Y314)/10)</f>
        <v>14353047714.299999</v>
      </c>
      <c r="AF314" s="3">
        <f>(I314*Y314)/10</f>
        <v>14353047714.299999</v>
      </c>
      <c r="AG314">
        <f>IF(AND(P314&lt;=N314,L314&lt;0),IF(Q314&lt;10,"DBL10",IF(Q314&gt;=200,"DBM200",IF(Q314&gt;=150,"DBM150",IF(Q314&gt;=100,"DBM100",IF(Q314&gt;=50,"DBM50","DBM10-50"))))),0)</f>
        <v>0</v>
      </c>
      <c r="AH314">
        <f>IF(AND(P314&gt;=O314,L314&lt;0),IF(Q314&lt;10,"DAL10",IF(Q314&gt;=200,"DAM200",IF(Q314&gt;=150,"DAM150",IF(Q314&gt;=100,"DAM100",IF(Q314&gt;=50,"DAM50","DAM10-50"))))),0)</f>
        <v>0</v>
      </c>
      <c r="AI314">
        <f>IF(AND(P314&gt;=O314,L314&gt;0),IF(Q314&lt;10,"UAL10",IF(Q314&gt;=200,"UAM200",IF(Q314&gt;=150,"UAM150",IF(Q314&gt;=100,"UAM100",IF(Q314&gt;=50,"UAM50","UAM10-50"))))),0)</f>
        <v>0</v>
      </c>
      <c r="AJ314">
        <f>IF(AND(P314&lt;=N314,L314&gt;0),IF(Q314&lt;10,"UBL10",IF(Q314&gt;=200,"UBM200",IF(Q314&gt;=150,"UBM150",IF(Q314&gt;=100,"UBM100",IF(Q314&gt;=50,"UBM50","UBM10-50"))))),0)</f>
        <v>0</v>
      </c>
      <c r="AK314" t="s">
        <f>IF(Q314&lt;3,"down",IF(Q314=3,3,IF(Q314&gt;3,"up")))</f>
        <v>6</v>
      </c>
    </row>
    <row r="315" spans="1:37">
      <c r="A315">
        <f>IF(X315=9937,9937,"Error")</f>
        <v>9937</v>
      </c>
      <c r="B315" t="s">
        <f>IF(K315&lt;44.600000000000001,"down",IF(K315=44.600000000000001,"low",IF(K315=45.149999999999999,"high",IF(AND(K315&gt;44.600000000000001,K315&lt;45.149999999999999),"normal","up"))))</f>
        <v>6</v>
      </c>
      <c r="C315" t="s">
        <f>IF(K315&lt;44.600000000000001,"down",IF(K315=44.600000000000001,"low",IF(K315=45.149999999999999,"high",IF(AND(K315&gt;44.600000000000001,K315&lt;45.149999999999999),"normal","up"))))</f>
        <v>6</v>
      </c>
      <c r="D315" t="s">
        <f>IF(K315&lt;44.600000000000001,"down",IF(K315=44.600000000000001,"low",IF(K315=45.149999999999999,"high",IF(AND(K315&gt;44.600000000000001,K315&lt;45.149999999999999),"normal","up"))))</f>
        <v>6</v>
      </c>
      <c r="E315" t="s">
        <f>IF(K315&lt;44.100000000000001,"down",IF(K315=44.100000000000001,"low",IF(K315=45.549999999999997,"high",IF(AND(K315&gt;44.100000000000001,K315&lt;45.549999999999997),"normal","up"))))</f>
        <v>79</v>
      </c>
      <c r="F315" t="s">
        <f>IF(P315&lt;44.700000000000003,"PVP-down",IF(P315=44.700000000000003,44.700000000000003,IF(P315&gt;44.700000000000003,"PVP-up")))</f>
        <v>83</v>
      </c>
      <c r="G315" t="s">
        <f>IF(R315&lt;15,"PVV-down",IF(R315=15,15,IF(R315&gt;15,"PVV-up")))</f>
        <v>87</v>
      </c>
      <c r="H315" s="40">
        <f>R315/(Y315/10000)</f>
        <v>3.235795665975285e-06</v>
      </c>
      <c r="I315">
        <v>45.049999999999997</v>
      </c>
      <c r="J315" t="e">
        <v>#"#\"#N/A\""</v>
      </c>
      <c r="K315">
        <v>45.25</v>
      </c>
      <c r="L315">
        <v>0.20000000000000001</v>
      </c>
      <c r="M315">
        <v>0.0044000000000000003</v>
      </c>
      <c r="N315">
        <v>44.700000000000003</v>
      </c>
      <c r="O315">
        <v>45.100000000000001</v>
      </c>
      <c r="P315">
        <v>45.25</v>
      </c>
      <c r="Q315">
        <v>1</v>
      </c>
      <c r="R315">
        <v>1</v>
      </c>
      <c r="S315">
        <v>39</v>
      </c>
      <c r="T315">
        <f>((P315-K315)/K315)</f>
        <v>0</v>
      </c>
      <c r="U315">
        <f>((T315*AB315)*D4)</f>
        <v>0</v>
      </c>
      <c r="V315" s="3">
        <f>IF(P315&lt;=N315,(P315*Q315*1000),0)</f>
        <v>0</v>
      </c>
      <c r="W315" s="3">
        <f>IF(P315&gt;=O315,(P315*Q315*1000),0)</f>
        <v>45250</v>
      </c>
      <c r="X315">
        <v>9937</v>
      </c>
      <c r="Y315" s="3">
        <v>3090430000</v>
      </c>
      <c r="Z315" s="40">
        <f>((C4*AB315)/P315)/10</f>
        <v>0.01016380819535889</v>
      </c>
      <c r="AA315" s="40">
        <f>((M315*AB315)*C4)</f>
        <v>0.020236142116959552</v>
      </c>
      <c r="AB315" s="40">
        <f>AE315/AE323</f>
        <v>0.00039213017087078673</v>
      </c>
      <c r="AC315" s="40">
        <f>AF315/AF323</f>
        <v>0.00038676983191173527</v>
      </c>
      <c r="AD315" s="3">
        <f>IF(ISNA(J315),(I315*Y315)/10,(J315*Y315)/10)</f>
        <v>13922387150</v>
      </c>
      <c r="AE315" s="3">
        <f>IF(ISNA(P315),(I315*Y315)/10,(P315*Y315)/10)</f>
        <v>13984195750</v>
      </c>
      <c r="AF315" s="3">
        <f>(I315*Y315)/10</f>
        <v>13922387150</v>
      </c>
      <c r="AG315">
        <f>IF(AND(P315&lt;=N315,L315&lt;0),IF(Q315&lt;10,"DBL10",IF(Q315&gt;=200,"DBM200",IF(Q315&gt;=150,"DBM150",IF(Q315&gt;=100,"DBM100",IF(Q315&gt;=50,"DBM50","DBM10-50"))))),0)</f>
        <v>0</v>
      </c>
      <c r="AH315">
        <f>IF(AND(P315&gt;=O315,L315&lt;0),IF(Q315&lt;10,"DAL10",IF(Q315&gt;=200,"DAM200",IF(Q315&gt;=150,"DAM150",IF(Q315&gt;=100,"DAM100",IF(Q315&gt;=50,"DAM50","DAM10-50"))))),0)</f>
        <v>0</v>
      </c>
      <c r="AI315" t="s">
        <f>IF(AND(P315&gt;=O315,L315&gt;0),IF(Q315&lt;10,"UAL10",IF(Q315&gt;=200,"UAM200",IF(Q315&gt;=150,"UAM150",IF(Q315&gt;=100,"UAM100",IF(Q315&gt;=50,"UAM50","UAM10-50"))))),0)</f>
        <v>89</v>
      </c>
      <c r="AJ315">
        <f>IF(AND(P315&lt;=N315,L315&gt;0),IF(Q315&lt;10,"UBL10",IF(Q315&gt;=200,"UBM200",IF(Q315&gt;=150,"UBM150",IF(Q315&gt;=100,"UBM100",IF(Q315&gt;=50,"UBM50","UBM10-50"))))),0)</f>
        <v>0</v>
      </c>
      <c r="AK315">
        <f>IF(Q315&lt;1,"down",IF(Q315=1,1,IF(Q315&gt;1,"up")))</f>
        <v>1</v>
      </c>
    </row>
    <row r="316" spans="1:37">
      <c r="A316">
        <f>IF(X316=1710,1710,"Error")</f>
        <v>1710</v>
      </c>
      <c r="B316" t="s">
        <f>IF(K316&lt;15.800000000000001,"down",IF(K316=15.800000000000001,"low",IF(K316=16.149999999999999,"high",IF(AND(K316&gt;15.800000000000001,K316&lt;16.149999999999999),"normal","up"))))</f>
        <v>84</v>
      </c>
      <c r="C316" t="s">
        <f>IF(K316&lt;15.800000000000001,"down",IF(K316=15.800000000000001,"low",IF(K316=16.149999999999999,"high",IF(AND(K316&gt;15.800000000000001,K316&lt;16.149999999999999),"normal","up"))))</f>
        <v>84</v>
      </c>
      <c r="D316" t="s">
        <f>IF(K316&lt;15.800000000000001,"down",IF(K316=15.800000000000001,"low",IF(K316=16.149999999999999,"high",IF(AND(K316&gt;15.800000000000001,K316&lt;16.149999999999999),"normal","up"))))</f>
        <v>84</v>
      </c>
      <c r="E316" t="s">
        <f>IF(K316&lt;15.199999999999999,"down",IF(K316=15.199999999999999,"low",IF(K316=16.149999999999999,"high",IF(AND(K316&gt;15.199999999999999,K316&lt;16.149999999999999),"normal","up"))))</f>
        <v>84</v>
      </c>
      <c r="F316" t="s">
        <f>IF(P316&lt;16.050000000000001,"PVP-down",IF(P316=16.050000000000001,16.050000000000001,IF(P316&gt;16.050000000000001,"PVP-up")))</f>
        <v>83</v>
      </c>
      <c r="G316" t="s">
        <f>IF(R316&lt;420,"PVV-down",IF(R316=420,420,IF(R316&gt;420,"PVV-up")))</f>
        <v>81</v>
      </c>
      <c r="H316" s="40">
        <f>R316/(Y316/10000)</f>
        <v>0.00093936677730386317</v>
      </c>
      <c r="I316">
        <v>16.149999999999999</v>
      </c>
      <c r="J316">
        <v>16.100000000000001</v>
      </c>
      <c r="K316">
        <v>16.149999999999999</v>
      </c>
      <c r="L316">
        <v>-0.050000000000000003</v>
      </c>
      <c r="M316">
        <v>-0.0030999999999999999</v>
      </c>
      <c r="N316">
        <v>16.100000000000001</v>
      </c>
      <c r="O316">
        <v>16.199999999999999</v>
      </c>
      <c r="P316">
        <v>16.100000000000001</v>
      </c>
      <c r="Q316">
        <v>12</v>
      </c>
      <c r="R316">
        <v>832</v>
      </c>
      <c r="S316">
        <v>1348</v>
      </c>
      <c r="T316">
        <f>((P316-K316)/K316)</f>
        <v>-0.0030959752321979665</v>
      </c>
      <c r="U316">
        <f>((T316*AB316)*D4)</f>
        <v>-0.015821277868255049</v>
      </c>
      <c r="V316" s="3">
        <f>IF(P316&lt;=N316,(P316*Q316*1000),0)</f>
        <v>193200.00000000003</v>
      </c>
      <c r="W316" s="3">
        <f>IF(P316&gt;=O316,(P316*Q316*1000),0)</f>
        <v>0</v>
      </c>
      <c r="X316">
        <v>1710</v>
      </c>
      <c r="Y316" s="3">
        <v>8857030290</v>
      </c>
      <c r="Z316" s="40">
        <f>((C4*AB316)/P316)/10</f>
        <v>0.029129006982214101</v>
      </c>
      <c r="AA316" s="40">
        <f>((M316*AB316)*C4)</f>
        <v>-0.014538287384823059</v>
      </c>
      <c r="AB316" s="40">
        <f>AE316/AE323</f>
        <v>0.00039985890283686485</v>
      </c>
      <c r="AC316" s="40">
        <f>AF316/AF323</f>
        <v>0.00039737408596256598</v>
      </c>
      <c r="AD316" s="3">
        <f>IF(ISNA(J316),(I316*Y316)/10,(J316*Y316)/10)</f>
        <v>14259818766.9</v>
      </c>
      <c r="AE316" s="3">
        <f>IF(ISNA(P316),(I316*Y316)/10,(P316*Y316)/10)</f>
        <v>14259818766.9</v>
      </c>
      <c r="AF316" s="3">
        <f>(I316*Y316)/10</f>
        <v>14304103918.35</v>
      </c>
      <c r="AG316" t="s">
        <f>IF(AND(P316&lt;=N316,L316&lt;0),IF(Q316&lt;10,"DBL10",IF(Q316&gt;=200,"DBM200",IF(Q316&gt;=150,"DBM150",IF(Q316&gt;=100,"DBM100",IF(Q316&gt;=50,"DBM50","DBM10-50"))))),0)</f>
        <v>12</v>
      </c>
      <c r="AH316">
        <f>IF(AND(P316&gt;=O316,L316&lt;0),IF(Q316&lt;10,"DAL10",IF(Q316&gt;=200,"DAM200",IF(Q316&gt;=150,"DAM150",IF(Q316&gt;=100,"DAM100",IF(Q316&gt;=50,"DAM50","DAM10-50"))))),0)</f>
        <v>0</v>
      </c>
      <c r="AI316">
        <f>IF(AND(P316&gt;=O316,L316&gt;0),IF(Q316&lt;10,"UAL10",IF(Q316&gt;=200,"UAM200",IF(Q316&gt;=150,"UAM150",IF(Q316&gt;=100,"UAM100",IF(Q316&gt;=50,"UAM50","UAM10-50"))))),0)</f>
        <v>0</v>
      </c>
      <c r="AJ316">
        <f>IF(AND(P316&lt;=N316,L316&gt;0),IF(Q316&lt;10,"UBL10",IF(Q316&gt;=200,"UBM200",IF(Q316&gt;=150,"UBM150",IF(Q316&gt;=100,"UBM100",IF(Q316&gt;=50,"UBM50","UBM10-50"))))),0)</f>
        <v>0</v>
      </c>
      <c r="AK316" t="s">
        <f>IF(Q316&lt;8,"down",IF(Q316=8,8,IF(Q316&gt;8,"up")))</f>
        <v>6</v>
      </c>
    </row>
    <row r="317" spans="1:37">
      <c r="A317">
        <f>IF(X317=1304,1304,"Error")</f>
        <v>1304</v>
      </c>
      <c r="B317" t="s">
        <f>IF(K317&lt;12,"down",IF(K317=12,"low",IF(K317=12.25,"high",IF(AND(K317&gt;12,K317&lt;12.25),"normal","up"))))</f>
        <v>79</v>
      </c>
      <c r="C317" t="s">
        <f>IF(K317&lt;12,"down",IF(K317=12,"low",IF(K317=12.25,"high",IF(AND(K317&gt;12,K317&lt;12.25),"normal","up"))))</f>
        <v>79</v>
      </c>
      <c r="D317" t="s">
        <f>IF(K317&lt;12,"down",IF(K317=12,"low",IF(K317=12.25,"high",IF(AND(K317&gt;12,K317&lt;12.25),"normal","up"))))</f>
        <v>79</v>
      </c>
      <c r="E317" t="s">
        <f>IF(K317&lt;11.35,"down",IF(K317=11.35,"low",IF(K317=12.25,"high",IF(AND(K317&gt;11.35,K317&lt;12.25),"normal","up"))))</f>
        <v>79</v>
      </c>
      <c r="F317">
        <f>IF(P317&lt;12.199999999999999,"PVP-down",IF(P317=12.199999999999999,12.199999999999999,IF(P317&gt;12.199999999999999,"PVP-up")))</f>
        <v>12.199999999999999</v>
      </c>
      <c r="G317" t="s">
        <f>IF(R317&lt;571,"PVV-down",IF(R317=571,571,IF(R317&gt;571,"PVV-up")))</f>
        <v>81</v>
      </c>
      <c r="H317" s="40">
        <f>R317/(Y317/10000)</f>
        <v>0.0011978833468557876</v>
      </c>
      <c r="I317">
        <v>12.199999999999999</v>
      </c>
      <c r="J317">
        <v>12.199999999999999</v>
      </c>
      <c r="K317">
        <v>12.199999999999999</v>
      </c>
      <c r="L317">
        <v>0</v>
      </c>
      <c r="M317">
        <v>0</v>
      </c>
      <c r="N317">
        <v>12.15</v>
      </c>
      <c r="O317">
        <v>12.199999999999999</v>
      </c>
      <c r="P317">
        <v>12.199999999999999</v>
      </c>
      <c r="Q317">
        <v>27</v>
      </c>
      <c r="R317">
        <v>1424</v>
      </c>
      <c r="S317">
        <v>1813</v>
      </c>
      <c r="T317">
        <f>((P317-K317)/K317)</f>
        <v>0</v>
      </c>
      <c r="U317">
        <f>((T317*AB317)*D4)</f>
        <v>0</v>
      </c>
      <c r="V317" s="3">
        <f>IF(P317&lt;=N317,(P317*Q317*1000),0)</f>
        <v>0</v>
      </c>
      <c r="W317" s="3">
        <f>IF(P317&gt;=O317,(P317*Q317*1000),0)</f>
        <v>329400</v>
      </c>
      <c r="X317">
        <v>1304</v>
      </c>
      <c r="Y317" s="3">
        <v>11887635000</v>
      </c>
      <c r="Z317" s="40">
        <f>((C4*AB317)/P317)/10</f>
        <v>0.039096061724884633</v>
      </c>
      <c r="AA317" s="40">
        <f>((M317*AB317)*C4)</f>
        <v>0</v>
      </c>
      <c r="AB317" s="40">
        <f>AE317/AE323</f>
        <v>0.00040667554438627229</v>
      </c>
      <c r="AC317" s="40">
        <f>AF317/AF323</f>
        <v>0.00040289713396953158</v>
      </c>
      <c r="AD317" s="3">
        <f>IF(ISNA(J317),(I317*Y317)/10,(J317*Y317)/10)</f>
        <v>14502914700</v>
      </c>
      <c r="AE317" s="3">
        <f>IF(ISNA(P317),(I317*Y317)/10,(P317*Y317)/10)</f>
        <v>14502914700</v>
      </c>
      <c r="AF317" s="3">
        <f>(I317*Y317)/10</f>
        <v>14502914700</v>
      </c>
      <c r="AG317">
        <f>IF(AND(P317&lt;=N317,L317&lt;0),IF(Q317&lt;10,"DBL10",IF(Q317&gt;=200,"DBM200",IF(Q317&gt;=150,"DBM150",IF(Q317&gt;=100,"DBM100",IF(Q317&gt;=50,"DBM50","DBM10-50"))))),0)</f>
        <v>0</v>
      </c>
      <c r="AH317">
        <f>IF(AND(P317&gt;=O317,L317&lt;0),IF(Q317&lt;10,"DAL10",IF(Q317&gt;=200,"DAM200",IF(Q317&gt;=150,"DAM150",IF(Q317&gt;=100,"DAM100",IF(Q317&gt;=50,"DAM50","DAM10-50"))))),0)</f>
        <v>0</v>
      </c>
      <c r="AI317">
        <f>IF(AND(P317&gt;=O317,L317&gt;0),IF(Q317&lt;10,"UAL10",IF(Q317&gt;=200,"UAM200",IF(Q317&gt;=150,"UAM150",IF(Q317&gt;=100,"UAM100",IF(Q317&gt;=50,"UAM50","UAM10-50"))))),0)</f>
        <v>0</v>
      </c>
      <c r="AJ317">
        <f>IF(AND(P317&lt;=N317,L317&gt;0),IF(Q317&lt;10,"UBL10",IF(Q317&gt;=200,"UBM200",IF(Q317&gt;=150,"UBM150",IF(Q317&gt;=100,"UBM100",IF(Q317&gt;=50,"UBM50","UBM10-50"))))),0)</f>
        <v>0</v>
      </c>
      <c r="AK317" t="s">
        <f>IF(Q317&lt;20,"down",IF(Q317=20,20,IF(Q317&gt;20,"up")))</f>
        <v>6</v>
      </c>
    </row>
    <row r="318" spans="1:37">
      <c r="A318">
        <f>IF(X318=2524,2524,"Error")</f>
        <v>2524</v>
      </c>
      <c r="B318" t="s">
        <f>IF(K318&lt;36.75,"down",IF(K318=36.75,"low",IF(K318=38.299999999999997,"high",IF(AND(K318&gt;36.75,K318&lt;38.299999999999997),"normal","up"))))</f>
        <v>79</v>
      </c>
      <c r="C318" t="s">
        <f>IF(K318&lt;36.75,"down",IF(K318=36.75,"low",IF(K318=38.299999999999997,"high",IF(AND(K318&gt;36.75,K318&lt;38.299999999999997),"normal","up"))))</f>
        <v>79</v>
      </c>
      <c r="D318" t="s">
        <f>IF(K318&lt;36.75,"down",IF(K318=36.75,"low",IF(K318=38.299999999999997,"high",IF(AND(K318&gt;36.75,K318&lt;38.299999999999997),"normal","up"))))</f>
        <v>79</v>
      </c>
      <c r="E318" t="s">
        <f>IF(K318&lt;35.299999999999997,"down",IF(K318=35.299999999999997,"low",IF(K318=38.299999999999997,"high",IF(AND(K318&gt;35.299999999999997,K318&lt;38.299999999999997),"normal","up"))))</f>
        <v>79</v>
      </c>
      <c r="F318" t="s">
        <f>IF(P318&lt;37.100000000000001,"PVP-down",IF(P318=37.100000000000001,37.100000000000001,IF(P318&gt;37.100000000000001,"PVP-up")))</f>
        <v>83</v>
      </c>
      <c r="G318" t="s">
        <f>IF(R318&lt;174,"PVV-down",IF(R318=174,174,IF(R318&gt;174,"PVV-up")))</f>
        <v>81</v>
      </c>
      <c r="H318" s="40">
        <f>R318/(Y318/10000)</f>
        <v>0.00047219344569246626</v>
      </c>
      <c r="I318">
        <v>38.100000000000001</v>
      </c>
      <c r="J318">
        <v>37.450000000000003</v>
      </c>
      <c r="K318">
        <v>38.100000000000001</v>
      </c>
      <c r="L318">
        <v>-0.65000000000000002</v>
      </c>
      <c r="M318">
        <v>-0.017100000000000001</v>
      </c>
      <c r="N318">
        <v>37.450000000000003</v>
      </c>
      <c r="O318">
        <v>37.5</v>
      </c>
      <c r="P318">
        <v>37.450000000000003</v>
      </c>
      <c r="Q318">
        <v>56</v>
      </c>
      <c r="R318">
        <v>177</v>
      </c>
      <c r="S318">
        <v>1316</v>
      </c>
      <c r="T318">
        <f>((P318-K318)/K318)</f>
        <v>-0.017060367454068203</v>
      </c>
      <c r="U318">
        <f>((T318*AB318)*D4)</f>
        <v>-0.085826932187512583</v>
      </c>
      <c r="V318" s="3">
        <f>IF(P318&lt;=N318,(P318*Q318*1000),0)</f>
        <v>2097200.0000000005</v>
      </c>
      <c r="W318" s="3">
        <f>IF(P318&gt;=O318,(P318*Q318*1000),0)</f>
        <v>0</v>
      </c>
      <c r="X318">
        <v>2524</v>
      </c>
      <c r="Y318" s="3">
        <v>3748463720</v>
      </c>
      <c r="Z318" s="40">
        <f>((C4*AB318)/P318)/10</f>
        <v>0.012327949921966027</v>
      </c>
      <c r="AA318" s="40">
        <f>((M318*AB318)*C4)</f>
        <v>-0.078947574902774348</v>
      </c>
      <c r="AB318" s="40">
        <f>AE318/AE323</f>
        <v>0.00039363879883863974</v>
      </c>
      <c r="AC318" s="40">
        <f>AF318/AF323</f>
        <v>0.00039675021692622164</v>
      </c>
      <c r="AD318" s="3">
        <f>IF(ISNA(J318),(I318*Y318)/10,(J318*Y318)/10)</f>
        <v>14037996631.4</v>
      </c>
      <c r="AE318" s="3">
        <f>IF(ISNA(P318),(I318*Y318)/10,(P318*Y318)/10)</f>
        <v>14037996631.4</v>
      </c>
      <c r="AF318" s="3">
        <f>(I318*Y318)/10</f>
        <v>14281646773.200001</v>
      </c>
      <c r="AG318" t="s">
        <f>IF(AND(P318&lt;=N318,L318&lt;0),IF(Q318&lt;10,"DBL10",IF(Q318&gt;=200,"DBM200",IF(Q318&gt;=150,"DBM150",IF(Q318&gt;=100,"DBM100",IF(Q318&gt;=50,"DBM50","DBM10-50"))))),0)</f>
        <v>13</v>
      </c>
      <c r="AH318">
        <f>IF(AND(P318&gt;=O318,L318&lt;0),IF(Q318&lt;10,"DAL10",IF(Q318&gt;=200,"DAM200",IF(Q318&gt;=150,"DAM150",IF(Q318&gt;=100,"DAM100",IF(Q318&gt;=50,"DAM50","DAM10-50"))))),0)</f>
        <v>0</v>
      </c>
      <c r="AI318">
        <f>IF(AND(P318&gt;=O318,L318&gt;0),IF(Q318&lt;10,"UAL10",IF(Q318&gt;=200,"UAM200",IF(Q318&gt;=150,"UAM150",IF(Q318&gt;=100,"UAM100",IF(Q318&gt;=50,"UAM50","UAM10-50"))))),0)</f>
        <v>0</v>
      </c>
      <c r="AJ318">
        <f>IF(AND(P318&lt;=N318,L318&gt;0),IF(Q318&lt;10,"UBL10",IF(Q318&gt;=200,"UBM200",IF(Q318&gt;=150,"UBM150",IF(Q318&gt;=100,"UBM100",IF(Q318&gt;=50,"UBM50","UBM10-50"))))),0)</f>
        <v>0</v>
      </c>
      <c r="AK318" t="s">
        <f>IF(Q318&lt;4,"down",IF(Q318=4,4,IF(Q318&gt;4,"up")))</f>
        <v>6</v>
      </c>
    </row>
    <row r="319" spans="1:37">
      <c r="A319">
        <f>IF(X319=4438,4438,"Error")</f>
        <v>4438</v>
      </c>
      <c r="B319" t="s">
        <f>IF(K319&lt;132,"down",IF(K319=132,"low",IF(K319=133,"high",IF(AND(K319&gt;132,K319&lt;133),"normal","up"))))</f>
        <v>79</v>
      </c>
      <c r="C319" t="s">
        <f>IF(K319&lt;132,"down",IF(K319=132,"low",IF(K319=133,"high",IF(AND(K319&gt;132,K319&lt;133),"normal","up"))))</f>
        <v>79</v>
      </c>
      <c r="D319" t="s">
        <f>IF(K319&lt;132,"down",IF(K319=132,"low",IF(K319=133,"high",IF(AND(K319&gt;132,K319&lt;133),"normal","up"))))</f>
        <v>79</v>
      </c>
      <c r="E319" t="s">
        <f>IF(K319&lt;127,"down",IF(K319=127,"low",IF(K319=133,"high",IF(AND(K319&gt;127,K319&lt;133),"normal","up"))))</f>
        <v>79</v>
      </c>
      <c r="F319" t="s">
        <f>IF(P319&lt;133,"PVP-down",IF(P319=133,133,IF(P319&gt;133,"PVP-up")))</f>
        <v>80</v>
      </c>
      <c r="G319" t="s">
        <f>IF(R319&lt;31,"PVV-down",IF(R319=31,31,IF(R319&gt;31,"PVV-up")))</f>
        <v>81</v>
      </c>
      <c r="H319" s="40">
        <f>R319/(Y319/10000)</f>
        <v>0.00052236853657448433</v>
      </c>
      <c r="I319">
        <v>132.5</v>
      </c>
      <c r="J319">
        <v>131</v>
      </c>
      <c r="K319">
        <v>132.5</v>
      </c>
      <c r="L319">
        <v>-1.5</v>
      </c>
      <c r="M319">
        <v>-0.011299999999999999</v>
      </c>
      <c r="N319">
        <v>131</v>
      </c>
      <c r="O319">
        <v>131.5</v>
      </c>
      <c r="P319">
        <v>131</v>
      </c>
      <c r="Q319">
        <v>3</v>
      </c>
      <c r="R319">
        <v>54</v>
      </c>
      <c r="S319">
        <v>67</v>
      </c>
      <c r="T319">
        <f>((P319-K319)/K319)</f>
        <v>-0.011320754716981131</v>
      </c>
      <c r="U319">
        <f>((T319*AB319)*D4)</f>
        <v>-0.054940612931614348</v>
      </c>
      <c r="V319" s="3">
        <f>IF(P319&lt;=N319,(P319*Q319*1000),0)</f>
        <v>393000</v>
      </c>
      <c r="W319" s="3">
        <f>IF(P319&gt;=O319,(P319*Q319*1000),0)</f>
        <v>0</v>
      </c>
      <c r="X319">
        <v>4438</v>
      </c>
      <c r="Y319" s="3">
        <v>1033752920</v>
      </c>
      <c r="Z319" s="40">
        <f>((C4*AB319)/P319)/10</f>
        <v>0.003399807276098208</v>
      </c>
      <c r="AA319" s="40">
        <f>((M319*AB319)*C4)</f>
        <v>-0.05032734710808176</v>
      </c>
      <c r="AB319" s="40">
        <f>AE319/AE323</f>
        <v>0.00037973515852471166</v>
      </c>
      <c r="AC319" s="40">
        <f>AF319/AF323</f>
        <v>0.00038051476475162654</v>
      </c>
      <c r="AD319" s="3">
        <f>IF(ISNA(J319),(I319*Y319)/10,(J319*Y319)/10)</f>
        <v>13542163252</v>
      </c>
      <c r="AE319" s="3">
        <f>IF(ISNA(P319),(I319*Y319)/10,(P319*Y319)/10)</f>
        <v>13542163252</v>
      </c>
      <c r="AF319" s="3">
        <f>(I319*Y319)/10</f>
        <v>13697226190</v>
      </c>
      <c r="AG319" t="s">
        <f>IF(AND(P319&lt;=N319,L319&lt;0),IF(Q319&lt;10,"DBL10",IF(Q319&gt;=200,"DBM200",IF(Q319&gt;=150,"DBM150",IF(Q319&gt;=100,"DBM100",IF(Q319&gt;=50,"DBM50","DBM10-50"))))),0)</f>
        <v>85</v>
      </c>
      <c r="AH319">
        <f>IF(AND(P319&gt;=O319,L319&lt;0),IF(Q319&lt;10,"DAL10",IF(Q319&gt;=200,"DAM200",IF(Q319&gt;=150,"DAM150",IF(Q319&gt;=100,"DAM100",IF(Q319&gt;=50,"DAM50","DAM10-50"))))),0)</f>
        <v>0</v>
      </c>
      <c r="AI319">
        <f>IF(AND(P319&gt;=O319,L319&gt;0),IF(Q319&lt;10,"UAL10",IF(Q319&gt;=200,"UAM200",IF(Q319&gt;=150,"UAM150",IF(Q319&gt;=100,"UAM100",IF(Q319&gt;=50,"UAM50","UAM10-50"))))),0)</f>
        <v>0</v>
      </c>
      <c r="AJ319">
        <f>IF(AND(P319&lt;=N319,L319&gt;0),IF(Q319&lt;10,"UBL10",IF(Q319&gt;=200,"UBM200",IF(Q319&gt;=150,"UBM150",IF(Q319&gt;=100,"UBM100",IF(Q319&gt;=50,"UBM50","UBM10-50"))))),0)</f>
        <v>0</v>
      </c>
      <c r="AK319" t="s">
        <f>IF(Q319&lt;0,"down",IF(Q319=0,0,IF(Q319&gt;0,"up")))</f>
        <v>6</v>
      </c>
    </row>
    <row r="320" spans="1:37">
      <c r="A320">
        <f>IF(X320=5007,5007,"Error")</f>
        <v>5007</v>
      </c>
      <c r="B320" t="s">
        <f>IF(K320&lt;45.649999999999999,"down",IF(K320=45.649999999999999,"low",IF(K320=46.25,"high",IF(AND(K320&gt;45.649999999999999,K320&lt;46.25),"normal","up"))))</f>
        <v>7</v>
      </c>
      <c r="C320" t="s">
        <f>IF(K320&lt;45.649999999999999,"down",IF(K320=45.649999999999999,"low",IF(K320=46.25,"high",IF(AND(K320&gt;45.649999999999999,K320&lt;46.25),"normal","up"))))</f>
        <v>7</v>
      </c>
      <c r="D320" t="s">
        <f>IF(K320&lt;45.649999999999999,"down",IF(K320=45.649999999999999,"low",IF(K320=46.25,"high",IF(AND(K320&gt;45.649999999999999,K320&lt;46.25),"normal","up"))))</f>
        <v>7</v>
      </c>
      <c r="E320" t="s">
        <f>IF(K320&lt;44.850000000000001,"down",IF(K320=44.850000000000001,"low",IF(K320=46.299999999999997,"high",IF(AND(K320&gt;44.850000000000001,K320&lt;46.299999999999997),"normal","up"))))</f>
        <v>79</v>
      </c>
      <c r="F320" t="s">
        <f>IF(P320&lt;45.899999999999999,"PVP-down",IF(P320=45.899999999999999,45.899999999999999,IF(P320&gt;45.899999999999999,"PVP-up")))</f>
        <v>80</v>
      </c>
      <c r="G320" t="s">
        <f>IF(R320&lt;10,"PVV-down",IF(R320=10,10,IF(R320&gt;10,"PVV-up")))</f>
        <v>81</v>
      </c>
      <c r="H320" s="40">
        <f>R320/(Y320/10000)</f>
        <v>0.00020343110012751943</v>
      </c>
      <c r="I320">
        <v>45.649999999999999</v>
      </c>
      <c r="J320">
        <v>45.799999999999997</v>
      </c>
      <c r="K320">
        <v>45.600000000000001</v>
      </c>
      <c r="L320">
        <v>0.14999999999999999</v>
      </c>
      <c r="M320">
        <v>0.0033</v>
      </c>
      <c r="N320">
        <v>45.299999999999997</v>
      </c>
      <c r="O320">
        <v>45.799999999999997</v>
      </c>
      <c r="P320">
        <v>45.799999999999997</v>
      </c>
      <c r="Q320">
        <v>5</v>
      </c>
      <c r="R320">
        <v>60</v>
      </c>
      <c r="S320">
        <v>37</v>
      </c>
      <c r="T320">
        <f>((P320-K320)/K320)</f>
        <v>0.0043859649122806078</v>
      </c>
      <c r="U320">
        <f>((T320*AB320)*D4)</f>
        <v>0.021232181017051127</v>
      </c>
      <c r="V320" s="3">
        <f>IF(P320&lt;=N320,(P320*Q320*1000),0)</f>
        <v>0</v>
      </c>
      <c r="W320" s="3">
        <f>IF(P320&gt;=O320,(P320*Q320*1000),0)</f>
        <v>229000</v>
      </c>
      <c r="X320">
        <v>5007</v>
      </c>
      <c r="Y320" s="3">
        <v>2949401540</v>
      </c>
      <c r="Z320" s="40">
        <f>((C4*AB320)/P320)/10</f>
        <v>0.0096999937043246841</v>
      </c>
      <c r="AA320" s="40">
        <f>((M320*AB320)*C4)</f>
        <v>0.014660570484716327</v>
      </c>
      <c r="AB320" s="40">
        <f>AE320/AE323</f>
        <v>0.00037878445249153264</v>
      </c>
      <c r="AC320" s="40">
        <f>AF320/AF323</f>
        <v>0.00037403614295831089</v>
      </c>
      <c r="AD320" s="3">
        <f>IF(ISNA(J320),(I320*Y320)/10,(J320*Y320)/10)</f>
        <v>13508259053.199999</v>
      </c>
      <c r="AE320" s="3">
        <f>IF(ISNA(P320),(I320*Y320)/10,(P320*Y320)/10)</f>
        <v>13508259053.199999</v>
      </c>
      <c r="AF320" s="3">
        <f>(I320*Y320)/10</f>
        <v>13464018030.1</v>
      </c>
      <c r="AG320">
        <f>IF(AND(P320&lt;=N320,L320&lt;0),IF(Q320&lt;10,"DBL10",IF(Q320&gt;=200,"DBM200",IF(Q320&gt;=150,"DBM150",IF(Q320&gt;=100,"DBM100",IF(Q320&gt;=50,"DBM50","DBM10-50"))))),0)</f>
        <v>0</v>
      </c>
      <c r="AH320">
        <f>IF(AND(P320&gt;=O320,L320&lt;0),IF(Q320&lt;10,"DAL10",IF(Q320&gt;=200,"DAM200",IF(Q320&gt;=150,"DAM150",IF(Q320&gt;=100,"DAM100",IF(Q320&gt;=50,"DAM50","DAM10-50"))))),0)</f>
        <v>0</v>
      </c>
      <c r="AI320" t="s">
        <f>IF(AND(P320&gt;=O320,L320&gt;0),IF(Q320&lt;10,"UAL10",IF(Q320&gt;=200,"UAM200",IF(Q320&gt;=150,"UAM150",IF(Q320&gt;=100,"UAM100",IF(Q320&gt;=50,"UAM50","UAM10-50"))))),0)</f>
        <v>89</v>
      </c>
      <c r="AJ320">
        <f>IF(AND(P320&lt;=N320,L320&gt;0),IF(Q320&lt;10,"UBL10",IF(Q320&gt;=200,"UBM200",IF(Q320&gt;=150,"UBM150",IF(Q320&gt;=100,"UBM100",IF(Q320&gt;=50,"UBM50","UBM10-50"))))),0)</f>
        <v>0</v>
      </c>
      <c r="AK320" t="s">
        <f>IF(Q320&lt;4,"down",IF(Q320=4,4,IF(Q320&gt;4,"up")))</f>
        <v>6</v>
      </c>
    </row>
    <row r="321" spans="1:37">
      <c r="A321">
        <f>IF(X321=1419,1419,"Error")</f>
        <v>1419</v>
      </c>
      <c r="B321" t="s">
        <f>IF(K321&lt;42.149999999999999,"down",IF(K321=42.149999999999999,"low",IF(K321=46.399999999999999,"high",IF(AND(K321&gt;42.149999999999999,K321&lt;46.399999999999999),"normal","up"))))</f>
        <v>79</v>
      </c>
      <c r="C321" t="s">
        <f>IF(K321&lt;42.149999999999999,"down",IF(K321=42.149999999999999,"low",IF(K321=46.399999999999999,"high",IF(AND(K321&gt;42.149999999999999,K321&lt;46.399999999999999),"normal","up"))))</f>
        <v>79</v>
      </c>
      <c r="D321" t="s">
        <f>IF(K321&lt;42.149999999999999,"down",IF(K321=42.149999999999999,"low",IF(K321=46.399999999999999,"high",IF(AND(K321&gt;42.149999999999999,K321&lt;46.399999999999999),"normal","up"))))</f>
        <v>79</v>
      </c>
      <c r="E321" t="s">
        <f>IF(K321&lt;42,"down",IF(K321=42,"low",IF(K321=46.399999999999999,"high",IF(AND(K321&gt;42,K321&lt;46.399999999999999),"normal","up"))))</f>
        <v>79</v>
      </c>
      <c r="F321" t="s">
        <f>IF(P321&lt;46.399999999999999,"PVP-down",IF(P321=46.399999999999999,46.399999999999999,IF(P321&gt;46.399999999999999,"PVP-up")))</f>
        <v>80</v>
      </c>
      <c r="G321" t="s">
        <f>IF(R321&lt;363,"PVV-down",IF(R321=363,363,IF(R321&gt;363,"PVV-up")))</f>
        <v>87</v>
      </c>
      <c r="H321" s="40">
        <f>R321/(Y321/10000)</f>
        <v>0.00052659420730374158</v>
      </c>
      <c r="I321">
        <v>46</v>
      </c>
      <c r="J321">
        <v>46</v>
      </c>
      <c r="K321">
        <v>45.799999999999997</v>
      </c>
      <c r="L321">
        <v>-1</v>
      </c>
      <c r="M321">
        <v>-0.021700000000000001</v>
      </c>
      <c r="N321">
        <v>44.850000000000001</v>
      </c>
      <c r="O321">
        <v>45.450000000000003</v>
      </c>
      <c r="P321">
        <v>45</v>
      </c>
      <c r="Q321">
        <v>2</v>
      </c>
      <c r="R321">
        <v>158</v>
      </c>
      <c r="S321">
        <v>603</v>
      </c>
      <c r="T321">
        <f>((P321-K321)/K321)</f>
        <v>-0.017467248908296883</v>
      </c>
      <c r="U321">
        <f>((T321*AB321)*D4)</f>
        <v>-0.08451778500278459</v>
      </c>
      <c r="V321" s="3">
        <f>IF(P321&lt;=N321,(P321*Q321*1000),0)</f>
        <v>0</v>
      </c>
      <c r="W321" s="3">
        <f>IF(P321&gt;=O321,(P321*Q321*1000),0)</f>
        <v>0</v>
      </c>
      <c r="X321">
        <v>1419</v>
      </c>
      <c r="Y321" s="3">
        <v>3000412800</v>
      </c>
      <c r="Z321" s="40">
        <f>((C4*AB321)/P321)/10</f>
        <v>0.0098677595694125798</v>
      </c>
      <c r="AA321" s="40">
        <f>((M321*AB321)*C4)</f>
        <v>-0.096358672195313855</v>
      </c>
      <c r="AB321" s="40">
        <f>AE321/AE323</f>
        <v>0.00037860494964546182</v>
      </c>
      <c r="AC321" s="40">
        <f>AF321/AF323</f>
        <v>0.00038342261656474388</v>
      </c>
      <c r="AD321" s="3">
        <f>IF(ISNA(J321),(I321*Y321)/10,(J321*Y321)/10)</f>
        <v>13801898880</v>
      </c>
      <c r="AE321" s="3">
        <f>IF(ISNA(P321),(I321*Y321)/10,(P321*Y321)/10)</f>
        <v>13501857600</v>
      </c>
      <c r="AF321" s="3">
        <f>(I321*Y321)/10</f>
        <v>13801898880</v>
      </c>
      <c r="AG321">
        <f>IF(AND(P321&lt;=N321,L321&lt;0),IF(Q321&lt;10,"DBL10",IF(Q321&gt;=200,"DBM200",IF(Q321&gt;=150,"DBM150",IF(Q321&gt;=100,"DBM100",IF(Q321&gt;=50,"DBM50","DBM10-50"))))),0)</f>
        <v>0</v>
      </c>
      <c r="AH321">
        <f>IF(AND(P321&gt;=O321,L321&lt;0),IF(Q321&lt;10,"DAL10",IF(Q321&gt;=200,"DAM200",IF(Q321&gt;=150,"DAM150",IF(Q321&gt;=100,"DAM100",IF(Q321&gt;=50,"DAM50","DAM10-50"))))),0)</f>
        <v>0</v>
      </c>
      <c r="AI321">
        <f>IF(AND(P321&gt;=O321,L321&gt;0),IF(Q321&lt;10,"UAL10",IF(Q321&gt;=200,"UAM200",IF(Q321&gt;=150,"UAM150",IF(Q321&gt;=100,"UAM100",IF(Q321&gt;=50,"UAM50","UAM10-50"))))),0)</f>
        <v>0</v>
      </c>
      <c r="AJ321">
        <f>IF(AND(P321&lt;=N321,L321&gt;0),IF(Q321&lt;10,"UBL10",IF(Q321&gt;=200,"UBM200",IF(Q321&gt;=150,"UBM150",IF(Q321&gt;=100,"UBM100",IF(Q321&gt;=50,"UBM50","UBM10-50"))))),0)</f>
        <v>0</v>
      </c>
      <c r="AK321" t="s">
        <f>IF(Q321&lt;0,"down",IF(Q321=0,0,IF(Q321&gt;0,"up")))</f>
        <v>6</v>
      </c>
    </row>
    <row r="322" spans="1:37">
      <c r="A322">
        <f>IF(X322=6452,6452,"Error")</f>
        <v>6452</v>
      </c>
      <c r="B322" t="s">
        <f>IF(K322&lt;95.400000000000006,"down",IF(K322=95.400000000000006,"low",IF(K322=95.400000000000006,"high",IF(AND(K322&gt;95.400000000000006,K322&lt;95.400000000000006),"normal","up"))))</f>
        <v>7</v>
      </c>
      <c r="C322" t="s">
        <f>IF(K322&lt;95.400000000000006,"down",IF(K322=95.400000000000006,"low",IF(K322=95.400000000000006,"high",IF(AND(K322&gt;95.400000000000006,K322&lt;95.400000000000006),"normal","up"))))</f>
        <v>7</v>
      </c>
      <c r="D322" t="s">
        <f>IF(K322&lt;95.400000000000006,"down",IF(K322=95.400000000000006,"low",IF(K322=95.400000000000006,"high",IF(AND(K322&gt;95.400000000000006,K322&lt;95.400000000000006),"normal","up"))))</f>
        <v>7</v>
      </c>
      <c r="E322" t="s">
        <f>IF(K322&lt;95.400000000000006,"down",IF(K322=95.400000000000006,"low",IF(K322=132,"high",IF(AND(K322&gt;95.400000000000006,K322&lt;132),"normal","up"))))</f>
        <v>7</v>
      </c>
      <c r="F322" t="s">
        <f>IF(P322&lt;95.400000000000006,"PVP-down",IF(P322=95.400000000000006,95.400000000000006,IF(P322&gt;95.400000000000006,"PVP-up")))</f>
        <v>80</v>
      </c>
      <c r="G322" t="s">
        <f>IF(R322&lt;360,"PVV-down",IF(R322=360,360,IF(R322&gt;360,"PVV-up")))</f>
        <v>87</v>
      </c>
      <c r="H322" s="40">
        <f>R322/(Y322/10000)</f>
        <v>0.0014381116587242788</v>
      </c>
      <c r="I322">
        <v>95.400000000000006</v>
      </c>
      <c r="J322">
        <v>85.900000000000006</v>
      </c>
      <c r="K322">
        <v>85.900000000000006</v>
      </c>
      <c r="L322">
        <v>-9.5</v>
      </c>
      <c r="M322">
        <v>-0.099599999999999994</v>
      </c>
      <c r="N322" t="e">
        <v>#"#\"#N/A\""</v>
      </c>
      <c r="O322">
        <v>85.900000000000006</v>
      </c>
      <c r="P322">
        <v>85.900000000000006</v>
      </c>
      <c r="Q322">
        <v>1</v>
      </c>
      <c r="R322">
        <v>144</v>
      </c>
      <c r="S322">
        <v>360</v>
      </c>
      <c r="T322">
        <f>((P322-K322)/K322)</f>
        <v>0</v>
      </c>
      <c r="U322">
        <f>((T322*AB322)*D4)</f>
        <v>0</v>
      </c>
      <c r="V322" s="3" t="e">
        <f>IF(P322&lt;=N322,(P322*Q322*1000),0)</f>
        <v>#"#\"#N/A\""</v>
      </c>
      <c r="W322" s="3">
        <f>IF(P322&gt;=O322,(P322*Q322*1000),0)</f>
        <v>85900</v>
      </c>
      <c r="X322">
        <v>6452</v>
      </c>
      <c r="Y322" s="3">
        <v>1001313070</v>
      </c>
      <c r="Z322" s="40">
        <f>((C4*AB322)/P322)/10</f>
        <v>0.0032931190763052292</v>
      </c>
      <c r="AA322" s="40">
        <f>((M322*AB322)*C4)</f>
        <v>-0.28174741294000066</v>
      </c>
      <c r="AB322" s="40">
        <f>AE322/AE323</f>
        <v>0.00024118806477392343</v>
      </c>
      <c r="AC322" s="40">
        <f>AF322/AF323</f>
        <v>0.00026537325112186463</v>
      </c>
      <c r="AD322" s="3">
        <f>IF(ISNA(J322),(I322*Y322)/10,(J322*Y322)/10)</f>
        <v>8601279271.2999992</v>
      </c>
      <c r="AE322" s="3">
        <f>IF(ISNA(P322),(I322*Y322)/10,(P322*Y322)/10)</f>
        <v>8601279271.2999992</v>
      </c>
      <c r="AF322" s="3">
        <f>(I322*Y322)/10</f>
        <v>9552526687.7999992</v>
      </c>
      <c r="AG322" t="e">
        <f>IF(AND(P322&lt;=N322,L322&lt;0),IF(Q322&lt;10,"DBL10",IF(Q322&gt;=200,"DBM200",IF(Q322&gt;=150,"DBM150",IF(Q322&gt;=100,"DBM100",IF(Q322&gt;=50,"DBM50","DBM10-50"))))),0)</f>
        <v>#"#\"#N/A\""</v>
      </c>
      <c r="AH322" t="s">
        <f>IF(AND(P322&gt;=O322,L322&lt;0),IF(Q322&lt;10,"DAL10",IF(Q322&gt;=200,"DAM200",IF(Q322&gt;=150,"DAM150",IF(Q322&gt;=100,"DAM100",IF(Q322&gt;=50,"DAM50","DAM10-50"))))),0)</f>
        <v>88</v>
      </c>
      <c r="AI322">
        <f>IF(AND(P322&gt;=O322,L322&gt;0),IF(Q322&lt;10,"UAL10",IF(Q322&gt;=200,"UAM200",IF(Q322&gt;=150,"UAM150",IF(Q322&gt;=100,"UAM100",IF(Q322&gt;=50,"UAM50","UAM10-50"))))),0)</f>
        <v>0</v>
      </c>
      <c r="AJ322" t="e">
        <f>IF(AND(P322&lt;=N322,L322&gt;0),IF(Q322&lt;10,"UBL10",IF(Q322&gt;=200,"UBM200",IF(Q322&gt;=150,"UBM150",IF(Q322&gt;=100,"UBM100",IF(Q322&gt;=50,"UBM50","UBM10-50"))))),0)</f>
        <v>#"#\"#N/A\""</v>
      </c>
      <c r="AK322" t="s">
        <f>IF(Q322&lt;67,"down",IF(Q322=67,67,IF(Q322&gt;67,"up")))</f>
        <v>7</v>
      </c>
    </row>
    <row r="323" spans="1:37">
      <c r="A323" t="s">
        <v>52</v>
      </c>
      <c r="B323" t="s">
        <v>53</v>
      </c>
      <c r="C323" t="s">
        <v>54</v>
      </c>
      <c r="D323" t="s">
        <v>55</v>
      </c>
      <c r="E323" t="s">
        <v>56</v>
      </c>
      <c r="F323" t="s">
        <v>57</v>
      </c>
      <c r="G323" t="s">
        <v>58</v>
      </c>
      <c r="H323" t="s">
        <v>59</v>
      </c>
      <c r="I323" t="s">
        <v>60</v>
      </c>
      <c r="J323" t="s">
        <v>61</v>
      </c>
      <c r="K323" t="s">
        <v>62</v>
      </c>
      <c r="L323" t="s">
        <v>63</v>
      </c>
      <c r="M323" t="s">
        <v>64</v>
      </c>
      <c r="N323" t="s">
        <v>3</v>
      </c>
      <c r="O323" t="s">
        <v>4</v>
      </c>
      <c r="P323" t="s">
        <v>65</v>
      </c>
      <c r="Q323" t="s">
        <v>66</v>
      </c>
      <c r="R323" t="s">
        <v>67</v>
      </c>
      <c r="S323" t="s">
        <v>68</v>
      </c>
      <c r="T323" t="s">
        <v>69</v>
      </c>
      <c r="U323" t="s">
        <v>70</v>
      </c>
      <c r="V323" s="3">
        <f t="array" ref="V323">SUM(IF(ISNUMBER(V38:V322),V38:V322))*1000</f>
        <v>8874179310000</v>
      </c>
      <c r="W323" s="3">
        <f t="array" ref="W323">SUM(IF(ISNUMBER(W38:W322),W38:W322))*1000</f>
        <v>2325214990000</v>
      </c>
      <c r="X323" t="s">
        <v>52</v>
      </c>
      <c r="Y323" t="s">
        <v>71</v>
      </c>
      <c r="Z323" t="s">
        <v>72</v>
      </c>
      <c r="AA323" t="s">
        <v>70</v>
      </c>
      <c r="AB323" t="s">
        <v>73</v>
      </c>
      <c r="AC323" t="s">
        <v>74</v>
      </c>
      <c r="AD323" s="3">
        <f t="array" ref="AD323">SUM(IF(ISNUMBER(AD38:AD322),AD38:AD322))</f>
        <v>35662261069782.984</v>
      </c>
      <c r="AE323" s="3">
        <f t="array" ref="AE323">SUM(IF(ISNUMBER(AE38:AE322),AE38:AE322))</f>
        <v>35662126479444.039</v>
      </c>
      <c r="AF323" s="3">
        <f t="array" ref="AF323">SUM(IF(ISNUMBER(AF38:AF322),AF38:AF322))</f>
        <v>35996569539004.859</v>
      </c>
      <c r="AG323" t="s">
        <v>75</v>
      </c>
      <c r="AH323" t="s">
        <v>76</v>
      </c>
      <c r="AI323" t="s">
        <v>77</v>
      </c>
      <c r="AJ323" t="s">
        <v>78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conditionalFormatting sqref="A22">
    <cfRule type="cellIs" dxfId="0" priority="1" stopIfTrue="1" operator="greaterThan">
      <formula>0</formula>
    </cfRule>
  </conditionalFormatting>
  <conditionalFormatting sqref="B18">
    <cfRule type="cellIs" dxfId="1" priority="1" stopIfTrue="1" operator="greaterThan">
      <formula>0</formula>
    </cfRule>
  </conditionalFormatting>
  <conditionalFormatting sqref="B20">
    <cfRule type="cellIs" dxfId="2" priority="1" stopIfTrue="1" operator="greaterThan">
      <formula>0</formula>
    </cfRule>
  </conditionalFormatting>
  <conditionalFormatting sqref="C22">
    <cfRule type="cellIs" dxfId="3" priority="1" stopIfTrue="1" operator="greaterThan">
      <formula>0</formula>
    </cfRule>
  </conditionalFormatting>
  <conditionalFormatting sqref="D18">
    <cfRule type="cellIs" dxfId="4" priority="1" stopIfTrue="1" operator="greaterThan">
      <formula>0</formula>
    </cfRule>
  </conditionalFormatting>
  <conditionalFormatting sqref="D20">
    <cfRule type="cellIs" dxfId="5" priority="1" stopIfTrue="1" operator="greaterThan">
      <formula>0</formula>
    </cfRule>
  </conditionalFormatting>
  <conditionalFormatting sqref="E22">
    <cfRule type="cellIs" dxfId="6" priority="1" stopIfTrue="1" operator="greaterThan">
      <formula>0</formula>
    </cfRule>
  </conditionalFormatting>
  <conditionalFormatting sqref="F18">
    <cfRule type="cellIs" dxfId="7" priority="1" stopIfTrue="1" operator="greaterThan">
      <formula>0</formula>
    </cfRule>
  </conditionalFormatting>
  <conditionalFormatting sqref="F20">
    <cfRule type="cellIs" dxfId="8" priority="1" stopIfTrue="1" operator="greaterThan">
      <formula>0</formula>
    </cfRule>
  </conditionalFormatting>
  <conditionalFormatting sqref="G22">
    <cfRule type="cellIs" dxfId="9" priority="1" stopIfTrue="1" operator="greaterThan">
      <formula>0</formula>
    </cfRule>
  </conditionalFormatting>
  <conditionalFormatting sqref="H18">
    <cfRule type="cellIs" dxfId="10" priority="1" stopIfTrue="1" operator="greaterThan">
      <formula>0</formula>
    </cfRule>
  </conditionalFormatting>
  <conditionalFormatting sqref="H20">
    <cfRule type="cellIs" dxfId="11" priority="1" stopIfTrue="1" operator="greaterThan">
      <formula>0</formula>
    </cfRule>
  </conditionalFormatting>
  <conditionalFormatting sqref="I9">
    <cfRule type="cellIs" dxfId="12" priority="1" stopIfTrue="1" operator="greaterThan">
      <formula>0</formula>
    </cfRule>
  </conditionalFormatting>
  <conditionalFormatting sqref="I22">
    <cfRule type="cellIs" dxfId="13" priority="1" stopIfTrue="1" operator="greaterThan">
      <formula>0</formula>
    </cfRule>
  </conditionalFormatting>
  <conditionalFormatting sqref="J18">
    <cfRule type="cellIs" dxfId="14" priority="1" stopIfTrue="1" operator="greaterThan">
      <formula>0</formula>
    </cfRule>
  </conditionalFormatting>
  <conditionalFormatting sqref="J20">
    <cfRule type="cellIs" dxfId="15" priority="1" stopIfTrue="1" operator="greaterThan">
      <formula>0</formula>
    </cfRule>
  </conditionalFormatting>
  <conditionalFormatting sqref="K22">
    <cfRule type="cellIs" dxfId="16" priority="1" stopIfTrue="1" operator="greaterThan">
      <formula>0</formula>
    </cfRule>
  </conditionalFormatting>
  <conditionalFormatting sqref="L18">
    <cfRule type="cellIs" dxfId="17" priority="1" stopIfTrue="1" operator="greaterThan">
      <formula>0</formula>
    </cfRule>
  </conditionalFormatting>
  <conditionalFormatting sqref="L20">
    <cfRule type="cellIs" dxfId="18" priority="1" stopIfTrue="1" operator="greaterThan">
      <formula>0</formula>
    </cfRule>
  </conditionalFormatting>
  <conditionalFormatting sqref="M22">
    <cfRule type="cellIs" dxfId="19" priority="1" stopIfTrue="1" operator="greaterThan">
      <formula>0</formula>
    </cfRule>
  </conditionalFormatting>
  <conditionalFormatting sqref="N9">
    <cfRule type="cellIs" dxfId="20" priority="1" stopIfTrue="1" operator="greaterThan">
      <formula>0</formula>
    </cfRule>
  </conditionalFormatting>
  <conditionalFormatting sqref="N18">
    <cfRule type="cellIs" dxfId="21" priority="1" stopIfTrue="1" operator="greaterThan">
      <formula>0</formula>
    </cfRule>
  </conditionalFormatting>
  <conditionalFormatting sqref="N20">
    <cfRule type="cellIs" dxfId="22" priority="1" stopIfTrue="1" operator="greaterThan">
      <formula>0</formula>
    </cfRule>
  </conditionalFormatting>
  <conditionalFormatting sqref="O22">
    <cfRule type="cellIs" dxfId="23" priority="1" stopIfTrue="1" operator="greaterThan">
      <formula>0</formula>
    </cfRule>
  </conditionalFormatting>
  <conditionalFormatting sqref="P18">
    <cfRule type="cellIs" dxfId="24" priority="1" stopIfTrue="1" operator="greaterThan">
      <formula>0</formula>
    </cfRule>
  </conditionalFormatting>
  <conditionalFormatting sqref="P20">
    <cfRule type="cellIs" dxfId="25" priority="1" stopIfTrue="1" operator="greaterThan">
      <formula>0</formula>
    </cfRule>
  </conditionalFormatting>
  <conditionalFormatting sqref="Q22">
    <cfRule type="cellIs" dxfId="26" priority="1" stopIfTrue="1" operator="greaterThan">
      <formula>0</formula>
    </cfRule>
  </conditionalFormatting>
  <conditionalFormatting sqref="R18">
    <cfRule type="cellIs" dxfId="27" priority="1" stopIfTrue="1" operator="greaterThan">
      <formula>0</formula>
    </cfRule>
  </conditionalFormatting>
  <conditionalFormatting sqref="R20">
    <cfRule type="cellIs" dxfId="28" priority="1" stopIfTrue="1" operator="greaterThan">
      <formula>0</formula>
    </cfRule>
  </conditionalFormatting>
  <conditionalFormatting sqref="S9">
    <cfRule type="cellIs" dxfId="29" priority="1" stopIfTrue="1" operator="greaterThan">
      <formula>0</formula>
    </cfRule>
  </conditionalFormatting>
  <conditionalFormatting sqref="S22">
    <cfRule type="cellIs" dxfId="30" priority="1" stopIfTrue="1" operator="greaterThan">
      <formula>0</formula>
    </cfRule>
  </conditionalFormatting>
  <conditionalFormatting sqref="T18">
    <cfRule type="cellIs" dxfId="31" priority="1" stopIfTrue="1" operator="greaterThan">
      <formula>0</formula>
    </cfRule>
  </conditionalFormatting>
  <conditionalFormatting sqref="T20">
    <cfRule type="cellIs" dxfId="32" priority="1" stopIfTrue="1" operator="greaterThan">
      <formula>0</formula>
    </cfRule>
  </conditionalFormatting>
  <printOptions/>
  <pageMargins left="0.7" right="0.7" top="0.75" bottom="0.75" header="0.3" footer="0.3"/>
  <pageSetup blackAndWhite="0" cellComments="asDisplayed" draft="0" errors="displayed" orientation="portrait" pageOrder="downThenOver" paperSize="9" scale="100" useFirstPageNumb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gnumeric</Application>
  <AppVersion>1.1232</AppVersion>
  <LinksUpToDate>0</LinksUpToDate>
  <ScaleCrop>0</ScaleCrop>
  <DocSecurity>0</DocSecurity>
  <HyperlinksChanged>0</HyperlinksChanged>
  <SharedDoc>0</SharedDoc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lastModifiedBy>robot</cp:lastModifiedBy>
  <dcterms:modified xsi:type="dcterms:W3CDTF">2020-09-19T13:28:19Z</dcterms:modified>
  <dcterms:created xsi:type="dcterms:W3CDTF">2020-08-10T13:50:45Z</dcterms:created>
  <dc:creator>robot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