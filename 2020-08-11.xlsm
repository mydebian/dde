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20" yWindow="300" windowWidth="17940" windowHeight="9705"/>
  </bookViews>
  <sheets>
    <sheet name="Yeswin_DDE_2020-08-10" sheetId="1" r:id="rId1"/>
  </sheets>
  <externalReferences>
    <externalReference r:id="rId2"/>
  </externalReferences>
  <calcPr calcId="144525"/>
</workbook>
</file>

<file path=xl/calcChain.xml><?xml version="1.0" encoding="utf-8"?>
<calcChain xmlns="http://schemas.openxmlformats.org/spreadsheetml/2006/main">
  <c r="A322" i="1" l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2" i="1"/>
  <c r="D2" i="1"/>
  <c r="E2" i="1"/>
  <c r="M2" i="1"/>
  <c r="N2" i="1"/>
  <c r="O2" i="1"/>
  <c r="P2" i="1"/>
  <c r="D4" i="1"/>
  <c r="E4" i="1"/>
  <c r="M4" i="1"/>
  <c r="N4" i="1"/>
  <c r="O4" i="1"/>
  <c r="P4" i="1"/>
  <c r="D6" i="1"/>
  <c r="E6" i="1"/>
  <c r="M6" i="1"/>
  <c r="N6" i="1"/>
  <c r="O6" i="1"/>
  <c r="P6" i="1"/>
  <c r="I38" i="1"/>
  <c r="J38" i="1"/>
  <c r="AD38" i="1" s="1"/>
  <c r="K38" i="1"/>
  <c r="E38" i="1" s="1"/>
  <c r="L38" i="1"/>
  <c r="M38" i="1"/>
  <c r="N38" i="1"/>
  <c r="O38" i="1"/>
  <c r="P38" i="1"/>
  <c r="AJ38" i="1" s="1"/>
  <c r="Q38" i="1"/>
  <c r="R38" i="1"/>
  <c r="S38" i="1"/>
  <c r="T38" i="1"/>
  <c r="AF38" i="1"/>
  <c r="I39" i="1"/>
  <c r="J39" i="1"/>
  <c r="AD39" i="1" s="1"/>
  <c r="K39" i="1"/>
  <c r="E39" i="1" s="1"/>
  <c r="L39" i="1"/>
  <c r="M39" i="1"/>
  <c r="N39" i="1"/>
  <c r="O39" i="1"/>
  <c r="P39" i="1"/>
  <c r="Q39" i="1"/>
  <c r="AK39" i="1" s="1"/>
  <c r="R39" i="1"/>
  <c r="H39" i="1" s="1"/>
  <c r="S39" i="1"/>
  <c r="T39" i="1"/>
  <c r="AF39" i="1"/>
  <c r="I40" i="1"/>
  <c r="J40" i="1"/>
  <c r="AD40" i="1" s="1"/>
  <c r="K40" i="1"/>
  <c r="E40" i="1" s="1"/>
  <c r="L40" i="1"/>
  <c r="M40" i="1"/>
  <c r="N40" i="1"/>
  <c r="O40" i="1"/>
  <c r="P40" i="1"/>
  <c r="Q40" i="1"/>
  <c r="AK40" i="1" s="1"/>
  <c r="R40" i="1"/>
  <c r="H40" i="1" s="1"/>
  <c r="S40" i="1"/>
  <c r="T40" i="1"/>
  <c r="AF40" i="1"/>
  <c r="I41" i="1"/>
  <c r="J41" i="1"/>
  <c r="AD41" i="1" s="1"/>
  <c r="K41" i="1"/>
  <c r="E41" i="1" s="1"/>
  <c r="L41" i="1"/>
  <c r="M41" i="1"/>
  <c r="N41" i="1"/>
  <c r="O41" i="1"/>
  <c r="P41" i="1"/>
  <c r="AJ41" i="1" s="1"/>
  <c r="Q41" i="1"/>
  <c r="AK41" i="1" s="1"/>
  <c r="R41" i="1"/>
  <c r="H41" i="1" s="1"/>
  <c r="S41" i="1"/>
  <c r="T41" i="1"/>
  <c r="AF41" i="1"/>
  <c r="I42" i="1"/>
  <c r="J42" i="1"/>
  <c r="AD42" i="1" s="1"/>
  <c r="K42" i="1"/>
  <c r="E42" i="1" s="1"/>
  <c r="L42" i="1"/>
  <c r="M42" i="1"/>
  <c r="N42" i="1"/>
  <c r="O42" i="1"/>
  <c r="P42" i="1"/>
  <c r="Q42" i="1"/>
  <c r="AK42" i="1" s="1"/>
  <c r="R42" i="1"/>
  <c r="H42" i="1" s="1"/>
  <c r="S42" i="1"/>
  <c r="T42" i="1"/>
  <c r="AF42" i="1"/>
  <c r="I43" i="1"/>
  <c r="J43" i="1"/>
  <c r="AD43" i="1" s="1"/>
  <c r="K43" i="1"/>
  <c r="E43" i="1" s="1"/>
  <c r="L43" i="1"/>
  <c r="M43" i="1"/>
  <c r="N43" i="1"/>
  <c r="O43" i="1"/>
  <c r="P43" i="1"/>
  <c r="Q43" i="1"/>
  <c r="AK43" i="1" s="1"/>
  <c r="R43" i="1"/>
  <c r="H43" i="1" s="1"/>
  <c r="S43" i="1"/>
  <c r="T43" i="1"/>
  <c r="AF43" i="1"/>
  <c r="I44" i="1"/>
  <c r="J44" i="1"/>
  <c r="AD44" i="1" s="1"/>
  <c r="K44" i="1"/>
  <c r="E44" i="1" s="1"/>
  <c r="L44" i="1"/>
  <c r="M44" i="1"/>
  <c r="N44" i="1"/>
  <c r="O44" i="1"/>
  <c r="P44" i="1"/>
  <c r="AJ44" i="1" s="1"/>
  <c r="Q44" i="1"/>
  <c r="AK44" i="1" s="1"/>
  <c r="R44" i="1"/>
  <c r="H44" i="1" s="1"/>
  <c r="S44" i="1"/>
  <c r="T44" i="1"/>
  <c r="AF44" i="1"/>
  <c r="I45" i="1"/>
  <c r="J45" i="1"/>
  <c r="AD45" i="1" s="1"/>
  <c r="K45" i="1"/>
  <c r="E45" i="1" s="1"/>
  <c r="L45" i="1"/>
  <c r="M45" i="1"/>
  <c r="N45" i="1"/>
  <c r="O45" i="1"/>
  <c r="P45" i="1"/>
  <c r="Q45" i="1"/>
  <c r="AK45" i="1" s="1"/>
  <c r="R45" i="1"/>
  <c r="H45" i="1" s="1"/>
  <c r="S45" i="1"/>
  <c r="T45" i="1"/>
  <c r="AF45" i="1"/>
  <c r="I46" i="1"/>
  <c r="J46" i="1"/>
  <c r="AD46" i="1" s="1"/>
  <c r="K46" i="1"/>
  <c r="E46" i="1" s="1"/>
  <c r="L46" i="1"/>
  <c r="M46" i="1"/>
  <c r="N46" i="1"/>
  <c r="O46" i="1"/>
  <c r="P46" i="1"/>
  <c r="Q46" i="1"/>
  <c r="AK46" i="1" s="1"/>
  <c r="R46" i="1"/>
  <c r="H46" i="1" s="1"/>
  <c r="S46" i="1"/>
  <c r="T46" i="1"/>
  <c r="AF46" i="1"/>
  <c r="I47" i="1"/>
  <c r="J47" i="1"/>
  <c r="AD47" i="1" s="1"/>
  <c r="K47" i="1"/>
  <c r="E47" i="1" s="1"/>
  <c r="L47" i="1"/>
  <c r="M47" i="1"/>
  <c r="N47" i="1"/>
  <c r="O47" i="1"/>
  <c r="P47" i="1"/>
  <c r="Q47" i="1"/>
  <c r="AK47" i="1" s="1"/>
  <c r="R47" i="1"/>
  <c r="H47" i="1" s="1"/>
  <c r="S47" i="1"/>
  <c r="T47" i="1"/>
  <c r="AF47" i="1"/>
  <c r="I48" i="1"/>
  <c r="J48" i="1"/>
  <c r="AD48" i="1" s="1"/>
  <c r="K48" i="1"/>
  <c r="E48" i="1" s="1"/>
  <c r="L48" i="1"/>
  <c r="M48" i="1"/>
  <c r="N48" i="1"/>
  <c r="O48" i="1"/>
  <c r="P48" i="1"/>
  <c r="Q48" i="1"/>
  <c r="AK48" i="1" s="1"/>
  <c r="R48" i="1"/>
  <c r="H48" i="1" s="1"/>
  <c r="S48" i="1"/>
  <c r="T48" i="1"/>
  <c r="AF48" i="1"/>
  <c r="I49" i="1"/>
  <c r="J49" i="1"/>
  <c r="AD49" i="1" s="1"/>
  <c r="K49" i="1"/>
  <c r="E49" i="1" s="1"/>
  <c r="L49" i="1"/>
  <c r="M49" i="1"/>
  <c r="N49" i="1"/>
  <c r="O49" i="1"/>
  <c r="P49" i="1"/>
  <c r="Q49" i="1"/>
  <c r="AK49" i="1" s="1"/>
  <c r="R49" i="1"/>
  <c r="H49" i="1" s="1"/>
  <c r="S49" i="1"/>
  <c r="T49" i="1"/>
  <c r="AF49" i="1"/>
  <c r="I50" i="1"/>
  <c r="J50" i="1"/>
  <c r="AD50" i="1" s="1"/>
  <c r="K50" i="1"/>
  <c r="E50" i="1" s="1"/>
  <c r="L50" i="1"/>
  <c r="M50" i="1"/>
  <c r="N50" i="1"/>
  <c r="O50" i="1"/>
  <c r="P50" i="1"/>
  <c r="Q50" i="1"/>
  <c r="AK50" i="1" s="1"/>
  <c r="R50" i="1"/>
  <c r="H50" i="1" s="1"/>
  <c r="S50" i="1"/>
  <c r="T50" i="1"/>
  <c r="AF50" i="1"/>
  <c r="I51" i="1"/>
  <c r="J51" i="1"/>
  <c r="AD51" i="1" s="1"/>
  <c r="K51" i="1"/>
  <c r="E51" i="1" s="1"/>
  <c r="L51" i="1"/>
  <c r="M51" i="1"/>
  <c r="N51" i="1"/>
  <c r="O51" i="1"/>
  <c r="P51" i="1"/>
  <c r="Q51" i="1"/>
  <c r="AK51" i="1" s="1"/>
  <c r="R51" i="1"/>
  <c r="H51" i="1" s="1"/>
  <c r="S51" i="1"/>
  <c r="T51" i="1"/>
  <c r="AF51" i="1"/>
  <c r="I52" i="1"/>
  <c r="J52" i="1"/>
  <c r="AD52" i="1" s="1"/>
  <c r="K52" i="1"/>
  <c r="E52" i="1" s="1"/>
  <c r="L52" i="1"/>
  <c r="M52" i="1"/>
  <c r="N52" i="1"/>
  <c r="O52" i="1"/>
  <c r="P52" i="1"/>
  <c r="Q52" i="1"/>
  <c r="AK52" i="1" s="1"/>
  <c r="R52" i="1"/>
  <c r="H52" i="1" s="1"/>
  <c r="S52" i="1"/>
  <c r="T52" i="1"/>
  <c r="AF52" i="1"/>
  <c r="I53" i="1"/>
  <c r="J53" i="1"/>
  <c r="AD53" i="1" s="1"/>
  <c r="K53" i="1"/>
  <c r="E53" i="1" s="1"/>
  <c r="L53" i="1"/>
  <c r="M53" i="1"/>
  <c r="N53" i="1"/>
  <c r="O53" i="1"/>
  <c r="P53" i="1"/>
  <c r="Q53" i="1"/>
  <c r="AK53" i="1" s="1"/>
  <c r="R53" i="1"/>
  <c r="H53" i="1" s="1"/>
  <c r="S53" i="1"/>
  <c r="T53" i="1"/>
  <c r="AF53" i="1"/>
  <c r="I54" i="1"/>
  <c r="J54" i="1"/>
  <c r="AD54" i="1" s="1"/>
  <c r="K54" i="1"/>
  <c r="E54" i="1" s="1"/>
  <c r="L54" i="1"/>
  <c r="M54" i="1"/>
  <c r="N54" i="1"/>
  <c r="O54" i="1"/>
  <c r="P54" i="1"/>
  <c r="AJ54" i="1" s="1"/>
  <c r="Q54" i="1"/>
  <c r="AK54" i="1" s="1"/>
  <c r="R54" i="1"/>
  <c r="H54" i="1" s="1"/>
  <c r="S54" i="1"/>
  <c r="T54" i="1"/>
  <c r="AF54" i="1"/>
  <c r="I55" i="1"/>
  <c r="J55" i="1"/>
  <c r="AD55" i="1" s="1"/>
  <c r="K55" i="1"/>
  <c r="E55" i="1" s="1"/>
  <c r="L55" i="1"/>
  <c r="M55" i="1"/>
  <c r="N55" i="1"/>
  <c r="O55" i="1"/>
  <c r="P55" i="1"/>
  <c r="Q55" i="1"/>
  <c r="AK55" i="1" s="1"/>
  <c r="R55" i="1"/>
  <c r="H55" i="1" s="1"/>
  <c r="S55" i="1"/>
  <c r="T55" i="1"/>
  <c r="AF55" i="1"/>
  <c r="I56" i="1"/>
  <c r="J56" i="1"/>
  <c r="AD56" i="1" s="1"/>
  <c r="K56" i="1"/>
  <c r="E56" i="1" s="1"/>
  <c r="L56" i="1"/>
  <c r="M56" i="1"/>
  <c r="N56" i="1"/>
  <c r="O56" i="1"/>
  <c r="P56" i="1"/>
  <c r="AJ56" i="1" s="1"/>
  <c r="Q56" i="1"/>
  <c r="AK56" i="1" s="1"/>
  <c r="R56" i="1"/>
  <c r="H56" i="1" s="1"/>
  <c r="S56" i="1"/>
  <c r="T56" i="1"/>
  <c r="AF56" i="1"/>
  <c r="I57" i="1"/>
  <c r="J57" i="1"/>
  <c r="AD57" i="1" s="1"/>
  <c r="K57" i="1"/>
  <c r="E57" i="1" s="1"/>
  <c r="L57" i="1"/>
  <c r="M57" i="1"/>
  <c r="N57" i="1"/>
  <c r="O57" i="1"/>
  <c r="P57" i="1"/>
  <c r="Q57" i="1"/>
  <c r="AK57" i="1" s="1"/>
  <c r="R57" i="1"/>
  <c r="H57" i="1" s="1"/>
  <c r="S57" i="1"/>
  <c r="T57" i="1"/>
  <c r="AF57" i="1"/>
  <c r="I58" i="1"/>
  <c r="J58" i="1"/>
  <c r="AD58" i="1" s="1"/>
  <c r="K58" i="1"/>
  <c r="E58" i="1" s="1"/>
  <c r="L58" i="1"/>
  <c r="M58" i="1"/>
  <c r="N58" i="1"/>
  <c r="O58" i="1"/>
  <c r="P58" i="1"/>
  <c r="Q58" i="1"/>
  <c r="AK58" i="1" s="1"/>
  <c r="R58" i="1"/>
  <c r="H58" i="1" s="1"/>
  <c r="S58" i="1"/>
  <c r="T58" i="1"/>
  <c r="AF58" i="1"/>
  <c r="I59" i="1"/>
  <c r="J59" i="1"/>
  <c r="AD59" i="1" s="1"/>
  <c r="K59" i="1"/>
  <c r="E59" i="1" s="1"/>
  <c r="L59" i="1"/>
  <c r="M59" i="1"/>
  <c r="N59" i="1"/>
  <c r="O59" i="1"/>
  <c r="P59" i="1"/>
  <c r="AJ59" i="1" s="1"/>
  <c r="Q59" i="1"/>
  <c r="AK59" i="1" s="1"/>
  <c r="R59" i="1"/>
  <c r="H59" i="1" s="1"/>
  <c r="S59" i="1"/>
  <c r="T59" i="1"/>
  <c r="AF59" i="1"/>
  <c r="I60" i="1"/>
  <c r="J60" i="1"/>
  <c r="AD60" i="1" s="1"/>
  <c r="K60" i="1"/>
  <c r="E60" i="1" s="1"/>
  <c r="L60" i="1"/>
  <c r="M60" i="1"/>
  <c r="N60" i="1"/>
  <c r="O60" i="1"/>
  <c r="P60" i="1"/>
  <c r="Q60" i="1"/>
  <c r="AK60" i="1" s="1"/>
  <c r="R60" i="1"/>
  <c r="H60" i="1" s="1"/>
  <c r="S60" i="1"/>
  <c r="T60" i="1"/>
  <c r="AF60" i="1"/>
  <c r="I61" i="1"/>
  <c r="J61" i="1"/>
  <c r="AD61" i="1" s="1"/>
  <c r="K61" i="1"/>
  <c r="E61" i="1" s="1"/>
  <c r="L61" i="1"/>
  <c r="M61" i="1"/>
  <c r="N61" i="1"/>
  <c r="O61" i="1"/>
  <c r="P61" i="1"/>
  <c r="Q61" i="1"/>
  <c r="AK61" i="1" s="1"/>
  <c r="R61" i="1"/>
  <c r="H61" i="1" s="1"/>
  <c r="S61" i="1"/>
  <c r="T61" i="1"/>
  <c r="AF61" i="1"/>
  <c r="I62" i="1"/>
  <c r="J62" i="1"/>
  <c r="AD62" i="1" s="1"/>
  <c r="K62" i="1"/>
  <c r="E62" i="1" s="1"/>
  <c r="L62" i="1"/>
  <c r="M62" i="1"/>
  <c r="N62" i="1"/>
  <c r="O62" i="1"/>
  <c r="P62" i="1"/>
  <c r="AJ62" i="1" s="1"/>
  <c r="Q62" i="1"/>
  <c r="AK62" i="1" s="1"/>
  <c r="R62" i="1"/>
  <c r="H62" i="1" s="1"/>
  <c r="S62" i="1"/>
  <c r="T62" i="1"/>
  <c r="AF62" i="1"/>
  <c r="I63" i="1"/>
  <c r="J63" i="1"/>
  <c r="AD63" i="1" s="1"/>
  <c r="K63" i="1"/>
  <c r="E63" i="1" s="1"/>
  <c r="L63" i="1"/>
  <c r="M63" i="1"/>
  <c r="N63" i="1"/>
  <c r="O63" i="1"/>
  <c r="P63" i="1"/>
  <c r="Q63" i="1"/>
  <c r="AK63" i="1" s="1"/>
  <c r="R63" i="1"/>
  <c r="H63" i="1" s="1"/>
  <c r="S63" i="1"/>
  <c r="T63" i="1"/>
  <c r="AF63" i="1"/>
  <c r="I64" i="1"/>
  <c r="J64" i="1"/>
  <c r="AD64" i="1" s="1"/>
  <c r="K64" i="1"/>
  <c r="E64" i="1" s="1"/>
  <c r="L64" i="1"/>
  <c r="M64" i="1"/>
  <c r="N64" i="1"/>
  <c r="O64" i="1"/>
  <c r="P64" i="1"/>
  <c r="Q64" i="1"/>
  <c r="AK64" i="1" s="1"/>
  <c r="R64" i="1"/>
  <c r="H64" i="1" s="1"/>
  <c r="S64" i="1"/>
  <c r="T64" i="1"/>
  <c r="AF64" i="1"/>
  <c r="I65" i="1"/>
  <c r="J65" i="1"/>
  <c r="AD65" i="1" s="1"/>
  <c r="K65" i="1"/>
  <c r="E65" i="1" s="1"/>
  <c r="L65" i="1"/>
  <c r="M65" i="1"/>
  <c r="N65" i="1"/>
  <c r="O65" i="1"/>
  <c r="P65" i="1"/>
  <c r="Q65" i="1"/>
  <c r="AK65" i="1" s="1"/>
  <c r="R65" i="1"/>
  <c r="H65" i="1" s="1"/>
  <c r="S65" i="1"/>
  <c r="T65" i="1"/>
  <c r="AF65" i="1"/>
  <c r="I66" i="1"/>
  <c r="J66" i="1"/>
  <c r="AD66" i="1" s="1"/>
  <c r="K66" i="1"/>
  <c r="E66" i="1" s="1"/>
  <c r="L66" i="1"/>
  <c r="M66" i="1"/>
  <c r="N66" i="1"/>
  <c r="O66" i="1"/>
  <c r="P66" i="1"/>
  <c r="Q66" i="1"/>
  <c r="AK66" i="1" s="1"/>
  <c r="R66" i="1"/>
  <c r="H66" i="1" s="1"/>
  <c r="S66" i="1"/>
  <c r="T66" i="1"/>
  <c r="AF66" i="1"/>
  <c r="I67" i="1"/>
  <c r="J67" i="1"/>
  <c r="AD67" i="1" s="1"/>
  <c r="K67" i="1"/>
  <c r="E67" i="1" s="1"/>
  <c r="L67" i="1"/>
  <c r="M67" i="1"/>
  <c r="N67" i="1"/>
  <c r="O67" i="1"/>
  <c r="P67" i="1"/>
  <c r="AJ67" i="1" s="1"/>
  <c r="Q67" i="1"/>
  <c r="AK67" i="1" s="1"/>
  <c r="R67" i="1"/>
  <c r="H67" i="1" s="1"/>
  <c r="S67" i="1"/>
  <c r="T67" i="1"/>
  <c r="AF67" i="1"/>
  <c r="I68" i="1"/>
  <c r="J68" i="1"/>
  <c r="AD68" i="1" s="1"/>
  <c r="K68" i="1"/>
  <c r="E68" i="1" s="1"/>
  <c r="L68" i="1"/>
  <c r="M68" i="1"/>
  <c r="N68" i="1"/>
  <c r="O68" i="1"/>
  <c r="P68" i="1"/>
  <c r="Q68" i="1"/>
  <c r="AK68" i="1" s="1"/>
  <c r="R68" i="1"/>
  <c r="H68" i="1" s="1"/>
  <c r="S68" i="1"/>
  <c r="T68" i="1"/>
  <c r="AF68" i="1"/>
  <c r="I69" i="1"/>
  <c r="J69" i="1"/>
  <c r="AD69" i="1" s="1"/>
  <c r="K69" i="1"/>
  <c r="E69" i="1" s="1"/>
  <c r="L69" i="1"/>
  <c r="M69" i="1"/>
  <c r="N69" i="1"/>
  <c r="O69" i="1"/>
  <c r="P69" i="1"/>
  <c r="Q69" i="1"/>
  <c r="AK69" i="1" s="1"/>
  <c r="R69" i="1"/>
  <c r="H69" i="1" s="1"/>
  <c r="S69" i="1"/>
  <c r="T69" i="1"/>
  <c r="AF69" i="1"/>
  <c r="I70" i="1"/>
  <c r="J70" i="1"/>
  <c r="AD70" i="1" s="1"/>
  <c r="K70" i="1"/>
  <c r="E70" i="1" s="1"/>
  <c r="L70" i="1"/>
  <c r="M70" i="1"/>
  <c r="N70" i="1"/>
  <c r="O70" i="1"/>
  <c r="P70" i="1"/>
  <c r="Q70" i="1"/>
  <c r="AK70" i="1" s="1"/>
  <c r="R70" i="1"/>
  <c r="H70" i="1" s="1"/>
  <c r="S70" i="1"/>
  <c r="T70" i="1"/>
  <c r="AF70" i="1"/>
  <c r="I71" i="1"/>
  <c r="J71" i="1"/>
  <c r="AD71" i="1" s="1"/>
  <c r="K71" i="1"/>
  <c r="E71" i="1" s="1"/>
  <c r="L71" i="1"/>
  <c r="M71" i="1"/>
  <c r="N71" i="1"/>
  <c r="O71" i="1"/>
  <c r="P71" i="1"/>
  <c r="Q71" i="1"/>
  <c r="AK71" i="1" s="1"/>
  <c r="R71" i="1"/>
  <c r="H71" i="1" s="1"/>
  <c r="S71" i="1"/>
  <c r="T71" i="1"/>
  <c r="AF71" i="1"/>
  <c r="I72" i="1"/>
  <c r="J72" i="1"/>
  <c r="AD72" i="1" s="1"/>
  <c r="K72" i="1"/>
  <c r="E72" i="1" s="1"/>
  <c r="L72" i="1"/>
  <c r="M72" i="1"/>
  <c r="N72" i="1"/>
  <c r="O72" i="1"/>
  <c r="P72" i="1"/>
  <c r="Q72" i="1"/>
  <c r="AK72" i="1" s="1"/>
  <c r="R72" i="1"/>
  <c r="H72" i="1" s="1"/>
  <c r="S72" i="1"/>
  <c r="T72" i="1"/>
  <c r="AF72" i="1"/>
  <c r="I73" i="1"/>
  <c r="J73" i="1"/>
  <c r="AD73" i="1" s="1"/>
  <c r="K73" i="1"/>
  <c r="E73" i="1" s="1"/>
  <c r="L73" i="1"/>
  <c r="M73" i="1"/>
  <c r="N73" i="1"/>
  <c r="O73" i="1"/>
  <c r="P73" i="1"/>
  <c r="Q73" i="1"/>
  <c r="AK73" i="1" s="1"/>
  <c r="R73" i="1"/>
  <c r="H73" i="1" s="1"/>
  <c r="S73" i="1"/>
  <c r="T73" i="1"/>
  <c r="AF73" i="1"/>
  <c r="I74" i="1"/>
  <c r="J74" i="1"/>
  <c r="AD74" i="1" s="1"/>
  <c r="K74" i="1"/>
  <c r="E74" i="1" s="1"/>
  <c r="L74" i="1"/>
  <c r="M74" i="1"/>
  <c r="N74" i="1"/>
  <c r="O74" i="1"/>
  <c r="P74" i="1"/>
  <c r="Q74" i="1"/>
  <c r="AK74" i="1" s="1"/>
  <c r="R74" i="1"/>
  <c r="H74" i="1" s="1"/>
  <c r="S74" i="1"/>
  <c r="T74" i="1"/>
  <c r="AF74" i="1"/>
  <c r="I75" i="1"/>
  <c r="J75" i="1"/>
  <c r="AD75" i="1" s="1"/>
  <c r="K75" i="1"/>
  <c r="E75" i="1" s="1"/>
  <c r="L75" i="1"/>
  <c r="M75" i="1"/>
  <c r="N75" i="1"/>
  <c r="O75" i="1"/>
  <c r="P75" i="1"/>
  <c r="Q75" i="1"/>
  <c r="AK75" i="1" s="1"/>
  <c r="R75" i="1"/>
  <c r="H75" i="1" s="1"/>
  <c r="S75" i="1"/>
  <c r="T75" i="1"/>
  <c r="AF75" i="1"/>
  <c r="I76" i="1"/>
  <c r="J76" i="1"/>
  <c r="AD76" i="1" s="1"/>
  <c r="K76" i="1"/>
  <c r="E76" i="1" s="1"/>
  <c r="L76" i="1"/>
  <c r="M76" i="1"/>
  <c r="N76" i="1"/>
  <c r="O76" i="1"/>
  <c r="P76" i="1"/>
  <c r="Q76" i="1"/>
  <c r="AK76" i="1" s="1"/>
  <c r="R76" i="1"/>
  <c r="H76" i="1" s="1"/>
  <c r="S76" i="1"/>
  <c r="T76" i="1"/>
  <c r="AF76" i="1"/>
  <c r="I77" i="1"/>
  <c r="J77" i="1"/>
  <c r="AD77" i="1" s="1"/>
  <c r="K77" i="1"/>
  <c r="E77" i="1" s="1"/>
  <c r="L77" i="1"/>
  <c r="M77" i="1"/>
  <c r="N77" i="1"/>
  <c r="O77" i="1"/>
  <c r="P77" i="1"/>
  <c r="Q77" i="1"/>
  <c r="AK77" i="1" s="1"/>
  <c r="R77" i="1"/>
  <c r="H77" i="1" s="1"/>
  <c r="S77" i="1"/>
  <c r="T77" i="1"/>
  <c r="AF77" i="1"/>
  <c r="I78" i="1"/>
  <c r="J78" i="1"/>
  <c r="AD78" i="1" s="1"/>
  <c r="K78" i="1"/>
  <c r="E78" i="1" s="1"/>
  <c r="L78" i="1"/>
  <c r="M78" i="1"/>
  <c r="N78" i="1"/>
  <c r="O78" i="1"/>
  <c r="P78" i="1"/>
  <c r="AJ78" i="1" s="1"/>
  <c r="Q78" i="1"/>
  <c r="AK78" i="1" s="1"/>
  <c r="R78" i="1"/>
  <c r="H78" i="1" s="1"/>
  <c r="S78" i="1"/>
  <c r="T78" i="1"/>
  <c r="AF78" i="1"/>
  <c r="I79" i="1"/>
  <c r="J79" i="1"/>
  <c r="AD79" i="1" s="1"/>
  <c r="K79" i="1"/>
  <c r="E79" i="1" s="1"/>
  <c r="L79" i="1"/>
  <c r="M79" i="1"/>
  <c r="N79" i="1"/>
  <c r="O79" i="1"/>
  <c r="P79" i="1"/>
  <c r="Q79" i="1"/>
  <c r="AK79" i="1" s="1"/>
  <c r="R79" i="1"/>
  <c r="H79" i="1" s="1"/>
  <c r="S79" i="1"/>
  <c r="T79" i="1"/>
  <c r="AF79" i="1"/>
  <c r="I80" i="1"/>
  <c r="J80" i="1"/>
  <c r="AD80" i="1" s="1"/>
  <c r="K80" i="1"/>
  <c r="E80" i="1" s="1"/>
  <c r="L80" i="1"/>
  <c r="M80" i="1"/>
  <c r="N80" i="1"/>
  <c r="O80" i="1"/>
  <c r="P80" i="1"/>
  <c r="Q80" i="1"/>
  <c r="AK80" i="1" s="1"/>
  <c r="R80" i="1"/>
  <c r="H80" i="1" s="1"/>
  <c r="S80" i="1"/>
  <c r="T80" i="1"/>
  <c r="AF80" i="1"/>
  <c r="I81" i="1"/>
  <c r="J81" i="1"/>
  <c r="AD81" i="1" s="1"/>
  <c r="K81" i="1"/>
  <c r="E81" i="1" s="1"/>
  <c r="L81" i="1"/>
  <c r="M81" i="1"/>
  <c r="N81" i="1"/>
  <c r="O81" i="1"/>
  <c r="P81" i="1"/>
  <c r="Q81" i="1"/>
  <c r="AK81" i="1" s="1"/>
  <c r="R81" i="1"/>
  <c r="H81" i="1" s="1"/>
  <c r="S81" i="1"/>
  <c r="T81" i="1"/>
  <c r="AF81" i="1"/>
  <c r="I82" i="1"/>
  <c r="J82" i="1"/>
  <c r="AD82" i="1" s="1"/>
  <c r="K82" i="1"/>
  <c r="E82" i="1" s="1"/>
  <c r="L82" i="1"/>
  <c r="M82" i="1"/>
  <c r="N82" i="1"/>
  <c r="O82" i="1"/>
  <c r="P82" i="1"/>
  <c r="Q82" i="1"/>
  <c r="AK82" i="1" s="1"/>
  <c r="R82" i="1"/>
  <c r="H82" i="1" s="1"/>
  <c r="S82" i="1"/>
  <c r="T82" i="1"/>
  <c r="AF82" i="1"/>
  <c r="I83" i="1"/>
  <c r="J83" i="1"/>
  <c r="AD83" i="1" s="1"/>
  <c r="K83" i="1"/>
  <c r="E83" i="1" s="1"/>
  <c r="L83" i="1"/>
  <c r="M83" i="1"/>
  <c r="N83" i="1"/>
  <c r="O83" i="1"/>
  <c r="P83" i="1"/>
  <c r="AJ83" i="1" s="1"/>
  <c r="Q83" i="1"/>
  <c r="AK83" i="1" s="1"/>
  <c r="R83" i="1"/>
  <c r="H83" i="1" s="1"/>
  <c r="S83" i="1"/>
  <c r="T83" i="1"/>
  <c r="AF83" i="1"/>
  <c r="I84" i="1"/>
  <c r="J84" i="1"/>
  <c r="AD84" i="1" s="1"/>
  <c r="K84" i="1"/>
  <c r="E84" i="1" s="1"/>
  <c r="L84" i="1"/>
  <c r="M84" i="1"/>
  <c r="N84" i="1"/>
  <c r="O84" i="1"/>
  <c r="P84" i="1"/>
  <c r="Q84" i="1"/>
  <c r="AK84" i="1" s="1"/>
  <c r="R84" i="1"/>
  <c r="H84" i="1" s="1"/>
  <c r="S84" i="1"/>
  <c r="T84" i="1"/>
  <c r="AF84" i="1"/>
  <c r="I85" i="1"/>
  <c r="J85" i="1"/>
  <c r="AD85" i="1" s="1"/>
  <c r="K85" i="1"/>
  <c r="E85" i="1" s="1"/>
  <c r="L85" i="1"/>
  <c r="M85" i="1"/>
  <c r="N85" i="1"/>
  <c r="O85" i="1"/>
  <c r="P85" i="1"/>
  <c r="Q85" i="1"/>
  <c r="AK85" i="1" s="1"/>
  <c r="R85" i="1"/>
  <c r="H85" i="1" s="1"/>
  <c r="S85" i="1"/>
  <c r="T85" i="1"/>
  <c r="AF85" i="1"/>
  <c r="I86" i="1"/>
  <c r="J86" i="1"/>
  <c r="AD86" i="1" s="1"/>
  <c r="K86" i="1"/>
  <c r="E86" i="1" s="1"/>
  <c r="L86" i="1"/>
  <c r="M86" i="1"/>
  <c r="N86" i="1"/>
  <c r="O86" i="1"/>
  <c r="P86" i="1"/>
  <c r="Q86" i="1"/>
  <c r="AK86" i="1" s="1"/>
  <c r="R86" i="1"/>
  <c r="H86" i="1" s="1"/>
  <c r="S86" i="1"/>
  <c r="T86" i="1"/>
  <c r="AF86" i="1"/>
  <c r="I87" i="1"/>
  <c r="J87" i="1"/>
  <c r="AD87" i="1" s="1"/>
  <c r="K87" i="1"/>
  <c r="E87" i="1" s="1"/>
  <c r="L87" i="1"/>
  <c r="M87" i="1"/>
  <c r="N87" i="1"/>
  <c r="O87" i="1"/>
  <c r="P87" i="1"/>
  <c r="Q87" i="1"/>
  <c r="AK87" i="1" s="1"/>
  <c r="R87" i="1"/>
  <c r="H87" i="1" s="1"/>
  <c r="S87" i="1"/>
  <c r="T87" i="1"/>
  <c r="AF87" i="1"/>
  <c r="I88" i="1"/>
  <c r="J88" i="1"/>
  <c r="AD88" i="1" s="1"/>
  <c r="K88" i="1"/>
  <c r="E88" i="1" s="1"/>
  <c r="L88" i="1"/>
  <c r="M88" i="1"/>
  <c r="N88" i="1"/>
  <c r="O88" i="1"/>
  <c r="P88" i="1"/>
  <c r="Q88" i="1"/>
  <c r="AK88" i="1" s="1"/>
  <c r="R88" i="1"/>
  <c r="H88" i="1" s="1"/>
  <c r="S88" i="1"/>
  <c r="T88" i="1"/>
  <c r="AF88" i="1"/>
  <c r="I89" i="1"/>
  <c r="J89" i="1"/>
  <c r="AD89" i="1" s="1"/>
  <c r="K89" i="1"/>
  <c r="E89" i="1" s="1"/>
  <c r="L89" i="1"/>
  <c r="M89" i="1"/>
  <c r="N89" i="1"/>
  <c r="O89" i="1"/>
  <c r="P89" i="1"/>
  <c r="Q89" i="1"/>
  <c r="AK89" i="1" s="1"/>
  <c r="R89" i="1"/>
  <c r="H89" i="1" s="1"/>
  <c r="S89" i="1"/>
  <c r="T89" i="1"/>
  <c r="AF89" i="1"/>
  <c r="I90" i="1"/>
  <c r="J90" i="1"/>
  <c r="AD90" i="1" s="1"/>
  <c r="K90" i="1"/>
  <c r="E90" i="1" s="1"/>
  <c r="L90" i="1"/>
  <c r="M90" i="1"/>
  <c r="N90" i="1"/>
  <c r="O90" i="1"/>
  <c r="P90" i="1"/>
  <c r="Q90" i="1"/>
  <c r="AK90" i="1" s="1"/>
  <c r="R90" i="1"/>
  <c r="H90" i="1" s="1"/>
  <c r="S90" i="1"/>
  <c r="T90" i="1"/>
  <c r="AF90" i="1"/>
  <c r="I91" i="1"/>
  <c r="J91" i="1"/>
  <c r="AD91" i="1" s="1"/>
  <c r="K91" i="1"/>
  <c r="E91" i="1" s="1"/>
  <c r="L91" i="1"/>
  <c r="M91" i="1"/>
  <c r="N91" i="1"/>
  <c r="O91" i="1"/>
  <c r="P91" i="1"/>
  <c r="Q91" i="1"/>
  <c r="AK91" i="1" s="1"/>
  <c r="R91" i="1"/>
  <c r="H91" i="1" s="1"/>
  <c r="S91" i="1"/>
  <c r="T91" i="1"/>
  <c r="AF91" i="1"/>
  <c r="I92" i="1"/>
  <c r="J92" i="1"/>
  <c r="AD92" i="1" s="1"/>
  <c r="K92" i="1"/>
  <c r="E92" i="1" s="1"/>
  <c r="L92" i="1"/>
  <c r="M92" i="1"/>
  <c r="N92" i="1"/>
  <c r="O92" i="1"/>
  <c r="P92" i="1"/>
  <c r="Q92" i="1"/>
  <c r="AK92" i="1" s="1"/>
  <c r="R92" i="1"/>
  <c r="H92" i="1" s="1"/>
  <c r="S92" i="1"/>
  <c r="T92" i="1"/>
  <c r="AF92" i="1"/>
  <c r="I93" i="1"/>
  <c r="J93" i="1"/>
  <c r="AD93" i="1" s="1"/>
  <c r="K93" i="1"/>
  <c r="E93" i="1" s="1"/>
  <c r="L93" i="1"/>
  <c r="M93" i="1"/>
  <c r="N93" i="1"/>
  <c r="O93" i="1"/>
  <c r="P93" i="1"/>
  <c r="AJ93" i="1" s="1"/>
  <c r="Q93" i="1"/>
  <c r="AK93" i="1" s="1"/>
  <c r="R93" i="1"/>
  <c r="H93" i="1" s="1"/>
  <c r="S93" i="1"/>
  <c r="T93" i="1"/>
  <c r="AF93" i="1"/>
  <c r="I94" i="1"/>
  <c r="J94" i="1"/>
  <c r="AD94" i="1" s="1"/>
  <c r="K94" i="1"/>
  <c r="E94" i="1" s="1"/>
  <c r="L94" i="1"/>
  <c r="M94" i="1"/>
  <c r="N94" i="1"/>
  <c r="O94" i="1"/>
  <c r="P94" i="1"/>
  <c r="AJ94" i="1" s="1"/>
  <c r="Q94" i="1"/>
  <c r="AK94" i="1" s="1"/>
  <c r="R94" i="1"/>
  <c r="H94" i="1" s="1"/>
  <c r="S94" i="1"/>
  <c r="T94" i="1"/>
  <c r="AF94" i="1"/>
  <c r="I95" i="1"/>
  <c r="J95" i="1"/>
  <c r="AD95" i="1" s="1"/>
  <c r="K95" i="1"/>
  <c r="E95" i="1" s="1"/>
  <c r="L95" i="1"/>
  <c r="M95" i="1"/>
  <c r="N95" i="1"/>
  <c r="O95" i="1"/>
  <c r="P95" i="1"/>
  <c r="Q95" i="1"/>
  <c r="AK95" i="1" s="1"/>
  <c r="R95" i="1"/>
  <c r="H95" i="1" s="1"/>
  <c r="S95" i="1"/>
  <c r="T95" i="1"/>
  <c r="AF95" i="1"/>
  <c r="I96" i="1"/>
  <c r="J96" i="1"/>
  <c r="AD96" i="1" s="1"/>
  <c r="K96" i="1"/>
  <c r="E96" i="1" s="1"/>
  <c r="L96" i="1"/>
  <c r="M96" i="1"/>
  <c r="N96" i="1"/>
  <c r="O96" i="1"/>
  <c r="P96" i="1"/>
  <c r="Q96" i="1"/>
  <c r="AK96" i="1" s="1"/>
  <c r="R96" i="1"/>
  <c r="H96" i="1" s="1"/>
  <c r="S96" i="1"/>
  <c r="T96" i="1"/>
  <c r="AF96" i="1"/>
  <c r="I97" i="1"/>
  <c r="J97" i="1"/>
  <c r="AD97" i="1" s="1"/>
  <c r="K97" i="1"/>
  <c r="E97" i="1" s="1"/>
  <c r="L97" i="1"/>
  <c r="M97" i="1"/>
  <c r="N97" i="1"/>
  <c r="O97" i="1"/>
  <c r="P97" i="1"/>
  <c r="Q97" i="1"/>
  <c r="AK97" i="1" s="1"/>
  <c r="R97" i="1"/>
  <c r="H97" i="1" s="1"/>
  <c r="S97" i="1"/>
  <c r="T97" i="1"/>
  <c r="AF97" i="1"/>
  <c r="I98" i="1"/>
  <c r="J98" i="1"/>
  <c r="AD98" i="1" s="1"/>
  <c r="K98" i="1"/>
  <c r="E98" i="1" s="1"/>
  <c r="L98" i="1"/>
  <c r="M98" i="1"/>
  <c r="N98" i="1"/>
  <c r="O98" i="1"/>
  <c r="P98" i="1"/>
  <c r="Q98" i="1"/>
  <c r="AK98" i="1" s="1"/>
  <c r="R98" i="1"/>
  <c r="H98" i="1" s="1"/>
  <c r="S98" i="1"/>
  <c r="T98" i="1"/>
  <c r="AF98" i="1"/>
  <c r="I99" i="1"/>
  <c r="J99" i="1"/>
  <c r="AD99" i="1" s="1"/>
  <c r="K99" i="1"/>
  <c r="E99" i="1" s="1"/>
  <c r="L99" i="1"/>
  <c r="M99" i="1"/>
  <c r="N99" i="1"/>
  <c r="O99" i="1"/>
  <c r="P99" i="1"/>
  <c r="Q99" i="1"/>
  <c r="AK99" i="1" s="1"/>
  <c r="R99" i="1"/>
  <c r="H99" i="1" s="1"/>
  <c r="S99" i="1"/>
  <c r="T99" i="1"/>
  <c r="AF99" i="1"/>
  <c r="I100" i="1"/>
  <c r="J100" i="1"/>
  <c r="AD100" i="1" s="1"/>
  <c r="K100" i="1"/>
  <c r="E100" i="1" s="1"/>
  <c r="L100" i="1"/>
  <c r="M100" i="1"/>
  <c r="N100" i="1"/>
  <c r="O100" i="1"/>
  <c r="P100" i="1"/>
  <c r="AJ100" i="1" s="1"/>
  <c r="Q100" i="1"/>
  <c r="AK100" i="1" s="1"/>
  <c r="R100" i="1"/>
  <c r="H100" i="1" s="1"/>
  <c r="S100" i="1"/>
  <c r="T100" i="1"/>
  <c r="AF100" i="1"/>
  <c r="I101" i="1"/>
  <c r="J101" i="1"/>
  <c r="AD101" i="1" s="1"/>
  <c r="K101" i="1"/>
  <c r="E101" i="1" s="1"/>
  <c r="L101" i="1"/>
  <c r="M101" i="1"/>
  <c r="N101" i="1"/>
  <c r="O101" i="1"/>
  <c r="P101" i="1"/>
  <c r="Q101" i="1"/>
  <c r="AK101" i="1" s="1"/>
  <c r="R101" i="1"/>
  <c r="H101" i="1" s="1"/>
  <c r="S101" i="1"/>
  <c r="T101" i="1"/>
  <c r="AF101" i="1"/>
  <c r="I102" i="1"/>
  <c r="J102" i="1"/>
  <c r="AD102" i="1" s="1"/>
  <c r="K102" i="1"/>
  <c r="E102" i="1" s="1"/>
  <c r="L102" i="1"/>
  <c r="M102" i="1"/>
  <c r="N102" i="1"/>
  <c r="O102" i="1"/>
  <c r="P102" i="1"/>
  <c r="Q102" i="1"/>
  <c r="AK102" i="1" s="1"/>
  <c r="R102" i="1"/>
  <c r="H102" i="1" s="1"/>
  <c r="S102" i="1"/>
  <c r="T102" i="1"/>
  <c r="AF102" i="1"/>
  <c r="I103" i="1"/>
  <c r="J103" i="1"/>
  <c r="AD103" i="1" s="1"/>
  <c r="K103" i="1"/>
  <c r="E103" i="1" s="1"/>
  <c r="L103" i="1"/>
  <c r="M103" i="1"/>
  <c r="N103" i="1"/>
  <c r="O103" i="1"/>
  <c r="P103" i="1"/>
  <c r="Q103" i="1"/>
  <c r="AK103" i="1" s="1"/>
  <c r="R103" i="1"/>
  <c r="H103" i="1" s="1"/>
  <c r="S103" i="1"/>
  <c r="T103" i="1"/>
  <c r="AF103" i="1"/>
  <c r="I104" i="1"/>
  <c r="J104" i="1"/>
  <c r="AD104" i="1" s="1"/>
  <c r="K104" i="1"/>
  <c r="E104" i="1" s="1"/>
  <c r="L104" i="1"/>
  <c r="M104" i="1"/>
  <c r="N104" i="1"/>
  <c r="O104" i="1"/>
  <c r="P104" i="1"/>
  <c r="Q104" i="1"/>
  <c r="AK104" i="1" s="1"/>
  <c r="R104" i="1"/>
  <c r="H104" i="1" s="1"/>
  <c r="S104" i="1"/>
  <c r="T104" i="1"/>
  <c r="AF104" i="1"/>
  <c r="I105" i="1"/>
  <c r="J105" i="1"/>
  <c r="AD105" i="1" s="1"/>
  <c r="K105" i="1"/>
  <c r="E105" i="1" s="1"/>
  <c r="L105" i="1"/>
  <c r="M105" i="1"/>
  <c r="N105" i="1"/>
  <c r="O105" i="1"/>
  <c r="P105" i="1"/>
  <c r="Q105" i="1"/>
  <c r="AK105" i="1" s="1"/>
  <c r="R105" i="1"/>
  <c r="H105" i="1" s="1"/>
  <c r="S105" i="1"/>
  <c r="T105" i="1"/>
  <c r="AF105" i="1"/>
  <c r="I106" i="1"/>
  <c r="J106" i="1"/>
  <c r="AD106" i="1" s="1"/>
  <c r="K106" i="1"/>
  <c r="E106" i="1" s="1"/>
  <c r="L106" i="1"/>
  <c r="M106" i="1"/>
  <c r="N106" i="1"/>
  <c r="O106" i="1"/>
  <c r="P106" i="1"/>
  <c r="Q106" i="1"/>
  <c r="AK106" i="1" s="1"/>
  <c r="R106" i="1"/>
  <c r="H106" i="1" s="1"/>
  <c r="S106" i="1"/>
  <c r="T106" i="1"/>
  <c r="AF106" i="1"/>
  <c r="I107" i="1"/>
  <c r="J107" i="1"/>
  <c r="AD107" i="1" s="1"/>
  <c r="K107" i="1"/>
  <c r="E107" i="1" s="1"/>
  <c r="L107" i="1"/>
  <c r="M107" i="1"/>
  <c r="N107" i="1"/>
  <c r="O107" i="1"/>
  <c r="P107" i="1"/>
  <c r="AJ107" i="1" s="1"/>
  <c r="Q107" i="1"/>
  <c r="AK107" i="1" s="1"/>
  <c r="R107" i="1"/>
  <c r="H107" i="1" s="1"/>
  <c r="S107" i="1"/>
  <c r="T107" i="1"/>
  <c r="AF107" i="1"/>
  <c r="I108" i="1"/>
  <c r="J108" i="1"/>
  <c r="AD108" i="1" s="1"/>
  <c r="K108" i="1"/>
  <c r="E108" i="1" s="1"/>
  <c r="L108" i="1"/>
  <c r="M108" i="1"/>
  <c r="N108" i="1"/>
  <c r="O108" i="1"/>
  <c r="P108" i="1"/>
  <c r="Q108" i="1"/>
  <c r="AK108" i="1" s="1"/>
  <c r="R108" i="1"/>
  <c r="H108" i="1" s="1"/>
  <c r="S108" i="1"/>
  <c r="T108" i="1"/>
  <c r="AF108" i="1"/>
  <c r="I109" i="1"/>
  <c r="J109" i="1"/>
  <c r="AD109" i="1" s="1"/>
  <c r="K109" i="1"/>
  <c r="E109" i="1" s="1"/>
  <c r="L109" i="1"/>
  <c r="M109" i="1"/>
  <c r="N109" i="1"/>
  <c r="O109" i="1"/>
  <c r="P109" i="1"/>
  <c r="AJ109" i="1" s="1"/>
  <c r="Q109" i="1"/>
  <c r="AK109" i="1" s="1"/>
  <c r="R109" i="1"/>
  <c r="H109" i="1" s="1"/>
  <c r="S109" i="1"/>
  <c r="T109" i="1"/>
  <c r="AF109" i="1"/>
  <c r="I110" i="1"/>
  <c r="J110" i="1"/>
  <c r="AD110" i="1" s="1"/>
  <c r="K110" i="1"/>
  <c r="E110" i="1" s="1"/>
  <c r="L110" i="1"/>
  <c r="M110" i="1"/>
  <c r="N110" i="1"/>
  <c r="O110" i="1"/>
  <c r="P110" i="1"/>
  <c r="AJ110" i="1" s="1"/>
  <c r="Q110" i="1"/>
  <c r="AK110" i="1" s="1"/>
  <c r="R110" i="1"/>
  <c r="H110" i="1" s="1"/>
  <c r="S110" i="1"/>
  <c r="T110" i="1"/>
  <c r="AF110" i="1"/>
  <c r="I111" i="1"/>
  <c r="J111" i="1"/>
  <c r="AD111" i="1" s="1"/>
  <c r="K111" i="1"/>
  <c r="E111" i="1" s="1"/>
  <c r="L111" i="1"/>
  <c r="M111" i="1"/>
  <c r="N111" i="1"/>
  <c r="O111" i="1"/>
  <c r="P111" i="1"/>
  <c r="Q111" i="1"/>
  <c r="AK111" i="1" s="1"/>
  <c r="R111" i="1"/>
  <c r="H111" i="1" s="1"/>
  <c r="S111" i="1"/>
  <c r="T111" i="1"/>
  <c r="AF111" i="1"/>
  <c r="I112" i="1"/>
  <c r="J112" i="1"/>
  <c r="AD112" i="1" s="1"/>
  <c r="K112" i="1"/>
  <c r="E112" i="1" s="1"/>
  <c r="L112" i="1"/>
  <c r="M112" i="1"/>
  <c r="N112" i="1"/>
  <c r="O112" i="1"/>
  <c r="P112" i="1"/>
  <c r="Q112" i="1"/>
  <c r="AK112" i="1" s="1"/>
  <c r="R112" i="1"/>
  <c r="H112" i="1" s="1"/>
  <c r="S112" i="1"/>
  <c r="T112" i="1"/>
  <c r="AF112" i="1"/>
  <c r="I113" i="1"/>
  <c r="J113" i="1"/>
  <c r="AD113" i="1" s="1"/>
  <c r="K113" i="1"/>
  <c r="E113" i="1" s="1"/>
  <c r="L113" i="1"/>
  <c r="M113" i="1"/>
  <c r="N113" i="1"/>
  <c r="O113" i="1"/>
  <c r="P113" i="1"/>
  <c r="AJ113" i="1" s="1"/>
  <c r="Q113" i="1"/>
  <c r="AK113" i="1" s="1"/>
  <c r="R113" i="1"/>
  <c r="H113" i="1" s="1"/>
  <c r="S113" i="1"/>
  <c r="T113" i="1"/>
  <c r="AF113" i="1"/>
  <c r="I114" i="1"/>
  <c r="J114" i="1"/>
  <c r="AD114" i="1" s="1"/>
  <c r="K114" i="1"/>
  <c r="E114" i="1" s="1"/>
  <c r="L114" i="1"/>
  <c r="M114" i="1"/>
  <c r="N114" i="1"/>
  <c r="O114" i="1"/>
  <c r="P114" i="1"/>
  <c r="Q114" i="1"/>
  <c r="AK114" i="1" s="1"/>
  <c r="R114" i="1"/>
  <c r="H114" i="1" s="1"/>
  <c r="S114" i="1"/>
  <c r="T114" i="1"/>
  <c r="AF114" i="1"/>
  <c r="I115" i="1"/>
  <c r="J115" i="1"/>
  <c r="AD115" i="1" s="1"/>
  <c r="K115" i="1"/>
  <c r="E115" i="1" s="1"/>
  <c r="L115" i="1"/>
  <c r="M115" i="1"/>
  <c r="N115" i="1"/>
  <c r="O115" i="1"/>
  <c r="P115" i="1"/>
  <c r="Q115" i="1"/>
  <c r="AK115" i="1" s="1"/>
  <c r="R115" i="1"/>
  <c r="H115" i="1" s="1"/>
  <c r="S115" i="1"/>
  <c r="T115" i="1"/>
  <c r="AF115" i="1"/>
  <c r="I116" i="1"/>
  <c r="J116" i="1"/>
  <c r="AD116" i="1" s="1"/>
  <c r="K116" i="1"/>
  <c r="E116" i="1" s="1"/>
  <c r="L116" i="1"/>
  <c r="M116" i="1"/>
  <c r="N116" i="1"/>
  <c r="O116" i="1"/>
  <c r="P116" i="1"/>
  <c r="Q116" i="1"/>
  <c r="AK116" i="1" s="1"/>
  <c r="R116" i="1"/>
  <c r="H116" i="1" s="1"/>
  <c r="S116" i="1"/>
  <c r="T116" i="1"/>
  <c r="AF116" i="1"/>
  <c r="I117" i="1"/>
  <c r="J117" i="1"/>
  <c r="AD117" i="1" s="1"/>
  <c r="K117" i="1"/>
  <c r="E117" i="1" s="1"/>
  <c r="L117" i="1"/>
  <c r="M117" i="1"/>
  <c r="N117" i="1"/>
  <c r="O117" i="1"/>
  <c r="P117" i="1"/>
  <c r="Q117" i="1"/>
  <c r="AK117" i="1" s="1"/>
  <c r="R117" i="1"/>
  <c r="H117" i="1" s="1"/>
  <c r="S117" i="1"/>
  <c r="T117" i="1"/>
  <c r="AF117" i="1"/>
  <c r="I118" i="1"/>
  <c r="J118" i="1"/>
  <c r="AD118" i="1" s="1"/>
  <c r="K118" i="1"/>
  <c r="E118" i="1" s="1"/>
  <c r="L118" i="1"/>
  <c r="M118" i="1"/>
  <c r="N118" i="1"/>
  <c r="O118" i="1"/>
  <c r="P118" i="1"/>
  <c r="Q118" i="1"/>
  <c r="AK118" i="1" s="1"/>
  <c r="R118" i="1"/>
  <c r="H118" i="1" s="1"/>
  <c r="S118" i="1"/>
  <c r="T118" i="1"/>
  <c r="AF118" i="1"/>
  <c r="I119" i="1"/>
  <c r="J119" i="1"/>
  <c r="AD119" i="1" s="1"/>
  <c r="K119" i="1"/>
  <c r="E119" i="1" s="1"/>
  <c r="L119" i="1"/>
  <c r="M119" i="1"/>
  <c r="N119" i="1"/>
  <c r="O119" i="1"/>
  <c r="P119" i="1"/>
  <c r="Q119" i="1"/>
  <c r="AK119" i="1" s="1"/>
  <c r="R119" i="1"/>
  <c r="H119" i="1" s="1"/>
  <c r="S119" i="1"/>
  <c r="T119" i="1"/>
  <c r="AF119" i="1"/>
  <c r="I120" i="1"/>
  <c r="J120" i="1"/>
  <c r="AD120" i="1" s="1"/>
  <c r="K120" i="1"/>
  <c r="E120" i="1" s="1"/>
  <c r="L120" i="1"/>
  <c r="M120" i="1"/>
  <c r="N120" i="1"/>
  <c r="O120" i="1"/>
  <c r="P120" i="1"/>
  <c r="Q120" i="1"/>
  <c r="AK120" i="1" s="1"/>
  <c r="R120" i="1"/>
  <c r="H120" i="1" s="1"/>
  <c r="S120" i="1"/>
  <c r="T120" i="1"/>
  <c r="AF120" i="1"/>
  <c r="I121" i="1"/>
  <c r="J121" i="1"/>
  <c r="AD121" i="1" s="1"/>
  <c r="K121" i="1"/>
  <c r="E121" i="1" s="1"/>
  <c r="L121" i="1"/>
  <c r="M121" i="1"/>
  <c r="N121" i="1"/>
  <c r="O121" i="1"/>
  <c r="P121" i="1"/>
  <c r="Q121" i="1"/>
  <c r="AK121" i="1" s="1"/>
  <c r="R121" i="1"/>
  <c r="H121" i="1" s="1"/>
  <c r="S121" i="1"/>
  <c r="T121" i="1"/>
  <c r="AF121" i="1"/>
  <c r="I122" i="1"/>
  <c r="J122" i="1"/>
  <c r="AD122" i="1" s="1"/>
  <c r="K122" i="1"/>
  <c r="E122" i="1" s="1"/>
  <c r="L122" i="1"/>
  <c r="M122" i="1"/>
  <c r="N122" i="1"/>
  <c r="O122" i="1"/>
  <c r="P122" i="1"/>
  <c r="Q122" i="1"/>
  <c r="AK122" i="1" s="1"/>
  <c r="R122" i="1"/>
  <c r="H122" i="1" s="1"/>
  <c r="S122" i="1"/>
  <c r="T122" i="1"/>
  <c r="AF122" i="1"/>
  <c r="I123" i="1"/>
  <c r="J123" i="1"/>
  <c r="AD123" i="1" s="1"/>
  <c r="K123" i="1"/>
  <c r="E123" i="1" s="1"/>
  <c r="L123" i="1"/>
  <c r="M123" i="1"/>
  <c r="N123" i="1"/>
  <c r="O123" i="1"/>
  <c r="P123" i="1"/>
  <c r="AJ123" i="1" s="1"/>
  <c r="Q123" i="1"/>
  <c r="AK123" i="1" s="1"/>
  <c r="R123" i="1"/>
  <c r="H123" i="1" s="1"/>
  <c r="S123" i="1"/>
  <c r="T123" i="1"/>
  <c r="AF123" i="1"/>
  <c r="I124" i="1"/>
  <c r="J124" i="1"/>
  <c r="AD124" i="1" s="1"/>
  <c r="K124" i="1"/>
  <c r="E124" i="1" s="1"/>
  <c r="L124" i="1"/>
  <c r="M124" i="1"/>
  <c r="N124" i="1"/>
  <c r="O124" i="1"/>
  <c r="P124" i="1"/>
  <c r="Q124" i="1"/>
  <c r="AK124" i="1" s="1"/>
  <c r="R124" i="1"/>
  <c r="H124" i="1" s="1"/>
  <c r="S124" i="1"/>
  <c r="T124" i="1"/>
  <c r="AF124" i="1"/>
  <c r="I125" i="1"/>
  <c r="J125" i="1"/>
  <c r="AD125" i="1" s="1"/>
  <c r="K125" i="1"/>
  <c r="E125" i="1" s="1"/>
  <c r="L125" i="1"/>
  <c r="M125" i="1"/>
  <c r="N125" i="1"/>
  <c r="O125" i="1"/>
  <c r="P125" i="1"/>
  <c r="AJ125" i="1" s="1"/>
  <c r="Q125" i="1"/>
  <c r="AK125" i="1" s="1"/>
  <c r="R125" i="1"/>
  <c r="H125" i="1" s="1"/>
  <c r="S125" i="1"/>
  <c r="T125" i="1"/>
  <c r="AF125" i="1"/>
  <c r="I126" i="1"/>
  <c r="J126" i="1"/>
  <c r="AD126" i="1" s="1"/>
  <c r="K126" i="1"/>
  <c r="E126" i="1" s="1"/>
  <c r="L126" i="1"/>
  <c r="M126" i="1"/>
  <c r="N126" i="1"/>
  <c r="O126" i="1"/>
  <c r="P126" i="1"/>
  <c r="Q126" i="1"/>
  <c r="AK126" i="1" s="1"/>
  <c r="R126" i="1"/>
  <c r="H126" i="1" s="1"/>
  <c r="S126" i="1"/>
  <c r="T126" i="1"/>
  <c r="AF126" i="1"/>
  <c r="I127" i="1"/>
  <c r="J127" i="1"/>
  <c r="AD127" i="1" s="1"/>
  <c r="K127" i="1"/>
  <c r="E127" i="1" s="1"/>
  <c r="L127" i="1"/>
  <c r="M127" i="1"/>
  <c r="N127" i="1"/>
  <c r="O127" i="1"/>
  <c r="P127" i="1"/>
  <c r="AJ127" i="1" s="1"/>
  <c r="Q127" i="1"/>
  <c r="AK127" i="1" s="1"/>
  <c r="R127" i="1"/>
  <c r="H127" i="1" s="1"/>
  <c r="S127" i="1"/>
  <c r="T127" i="1"/>
  <c r="AF127" i="1"/>
  <c r="I128" i="1"/>
  <c r="J128" i="1"/>
  <c r="AD128" i="1" s="1"/>
  <c r="K128" i="1"/>
  <c r="E128" i="1" s="1"/>
  <c r="L128" i="1"/>
  <c r="M128" i="1"/>
  <c r="N128" i="1"/>
  <c r="O128" i="1"/>
  <c r="P128" i="1"/>
  <c r="Q128" i="1"/>
  <c r="AK128" i="1" s="1"/>
  <c r="R128" i="1"/>
  <c r="H128" i="1" s="1"/>
  <c r="S128" i="1"/>
  <c r="T128" i="1"/>
  <c r="AF128" i="1"/>
  <c r="I129" i="1"/>
  <c r="J129" i="1"/>
  <c r="AD129" i="1" s="1"/>
  <c r="K129" i="1"/>
  <c r="E129" i="1" s="1"/>
  <c r="L129" i="1"/>
  <c r="M129" i="1"/>
  <c r="N129" i="1"/>
  <c r="O129" i="1"/>
  <c r="P129" i="1"/>
  <c r="AJ129" i="1" s="1"/>
  <c r="Q129" i="1"/>
  <c r="AK129" i="1" s="1"/>
  <c r="R129" i="1"/>
  <c r="H129" i="1" s="1"/>
  <c r="S129" i="1"/>
  <c r="T129" i="1"/>
  <c r="AF129" i="1"/>
  <c r="I130" i="1"/>
  <c r="J130" i="1"/>
  <c r="AD130" i="1" s="1"/>
  <c r="K130" i="1"/>
  <c r="E130" i="1" s="1"/>
  <c r="L130" i="1"/>
  <c r="M130" i="1"/>
  <c r="N130" i="1"/>
  <c r="O130" i="1"/>
  <c r="P130" i="1"/>
  <c r="Q130" i="1"/>
  <c r="AK130" i="1" s="1"/>
  <c r="R130" i="1"/>
  <c r="H130" i="1" s="1"/>
  <c r="S130" i="1"/>
  <c r="T130" i="1"/>
  <c r="AF130" i="1"/>
  <c r="I131" i="1"/>
  <c r="J131" i="1"/>
  <c r="AD131" i="1" s="1"/>
  <c r="K131" i="1"/>
  <c r="E131" i="1" s="1"/>
  <c r="L131" i="1"/>
  <c r="M131" i="1"/>
  <c r="N131" i="1"/>
  <c r="O131" i="1"/>
  <c r="P131" i="1"/>
  <c r="Q131" i="1"/>
  <c r="AK131" i="1" s="1"/>
  <c r="R131" i="1"/>
  <c r="H131" i="1" s="1"/>
  <c r="S131" i="1"/>
  <c r="T131" i="1"/>
  <c r="AF131" i="1"/>
  <c r="I132" i="1"/>
  <c r="J132" i="1"/>
  <c r="AD132" i="1" s="1"/>
  <c r="K132" i="1"/>
  <c r="E132" i="1" s="1"/>
  <c r="L132" i="1"/>
  <c r="M132" i="1"/>
  <c r="N132" i="1"/>
  <c r="O132" i="1"/>
  <c r="P132" i="1"/>
  <c r="AJ132" i="1" s="1"/>
  <c r="Q132" i="1"/>
  <c r="AK132" i="1" s="1"/>
  <c r="R132" i="1"/>
  <c r="H132" i="1" s="1"/>
  <c r="S132" i="1"/>
  <c r="T132" i="1"/>
  <c r="AF132" i="1"/>
  <c r="I133" i="1"/>
  <c r="J133" i="1"/>
  <c r="AD133" i="1" s="1"/>
  <c r="K133" i="1"/>
  <c r="E133" i="1" s="1"/>
  <c r="L133" i="1"/>
  <c r="M133" i="1"/>
  <c r="N133" i="1"/>
  <c r="O133" i="1"/>
  <c r="P133" i="1"/>
  <c r="Q133" i="1"/>
  <c r="AK133" i="1" s="1"/>
  <c r="R133" i="1"/>
  <c r="H133" i="1" s="1"/>
  <c r="S133" i="1"/>
  <c r="T133" i="1"/>
  <c r="AF133" i="1"/>
  <c r="I134" i="1"/>
  <c r="J134" i="1"/>
  <c r="AD134" i="1" s="1"/>
  <c r="K134" i="1"/>
  <c r="E134" i="1" s="1"/>
  <c r="L134" i="1"/>
  <c r="M134" i="1"/>
  <c r="N134" i="1"/>
  <c r="O134" i="1"/>
  <c r="P134" i="1"/>
  <c r="Q134" i="1"/>
  <c r="AK134" i="1" s="1"/>
  <c r="R134" i="1"/>
  <c r="H134" i="1" s="1"/>
  <c r="S134" i="1"/>
  <c r="T134" i="1"/>
  <c r="AF134" i="1"/>
  <c r="I135" i="1"/>
  <c r="J135" i="1"/>
  <c r="AD135" i="1" s="1"/>
  <c r="K135" i="1"/>
  <c r="E135" i="1" s="1"/>
  <c r="L135" i="1"/>
  <c r="M135" i="1"/>
  <c r="N135" i="1"/>
  <c r="O135" i="1"/>
  <c r="P135" i="1"/>
  <c r="Q135" i="1"/>
  <c r="AK135" i="1" s="1"/>
  <c r="R135" i="1"/>
  <c r="H135" i="1" s="1"/>
  <c r="S135" i="1"/>
  <c r="T135" i="1"/>
  <c r="AF135" i="1"/>
  <c r="I136" i="1"/>
  <c r="J136" i="1"/>
  <c r="AD136" i="1" s="1"/>
  <c r="K136" i="1"/>
  <c r="E136" i="1" s="1"/>
  <c r="L136" i="1"/>
  <c r="M136" i="1"/>
  <c r="N136" i="1"/>
  <c r="O136" i="1"/>
  <c r="P136" i="1"/>
  <c r="Q136" i="1"/>
  <c r="AK136" i="1" s="1"/>
  <c r="R136" i="1"/>
  <c r="H136" i="1" s="1"/>
  <c r="S136" i="1"/>
  <c r="T136" i="1"/>
  <c r="AF136" i="1"/>
  <c r="I137" i="1"/>
  <c r="J137" i="1"/>
  <c r="AD137" i="1" s="1"/>
  <c r="K137" i="1"/>
  <c r="E137" i="1" s="1"/>
  <c r="L137" i="1"/>
  <c r="M137" i="1"/>
  <c r="N137" i="1"/>
  <c r="O137" i="1"/>
  <c r="P137" i="1"/>
  <c r="Q137" i="1"/>
  <c r="AK137" i="1" s="1"/>
  <c r="R137" i="1"/>
  <c r="H137" i="1" s="1"/>
  <c r="S137" i="1"/>
  <c r="T137" i="1"/>
  <c r="AF137" i="1"/>
  <c r="I138" i="1"/>
  <c r="J138" i="1"/>
  <c r="AD138" i="1" s="1"/>
  <c r="K138" i="1"/>
  <c r="E138" i="1" s="1"/>
  <c r="L138" i="1"/>
  <c r="M138" i="1"/>
  <c r="N138" i="1"/>
  <c r="O138" i="1"/>
  <c r="P138" i="1"/>
  <c r="Q138" i="1"/>
  <c r="AK138" i="1" s="1"/>
  <c r="R138" i="1"/>
  <c r="H138" i="1" s="1"/>
  <c r="S138" i="1"/>
  <c r="T138" i="1"/>
  <c r="AF138" i="1"/>
  <c r="I139" i="1"/>
  <c r="J139" i="1"/>
  <c r="AD139" i="1" s="1"/>
  <c r="K139" i="1"/>
  <c r="E139" i="1" s="1"/>
  <c r="L139" i="1"/>
  <c r="M139" i="1"/>
  <c r="N139" i="1"/>
  <c r="O139" i="1"/>
  <c r="P139" i="1"/>
  <c r="Q139" i="1"/>
  <c r="AK139" i="1" s="1"/>
  <c r="R139" i="1"/>
  <c r="H139" i="1" s="1"/>
  <c r="S139" i="1"/>
  <c r="T139" i="1"/>
  <c r="AF139" i="1"/>
  <c r="I140" i="1"/>
  <c r="J140" i="1"/>
  <c r="AD140" i="1" s="1"/>
  <c r="K140" i="1"/>
  <c r="E140" i="1" s="1"/>
  <c r="L140" i="1"/>
  <c r="M140" i="1"/>
  <c r="N140" i="1"/>
  <c r="O140" i="1"/>
  <c r="P140" i="1"/>
  <c r="Q140" i="1"/>
  <c r="AK140" i="1" s="1"/>
  <c r="R140" i="1"/>
  <c r="H140" i="1" s="1"/>
  <c r="S140" i="1"/>
  <c r="T140" i="1"/>
  <c r="AF140" i="1"/>
  <c r="I141" i="1"/>
  <c r="J141" i="1"/>
  <c r="AD141" i="1" s="1"/>
  <c r="K141" i="1"/>
  <c r="E141" i="1" s="1"/>
  <c r="L141" i="1"/>
  <c r="M141" i="1"/>
  <c r="N141" i="1"/>
  <c r="O141" i="1"/>
  <c r="P141" i="1"/>
  <c r="Q141" i="1"/>
  <c r="AK141" i="1" s="1"/>
  <c r="R141" i="1"/>
  <c r="H141" i="1" s="1"/>
  <c r="S141" i="1"/>
  <c r="T141" i="1"/>
  <c r="AF141" i="1"/>
  <c r="I142" i="1"/>
  <c r="J142" i="1"/>
  <c r="AD142" i="1" s="1"/>
  <c r="K142" i="1"/>
  <c r="E142" i="1" s="1"/>
  <c r="L142" i="1"/>
  <c r="M142" i="1"/>
  <c r="N142" i="1"/>
  <c r="O142" i="1"/>
  <c r="P142" i="1"/>
  <c r="Q142" i="1"/>
  <c r="AK142" i="1" s="1"/>
  <c r="R142" i="1"/>
  <c r="H142" i="1" s="1"/>
  <c r="S142" i="1"/>
  <c r="T142" i="1"/>
  <c r="AF142" i="1"/>
  <c r="I143" i="1"/>
  <c r="J143" i="1"/>
  <c r="AD143" i="1" s="1"/>
  <c r="K143" i="1"/>
  <c r="E143" i="1" s="1"/>
  <c r="L143" i="1"/>
  <c r="M143" i="1"/>
  <c r="N143" i="1"/>
  <c r="O143" i="1"/>
  <c r="P143" i="1"/>
  <c r="AJ143" i="1" s="1"/>
  <c r="Q143" i="1"/>
  <c r="AK143" i="1" s="1"/>
  <c r="R143" i="1"/>
  <c r="H143" i="1" s="1"/>
  <c r="S143" i="1"/>
  <c r="T143" i="1"/>
  <c r="AF143" i="1"/>
  <c r="I144" i="1"/>
  <c r="J144" i="1"/>
  <c r="AD144" i="1" s="1"/>
  <c r="K144" i="1"/>
  <c r="E144" i="1" s="1"/>
  <c r="L144" i="1"/>
  <c r="M144" i="1"/>
  <c r="N144" i="1"/>
  <c r="O144" i="1"/>
  <c r="P144" i="1"/>
  <c r="Q144" i="1"/>
  <c r="AK144" i="1" s="1"/>
  <c r="R144" i="1"/>
  <c r="H144" i="1" s="1"/>
  <c r="S144" i="1"/>
  <c r="T144" i="1"/>
  <c r="AF144" i="1"/>
  <c r="I145" i="1"/>
  <c r="J145" i="1"/>
  <c r="AD145" i="1" s="1"/>
  <c r="K145" i="1"/>
  <c r="E145" i="1" s="1"/>
  <c r="L145" i="1"/>
  <c r="M145" i="1"/>
  <c r="N145" i="1"/>
  <c r="O145" i="1"/>
  <c r="P145" i="1"/>
  <c r="Q145" i="1"/>
  <c r="AK145" i="1" s="1"/>
  <c r="R145" i="1"/>
  <c r="H145" i="1" s="1"/>
  <c r="S145" i="1"/>
  <c r="T145" i="1"/>
  <c r="AF145" i="1"/>
  <c r="I146" i="1"/>
  <c r="J146" i="1"/>
  <c r="AD146" i="1" s="1"/>
  <c r="K146" i="1"/>
  <c r="E146" i="1" s="1"/>
  <c r="L146" i="1"/>
  <c r="M146" i="1"/>
  <c r="N146" i="1"/>
  <c r="O146" i="1"/>
  <c r="P146" i="1"/>
  <c r="Q146" i="1"/>
  <c r="AK146" i="1" s="1"/>
  <c r="R146" i="1"/>
  <c r="H146" i="1" s="1"/>
  <c r="S146" i="1"/>
  <c r="T146" i="1"/>
  <c r="AF146" i="1"/>
  <c r="I147" i="1"/>
  <c r="J147" i="1"/>
  <c r="AD147" i="1" s="1"/>
  <c r="K147" i="1"/>
  <c r="E147" i="1" s="1"/>
  <c r="L147" i="1"/>
  <c r="M147" i="1"/>
  <c r="N147" i="1"/>
  <c r="O147" i="1"/>
  <c r="P147" i="1"/>
  <c r="Q147" i="1"/>
  <c r="AK147" i="1" s="1"/>
  <c r="R147" i="1"/>
  <c r="H147" i="1" s="1"/>
  <c r="S147" i="1"/>
  <c r="T147" i="1"/>
  <c r="AF147" i="1"/>
  <c r="I148" i="1"/>
  <c r="J148" i="1"/>
  <c r="AD148" i="1" s="1"/>
  <c r="K148" i="1"/>
  <c r="E148" i="1" s="1"/>
  <c r="L148" i="1"/>
  <c r="M148" i="1"/>
  <c r="N148" i="1"/>
  <c r="O148" i="1"/>
  <c r="P148" i="1"/>
  <c r="Q148" i="1"/>
  <c r="AK148" i="1" s="1"/>
  <c r="R148" i="1"/>
  <c r="H148" i="1" s="1"/>
  <c r="S148" i="1"/>
  <c r="T148" i="1"/>
  <c r="AF148" i="1"/>
  <c r="I149" i="1"/>
  <c r="J149" i="1"/>
  <c r="AD149" i="1" s="1"/>
  <c r="K149" i="1"/>
  <c r="E149" i="1" s="1"/>
  <c r="L149" i="1"/>
  <c r="M149" i="1"/>
  <c r="N149" i="1"/>
  <c r="O149" i="1"/>
  <c r="P149" i="1"/>
  <c r="Q149" i="1"/>
  <c r="AK149" i="1" s="1"/>
  <c r="R149" i="1"/>
  <c r="H149" i="1" s="1"/>
  <c r="S149" i="1"/>
  <c r="T149" i="1"/>
  <c r="AF149" i="1"/>
  <c r="I150" i="1"/>
  <c r="J150" i="1"/>
  <c r="AD150" i="1" s="1"/>
  <c r="K150" i="1"/>
  <c r="E150" i="1" s="1"/>
  <c r="L150" i="1"/>
  <c r="M150" i="1"/>
  <c r="N150" i="1"/>
  <c r="O150" i="1"/>
  <c r="P150" i="1"/>
  <c r="Q150" i="1"/>
  <c r="AK150" i="1" s="1"/>
  <c r="R150" i="1"/>
  <c r="H150" i="1" s="1"/>
  <c r="S150" i="1"/>
  <c r="T150" i="1"/>
  <c r="AF150" i="1"/>
  <c r="I151" i="1"/>
  <c r="J151" i="1"/>
  <c r="AD151" i="1" s="1"/>
  <c r="K151" i="1"/>
  <c r="E151" i="1" s="1"/>
  <c r="L151" i="1"/>
  <c r="M151" i="1"/>
  <c r="N151" i="1"/>
  <c r="O151" i="1"/>
  <c r="P151" i="1"/>
  <c r="Q151" i="1"/>
  <c r="AK151" i="1" s="1"/>
  <c r="R151" i="1"/>
  <c r="H151" i="1" s="1"/>
  <c r="S151" i="1"/>
  <c r="T151" i="1"/>
  <c r="AF151" i="1"/>
  <c r="I152" i="1"/>
  <c r="J152" i="1"/>
  <c r="AD152" i="1" s="1"/>
  <c r="K152" i="1"/>
  <c r="E152" i="1" s="1"/>
  <c r="L152" i="1"/>
  <c r="M152" i="1"/>
  <c r="N152" i="1"/>
  <c r="O152" i="1"/>
  <c r="P152" i="1"/>
  <c r="Q152" i="1"/>
  <c r="AK152" i="1" s="1"/>
  <c r="R152" i="1"/>
  <c r="H152" i="1" s="1"/>
  <c r="S152" i="1"/>
  <c r="T152" i="1"/>
  <c r="AF152" i="1"/>
  <c r="I153" i="1"/>
  <c r="J153" i="1"/>
  <c r="AD153" i="1" s="1"/>
  <c r="K153" i="1"/>
  <c r="E153" i="1" s="1"/>
  <c r="L153" i="1"/>
  <c r="M153" i="1"/>
  <c r="N153" i="1"/>
  <c r="O153" i="1"/>
  <c r="P153" i="1"/>
  <c r="Q153" i="1"/>
  <c r="AK153" i="1" s="1"/>
  <c r="R153" i="1"/>
  <c r="H153" i="1" s="1"/>
  <c r="S153" i="1"/>
  <c r="T153" i="1"/>
  <c r="AF153" i="1"/>
  <c r="I154" i="1"/>
  <c r="J154" i="1"/>
  <c r="AD154" i="1" s="1"/>
  <c r="K154" i="1"/>
  <c r="E154" i="1" s="1"/>
  <c r="L154" i="1"/>
  <c r="M154" i="1"/>
  <c r="N154" i="1"/>
  <c r="O154" i="1"/>
  <c r="P154" i="1"/>
  <c r="Q154" i="1"/>
  <c r="AK154" i="1" s="1"/>
  <c r="R154" i="1"/>
  <c r="H154" i="1" s="1"/>
  <c r="S154" i="1"/>
  <c r="T154" i="1"/>
  <c r="AF154" i="1"/>
  <c r="I155" i="1"/>
  <c r="J155" i="1"/>
  <c r="AD155" i="1" s="1"/>
  <c r="K155" i="1"/>
  <c r="E155" i="1" s="1"/>
  <c r="L155" i="1"/>
  <c r="M155" i="1"/>
  <c r="N155" i="1"/>
  <c r="O155" i="1"/>
  <c r="P155" i="1"/>
  <c r="Q155" i="1"/>
  <c r="AK155" i="1" s="1"/>
  <c r="R155" i="1"/>
  <c r="H155" i="1" s="1"/>
  <c r="S155" i="1"/>
  <c r="T155" i="1"/>
  <c r="AF155" i="1"/>
  <c r="I156" i="1"/>
  <c r="J156" i="1"/>
  <c r="AD156" i="1" s="1"/>
  <c r="K156" i="1"/>
  <c r="E156" i="1" s="1"/>
  <c r="L156" i="1"/>
  <c r="M156" i="1"/>
  <c r="N156" i="1"/>
  <c r="O156" i="1"/>
  <c r="P156" i="1"/>
  <c r="AJ156" i="1" s="1"/>
  <c r="Q156" i="1"/>
  <c r="AK156" i="1" s="1"/>
  <c r="R156" i="1"/>
  <c r="H156" i="1" s="1"/>
  <c r="S156" i="1"/>
  <c r="T156" i="1"/>
  <c r="AF156" i="1"/>
  <c r="I157" i="1"/>
  <c r="J157" i="1"/>
  <c r="AD157" i="1" s="1"/>
  <c r="K157" i="1"/>
  <c r="E157" i="1" s="1"/>
  <c r="L157" i="1"/>
  <c r="M157" i="1"/>
  <c r="N157" i="1"/>
  <c r="O157" i="1"/>
  <c r="P157" i="1"/>
  <c r="Q157" i="1"/>
  <c r="AK157" i="1" s="1"/>
  <c r="R157" i="1"/>
  <c r="H157" i="1" s="1"/>
  <c r="S157" i="1"/>
  <c r="T157" i="1"/>
  <c r="AF157" i="1"/>
  <c r="I158" i="1"/>
  <c r="J158" i="1"/>
  <c r="AD158" i="1" s="1"/>
  <c r="K158" i="1"/>
  <c r="E158" i="1" s="1"/>
  <c r="L158" i="1"/>
  <c r="M158" i="1"/>
  <c r="N158" i="1"/>
  <c r="O158" i="1"/>
  <c r="P158" i="1"/>
  <c r="AJ158" i="1" s="1"/>
  <c r="Q158" i="1"/>
  <c r="AK158" i="1" s="1"/>
  <c r="R158" i="1"/>
  <c r="H158" i="1" s="1"/>
  <c r="S158" i="1"/>
  <c r="T158" i="1"/>
  <c r="AF158" i="1"/>
  <c r="I159" i="1"/>
  <c r="J159" i="1"/>
  <c r="AD159" i="1" s="1"/>
  <c r="K159" i="1"/>
  <c r="E159" i="1" s="1"/>
  <c r="L159" i="1"/>
  <c r="M159" i="1"/>
  <c r="N159" i="1"/>
  <c r="O159" i="1"/>
  <c r="P159" i="1"/>
  <c r="Q159" i="1"/>
  <c r="AK159" i="1" s="1"/>
  <c r="R159" i="1"/>
  <c r="H159" i="1" s="1"/>
  <c r="S159" i="1"/>
  <c r="T159" i="1"/>
  <c r="AF159" i="1"/>
  <c r="I160" i="1"/>
  <c r="J160" i="1"/>
  <c r="AD160" i="1" s="1"/>
  <c r="K160" i="1"/>
  <c r="E160" i="1" s="1"/>
  <c r="L160" i="1"/>
  <c r="M160" i="1"/>
  <c r="N160" i="1"/>
  <c r="O160" i="1"/>
  <c r="P160" i="1"/>
  <c r="Q160" i="1"/>
  <c r="AK160" i="1" s="1"/>
  <c r="R160" i="1"/>
  <c r="H160" i="1" s="1"/>
  <c r="S160" i="1"/>
  <c r="T160" i="1"/>
  <c r="AF160" i="1"/>
  <c r="I161" i="1"/>
  <c r="J161" i="1"/>
  <c r="AD161" i="1" s="1"/>
  <c r="K161" i="1"/>
  <c r="L161" i="1"/>
  <c r="M161" i="1"/>
  <c r="N161" i="1"/>
  <c r="O161" i="1"/>
  <c r="P161" i="1"/>
  <c r="Q161" i="1"/>
  <c r="AK161" i="1" s="1"/>
  <c r="R161" i="1"/>
  <c r="S161" i="1"/>
  <c r="T161" i="1"/>
  <c r="AF161" i="1"/>
  <c r="I162" i="1"/>
  <c r="J162" i="1"/>
  <c r="AD162" i="1" s="1"/>
  <c r="K162" i="1"/>
  <c r="L162" i="1"/>
  <c r="M162" i="1"/>
  <c r="N162" i="1"/>
  <c r="O162" i="1"/>
  <c r="P162" i="1"/>
  <c r="Q162" i="1"/>
  <c r="AK162" i="1" s="1"/>
  <c r="R162" i="1"/>
  <c r="S162" i="1"/>
  <c r="T162" i="1"/>
  <c r="AF162" i="1"/>
  <c r="I163" i="1"/>
  <c r="J163" i="1"/>
  <c r="AD163" i="1" s="1"/>
  <c r="K163" i="1"/>
  <c r="L163" i="1"/>
  <c r="M163" i="1"/>
  <c r="N163" i="1"/>
  <c r="O163" i="1"/>
  <c r="P163" i="1"/>
  <c r="Q163" i="1"/>
  <c r="AK163" i="1" s="1"/>
  <c r="R163" i="1"/>
  <c r="S163" i="1"/>
  <c r="T163" i="1"/>
  <c r="AF163" i="1"/>
  <c r="I164" i="1"/>
  <c r="J164" i="1"/>
  <c r="AD164" i="1" s="1"/>
  <c r="K164" i="1"/>
  <c r="L164" i="1"/>
  <c r="M164" i="1"/>
  <c r="N164" i="1"/>
  <c r="O164" i="1"/>
  <c r="P164" i="1"/>
  <c r="Q164" i="1"/>
  <c r="AK164" i="1" s="1"/>
  <c r="R164" i="1"/>
  <c r="S164" i="1"/>
  <c r="T164" i="1"/>
  <c r="AF164" i="1"/>
  <c r="I165" i="1"/>
  <c r="J165" i="1"/>
  <c r="AD165" i="1" s="1"/>
  <c r="K165" i="1"/>
  <c r="L165" i="1"/>
  <c r="M165" i="1"/>
  <c r="N165" i="1"/>
  <c r="O165" i="1"/>
  <c r="P165" i="1"/>
  <c r="Q165" i="1"/>
  <c r="AK165" i="1" s="1"/>
  <c r="R165" i="1"/>
  <c r="S165" i="1"/>
  <c r="T165" i="1"/>
  <c r="AF165" i="1"/>
  <c r="I166" i="1"/>
  <c r="J166" i="1"/>
  <c r="AD166" i="1" s="1"/>
  <c r="K166" i="1"/>
  <c r="L166" i="1"/>
  <c r="M166" i="1"/>
  <c r="N166" i="1"/>
  <c r="O166" i="1"/>
  <c r="P166" i="1"/>
  <c r="Q166" i="1"/>
  <c r="AK166" i="1" s="1"/>
  <c r="R166" i="1"/>
  <c r="S166" i="1"/>
  <c r="T166" i="1"/>
  <c r="AF166" i="1"/>
  <c r="I167" i="1"/>
  <c r="J167" i="1"/>
  <c r="AD167" i="1" s="1"/>
  <c r="K167" i="1"/>
  <c r="L167" i="1"/>
  <c r="M167" i="1"/>
  <c r="N167" i="1"/>
  <c r="O167" i="1"/>
  <c r="P167" i="1"/>
  <c r="Q167" i="1"/>
  <c r="AK167" i="1" s="1"/>
  <c r="R167" i="1"/>
  <c r="S167" i="1"/>
  <c r="T167" i="1"/>
  <c r="AF167" i="1"/>
  <c r="I168" i="1"/>
  <c r="J168" i="1"/>
  <c r="AD168" i="1" s="1"/>
  <c r="K168" i="1"/>
  <c r="L168" i="1"/>
  <c r="M168" i="1"/>
  <c r="N168" i="1"/>
  <c r="O168" i="1"/>
  <c r="P168" i="1"/>
  <c r="Q168" i="1"/>
  <c r="AK168" i="1" s="1"/>
  <c r="R168" i="1"/>
  <c r="S168" i="1"/>
  <c r="T168" i="1"/>
  <c r="AF168" i="1"/>
  <c r="I169" i="1"/>
  <c r="J169" i="1"/>
  <c r="AD169" i="1" s="1"/>
  <c r="K169" i="1"/>
  <c r="L169" i="1"/>
  <c r="M169" i="1"/>
  <c r="N169" i="1"/>
  <c r="O169" i="1"/>
  <c r="P169" i="1"/>
  <c r="Q169" i="1"/>
  <c r="AK169" i="1" s="1"/>
  <c r="R169" i="1"/>
  <c r="S169" i="1"/>
  <c r="T169" i="1"/>
  <c r="AF169" i="1"/>
  <c r="I170" i="1"/>
  <c r="J170" i="1"/>
  <c r="AD170" i="1" s="1"/>
  <c r="K170" i="1"/>
  <c r="L170" i="1"/>
  <c r="M170" i="1"/>
  <c r="N170" i="1"/>
  <c r="O170" i="1"/>
  <c r="P170" i="1"/>
  <c r="Q170" i="1"/>
  <c r="AK170" i="1" s="1"/>
  <c r="R170" i="1"/>
  <c r="S170" i="1"/>
  <c r="T170" i="1"/>
  <c r="AF170" i="1"/>
  <c r="I171" i="1"/>
  <c r="J171" i="1"/>
  <c r="AD171" i="1" s="1"/>
  <c r="K171" i="1"/>
  <c r="L171" i="1"/>
  <c r="M171" i="1"/>
  <c r="N171" i="1"/>
  <c r="O171" i="1"/>
  <c r="P171" i="1"/>
  <c r="Q171" i="1"/>
  <c r="AK171" i="1" s="1"/>
  <c r="R171" i="1"/>
  <c r="S171" i="1"/>
  <c r="T171" i="1"/>
  <c r="AF171" i="1"/>
  <c r="I172" i="1"/>
  <c r="J172" i="1"/>
  <c r="AD172" i="1" s="1"/>
  <c r="K172" i="1"/>
  <c r="L172" i="1"/>
  <c r="M172" i="1"/>
  <c r="N172" i="1"/>
  <c r="O172" i="1"/>
  <c r="P172" i="1"/>
  <c r="Q172" i="1"/>
  <c r="AK172" i="1" s="1"/>
  <c r="R172" i="1"/>
  <c r="S172" i="1"/>
  <c r="T172" i="1"/>
  <c r="AF172" i="1"/>
  <c r="I173" i="1"/>
  <c r="J173" i="1"/>
  <c r="AD173" i="1" s="1"/>
  <c r="K173" i="1"/>
  <c r="L173" i="1"/>
  <c r="M173" i="1"/>
  <c r="N173" i="1"/>
  <c r="O173" i="1"/>
  <c r="P173" i="1"/>
  <c r="Q173" i="1"/>
  <c r="AK173" i="1" s="1"/>
  <c r="R173" i="1"/>
  <c r="S173" i="1"/>
  <c r="T173" i="1"/>
  <c r="AF173" i="1"/>
  <c r="I174" i="1"/>
  <c r="J174" i="1"/>
  <c r="AD174" i="1" s="1"/>
  <c r="K174" i="1"/>
  <c r="L174" i="1"/>
  <c r="M174" i="1"/>
  <c r="N174" i="1"/>
  <c r="O174" i="1"/>
  <c r="P174" i="1"/>
  <c r="Q174" i="1"/>
  <c r="AK174" i="1" s="1"/>
  <c r="R174" i="1"/>
  <c r="S174" i="1"/>
  <c r="T174" i="1"/>
  <c r="AF174" i="1"/>
  <c r="I175" i="1"/>
  <c r="J175" i="1"/>
  <c r="AD175" i="1" s="1"/>
  <c r="K175" i="1"/>
  <c r="L175" i="1"/>
  <c r="M175" i="1"/>
  <c r="N175" i="1"/>
  <c r="O175" i="1"/>
  <c r="P175" i="1"/>
  <c r="Q175" i="1"/>
  <c r="AK175" i="1" s="1"/>
  <c r="R175" i="1"/>
  <c r="S175" i="1"/>
  <c r="T175" i="1"/>
  <c r="AF175" i="1"/>
  <c r="I176" i="1"/>
  <c r="J176" i="1"/>
  <c r="AD176" i="1" s="1"/>
  <c r="K176" i="1"/>
  <c r="L176" i="1"/>
  <c r="M176" i="1"/>
  <c r="N176" i="1"/>
  <c r="O176" i="1"/>
  <c r="P176" i="1"/>
  <c r="Q176" i="1"/>
  <c r="AK176" i="1" s="1"/>
  <c r="R176" i="1"/>
  <c r="S176" i="1"/>
  <c r="T176" i="1"/>
  <c r="AF176" i="1"/>
  <c r="I177" i="1"/>
  <c r="J177" i="1"/>
  <c r="AD177" i="1" s="1"/>
  <c r="K177" i="1"/>
  <c r="L177" i="1"/>
  <c r="M177" i="1"/>
  <c r="N177" i="1"/>
  <c r="O177" i="1"/>
  <c r="P177" i="1"/>
  <c r="Q177" i="1"/>
  <c r="AK177" i="1" s="1"/>
  <c r="R177" i="1"/>
  <c r="S177" i="1"/>
  <c r="T177" i="1"/>
  <c r="AF177" i="1"/>
  <c r="I178" i="1"/>
  <c r="J178" i="1"/>
  <c r="AD178" i="1" s="1"/>
  <c r="K178" i="1"/>
  <c r="L178" i="1"/>
  <c r="M178" i="1"/>
  <c r="N178" i="1"/>
  <c r="O178" i="1"/>
  <c r="P178" i="1"/>
  <c r="Q178" i="1"/>
  <c r="AK178" i="1" s="1"/>
  <c r="R178" i="1"/>
  <c r="S178" i="1"/>
  <c r="T178" i="1"/>
  <c r="AF178" i="1"/>
  <c r="I179" i="1"/>
  <c r="J179" i="1"/>
  <c r="AD179" i="1" s="1"/>
  <c r="K179" i="1"/>
  <c r="L179" i="1"/>
  <c r="M179" i="1"/>
  <c r="N179" i="1"/>
  <c r="O179" i="1"/>
  <c r="P179" i="1"/>
  <c r="Q179" i="1"/>
  <c r="AK179" i="1" s="1"/>
  <c r="R179" i="1"/>
  <c r="S179" i="1"/>
  <c r="T179" i="1"/>
  <c r="AF179" i="1"/>
  <c r="I180" i="1"/>
  <c r="J180" i="1"/>
  <c r="AD180" i="1" s="1"/>
  <c r="K180" i="1"/>
  <c r="L180" i="1"/>
  <c r="M180" i="1"/>
  <c r="N180" i="1"/>
  <c r="O180" i="1"/>
  <c r="P180" i="1"/>
  <c r="Q180" i="1"/>
  <c r="AK180" i="1" s="1"/>
  <c r="R180" i="1"/>
  <c r="S180" i="1"/>
  <c r="T180" i="1"/>
  <c r="AF180" i="1"/>
  <c r="I181" i="1"/>
  <c r="J181" i="1"/>
  <c r="AD181" i="1" s="1"/>
  <c r="K181" i="1"/>
  <c r="L181" i="1"/>
  <c r="M181" i="1"/>
  <c r="N181" i="1"/>
  <c r="O181" i="1"/>
  <c r="P181" i="1"/>
  <c r="Q181" i="1"/>
  <c r="AK181" i="1" s="1"/>
  <c r="R181" i="1"/>
  <c r="S181" i="1"/>
  <c r="T181" i="1"/>
  <c r="AF181" i="1"/>
  <c r="I182" i="1"/>
  <c r="J182" i="1"/>
  <c r="AD182" i="1" s="1"/>
  <c r="K182" i="1"/>
  <c r="L182" i="1"/>
  <c r="M182" i="1"/>
  <c r="N182" i="1"/>
  <c r="O182" i="1"/>
  <c r="P182" i="1"/>
  <c r="Q182" i="1"/>
  <c r="AK182" i="1" s="1"/>
  <c r="R182" i="1"/>
  <c r="S182" i="1"/>
  <c r="T182" i="1"/>
  <c r="AF182" i="1"/>
  <c r="I183" i="1"/>
  <c r="J183" i="1"/>
  <c r="AD183" i="1" s="1"/>
  <c r="K183" i="1"/>
  <c r="L183" i="1"/>
  <c r="M183" i="1"/>
  <c r="N183" i="1"/>
  <c r="O183" i="1"/>
  <c r="P183" i="1"/>
  <c r="Q183" i="1"/>
  <c r="AK183" i="1" s="1"/>
  <c r="R183" i="1"/>
  <c r="S183" i="1"/>
  <c r="T183" i="1"/>
  <c r="AF183" i="1"/>
  <c r="I184" i="1"/>
  <c r="J184" i="1"/>
  <c r="AD184" i="1" s="1"/>
  <c r="K184" i="1"/>
  <c r="L184" i="1"/>
  <c r="M184" i="1"/>
  <c r="N184" i="1"/>
  <c r="O184" i="1"/>
  <c r="P184" i="1"/>
  <c r="Q184" i="1"/>
  <c r="AK184" i="1" s="1"/>
  <c r="R184" i="1"/>
  <c r="S184" i="1"/>
  <c r="T184" i="1"/>
  <c r="AF184" i="1"/>
  <c r="I185" i="1"/>
  <c r="J185" i="1"/>
  <c r="AD185" i="1" s="1"/>
  <c r="K185" i="1"/>
  <c r="L185" i="1"/>
  <c r="M185" i="1"/>
  <c r="N185" i="1"/>
  <c r="O185" i="1"/>
  <c r="P185" i="1"/>
  <c r="Q185" i="1"/>
  <c r="AK185" i="1" s="1"/>
  <c r="R185" i="1"/>
  <c r="S185" i="1"/>
  <c r="T185" i="1"/>
  <c r="AF185" i="1"/>
  <c r="I186" i="1"/>
  <c r="J186" i="1"/>
  <c r="AD186" i="1" s="1"/>
  <c r="K186" i="1"/>
  <c r="L186" i="1"/>
  <c r="M186" i="1"/>
  <c r="N186" i="1"/>
  <c r="O186" i="1"/>
  <c r="P186" i="1"/>
  <c r="Q186" i="1"/>
  <c r="AK186" i="1" s="1"/>
  <c r="R186" i="1"/>
  <c r="S186" i="1"/>
  <c r="T186" i="1"/>
  <c r="AF186" i="1"/>
  <c r="I187" i="1"/>
  <c r="J187" i="1"/>
  <c r="AD187" i="1" s="1"/>
  <c r="K187" i="1"/>
  <c r="L187" i="1"/>
  <c r="M187" i="1"/>
  <c r="N187" i="1"/>
  <c r="O187" i="1"/>
  <c r="P187" i="1"/>
  <c r="Q187" i="1"/>
  <c r="AK187" i="1" s="1"/>
  <c r="R187" i="1"/>
  <c r="S187" i="1"/>
  <c r="T187" i="1"/>
  <c r="AF187" i="1"/>
  <c r="I188" i="1"/>
  <c r="J188" i="1"/>
  <c r="AD188" i="1" s="1"/>
  <c r="K188" i="1"/>
  <c r="L188" i="1"/>
  <c r="M188" i="1"/>
  <c r="N188" i="1"/>
  <c r="O188" i="1"/>
  <c r="P188" i="1"/>
  <c r="Q188" i="1"/>
  <c r="AK188" i="1" s="1"/>
  <c r="R188" i="1"/>
  <c r="S188" i="1"/>
  <c r="T188" i="1"/>
  <c r="AF188" i="1"/>
  <c r="I189" i="1"/>
  <c r="J189" i="1"/>
  <c r="AD189" i="1" s="1"/>
  <c r="K189" i="1"/>
  <c r="L189" i="1"/>
  <c r="M189" i="1"/>
  <c r="N189" i="1"/>
  <c r="O189" i="1"/>
  <c r="P189" i="1"/>
  <c r="Q189" i="1"/>
  <c r="AK189" i="1" s="1"/>
  <c r="R189" i="1"/>
  <c r="S189" i="1"/>
  <c r="T189" i="1"/>
  <c r="AF189" i="1"/>
  <c r="I190" i="1"/>
  <c r="J190" i="1"/>
  <c r="AD190" i="1" s="1"/>
  <c r="K190" i="1"/>
  <c r="L190" i="1"/>
  <c r="M190" i="1"/>
  <c r="N190" i="1"/>
  <c r="O190" i="1"/>
  <c r="P190" i="1"/>
  <c r="Q190" i="1"/>
  <c r="AK190" i="1" s="1"/>
  <c r="R190" i="1"/>
  <c r="S190" i="1"/>
  <c r="T190" i="1"/>
  <c r="AF190" i="1"/>
  <c r="I191" i="1"/>
  <c r="J191" i="1"/>
  <c r="AD191" i="1" s="1"/>
  <c r="K191" i="1"/>
  <c r="L191" i="1"/>
  <c r="M191" i="1"/>
  <c r="N191" i="1"/>
  <c r="O191" i="1"/>
  <c r="P191" i="1"/>
  <c r="Q191" i="1"/>
  <c r="AK191" i="1" s="1"/>
  <c r="R191" i="1"/>
  <c r="S191" i="1"/>
  <c r="T191" i="1"/>
  <c r="AF191" i="1"/>
  <c r="I192" i="1"/>
  <c r="J192" i="1"/>
  <c r="AD192" i="1" s="1"/>
  <c r="K192" i="1"/>
  <c r="L192" i="1"/>
  <c r="M192" i="1"/>
  <c r="N192" i="1"/>
  <c r="O192" i="1"/>
  <c r="P192" i="1"/>
  <c r="Q192" i="1"/>
  <c r="AK192" i="1" s="1"/>
  <c r="R192" i="1"/>
  <c r="S192" i="1"/>
  <c r="T192" i="1"/>
  <c r="AF192" i="1"/>
  <c r="I193" i="1"/>
  <c r="J193" i="1"/>
  <c r="AD193" i="1" s="1"/>
  <c r="K193" i="1"/>
  <c r="L193" i="1"/>
  <c r="M193" i="1"/>
  <c r="N193" i="1"/>
  <c r="O193" i="1"/>
  <c r="P193" i="1"/>
  <c r="Q193" i="1"/>
  <c r="AK193" i="1" s="1"/>
  <c r="R193" i="1"/>
  <c r="S193" i="1"/>
  <c r="T193" i="1"/>
  <c r="AF193" i="1"/>
  <c r="I194" i="1"/>
  <c r="J194" i="1"/>
  <c r="AD194" i="1" s="1"/>
  <c r="K194" i="1"/>
  <c r="L194" i="1"/>
  <c r="M194" i="1"/>
  <c r="N194" i="1"/>
  <c r="O194" i="1"/>
  <c r="P194" i="1"/>
  <c r="Q194" i="1"/>
  <c r="AK194" i="1" s="1"/>
  <c r="R194" i="1"/>
  <c r="S194" i="1"/>
  <c r="T194" i="1"/>
  <c r="AF194" i="1"/>
  <c r="I195" i="1"/>
  <c r="J195" i="1"/>
  <c r="AD195" i="1" s="1"/>
  <c r="K195" i="1"/>
  <c r="L195" i="1"/>
  <c r="M195" i="1"/>
  <c r="N195" i="1"/>
  <c r="O195" i="1"/>
  <c r="P195" i="1"/>
  <c r="Q195" i="1"/>
  <c r="AK195" i="1" s="1"/>
  <c r="R195" i="1"/>
  <c r="S195" i="1"/>
  <c r="T195" i="1"/>
  <c r="AF195" i="1"/>
  <c r="I196" i="1"/>
  <c r="J196" i="1"/>
  <c r="AD196" i="1" s="1"/>
  <c r="K196" i="1"/>
  <c r="L196" i="1"/>
  <c r="M196" i="1"/>
  <c r="N196" i="1"/>
  <c r="O196" i="1"/>
  <c r="P196" i="1"/>
  <c r="Q196" i="1"/>
  <c r="AK196" i="1" s="1"/>
  <c r="R196" i="1"/>
  <c r="S196" i="1"/>
  <c r="T196" i="1"/>
  <c r="AF196" i="1"/>
  <c r="I197" i="1"/>
  <c r="J197" i="1"/>
  <c r="AD197" i="1" s="1"/>
  <c r="K197" i="1"/>
  <c r="L197" i="1"/>
  <c r="M197" i="1"/>
  <c r="N197" i="1"/>
  <c r="O197" i="1"/>
  <c r="P197" i="1"/>
  <c r="Q197" i="1"/>
  <c r="AK197" i="1" s="1"/>
  <c r="R197" i="1"/>
  <c r="S197" i="1"/>
  <c r="T197" i="1"/>
  <c r="AF197" i="1"/>
  <c r="I198" i="1"/>
  <c r="J198" i="1"/>
  <c r="AD198" i="1" s="1"/>
  <c r="K198" i="1"/>
  <c r="L198" i="1"/>
  <c r="M198" i="1"/>
  <c r="N198" i="1"/>
  <c r="O198" i="1"/>
  <c r="P198" i="1"/>
  <c r="Q198" i="1"/>
  <c r="AK198" i="1" s="1"/>
  <c r="R198" i="1"/>
  <c r="S198" i="1"/>
  <c r="T198" i="1"/>
  <c r="AF198" i="1"/>
  <c r="I199" i="1"/>
  <c r="J199" i="1"/>
  <c r="AD199" i="1" s="1"/>
  <c r="K199" i="1"/>
  <c r="L199" i="1"/>
  <c r="M199" i="1"/>
  <c r="N199" i="1"/>
  <c r="O199" i="1"/>
  <c r="P199" i="1"/>
  <c r="Q199" i="1"/>
  <c r="AK199" i="1" s="1"/>
  <c r="R199" i="1"/>
  <c r="S199" i="1"/>
  <c r="T199" i="1"/>
  <c r="AF199" i="1"/>
  <c r="I200" i="1"/>
  <c r="J200" i="1"/>
  <c r="AD200" i="1" s="1"/>
  <c r="K200" i="1"/>
  <c r="L200" i="1"/>
  <c r="M200" i="1"/>
  <c r="N200" i="1"/>
  <c r="O200" i="1"/>
  <c r="P200" i="1"/>
  <c r="Q200" i="1"/>
  <c r="AK200" i="1" s="1"/>
  <c r="R200" i="1"/>
  <c r="S200" i="1"/>
  <c r="T200" i="1"/>
  <c r="AF200" i="1"/>
  <c r="I201" i="1"/>
  <c r="J201" i="1"/>
  <c r="AD201" i="1" s="1"/>
  <c r="K201" i="1"/>
  <c r="L201" i="1"/>
  <c r="M201" i="1"/>
  <c r="N201" i="1"/>
  <c r="O201" i="1"/>
  <c r="P201" i="1"/>
  <c r="Q201" i="1"/>
  <c r="AK201" i="1" s="1"/>
  <c r="R201" i="1"/>
  <c r="S201" i="1"/>
  <c r="T201" i="1"/>
  <c r="AF201" i="1"/>
  <c r="I202" i="1"/>
  <c r="J202" i="1"/>
  <c r="AD202" i="1" s="1"/>
  <c r="K202" i="1"/>
  <c r="L202" i="1"/>
  <c r="M202" i="1"/>
  <c r="N202" i="1"/>
  <c r="O202" i="1"/>
  <c r="P202" i="1"/>
  <c r="Q202" i="1"/>
  <c r="AK202" i="1" s="1"/>
  <c r="R202" i="1"/>
  <c r="S202" i="1"/>
  <c r="T202" i="1"/>
  <c r="AF202" i="1"/>
  <c r="I203" i="1"/>
  <c r="J203" i="1"/>
  <c r="AD203" i="1" s="1"/>
  <c r="K203" i="1"/>
  <c r="L203" i="1"/>
  <c r="M203" i="1"/>
  <c r="N203" i="1"/>
  <c r="O203" i="1"/>
  <c r="P203" i="1"/>
  <c r="Q203" i="1"/>
  <c r="AK203" i="1" s="1"/>
  <c r="R203" i="1"/>
  <c r="S203" i="1"/>
  <c r="T203" i="1"/>
  <c r="AF203" i="1"/>
  <c r="I204" i="1"/>
  <c r="J204" i="1"/>
  <c r="AD204" i="1" s="1"/>
  <c r="K204" i="1"/>
  <c r="L204" i="1"/>
  <c r="M204" i="1"/>
  <c r="N204" i="1"/>
  <c r="O204" i="1"/>
  <c r="P204" i="1"/>
  <c r="Q204" i="1"/>
  <c r="AK204" i="1" s="1"/>
  <c r="R204" i="1"/>
  <c r="S204" i="1"/>
  <c r="T204" i="1"/>
  <c r="AF204" i="1"/>
  <c r="I205" i="1"/>
  <c r="J205" i="1"/>
  <c r="AD205" i="1" s="1"/>
  <c r="K205" i="1"/>
  <c r="L205" i="1"/>
  <c r="M205" i="1"/>
  <c r="N205" i="1"/>
  <c r="O205" i="1"/>
  <c r="P205" i="1"/>
  <c r="Q205" i="1"/>
  <c r="AK205" i="1" s="1"/>
  <c r="R205" i="1"/>
  <c r="S205" i="1"/>
  <c r="T205" i="1"/>
  <c r="AF205" i="1"/>
  <c r="I206" i="1"/>
  <c r="J206" i="1"/>
  <c r="AD206" i="1" s="1"/>
  <c r="K206" i="1"/>
  <c r="L206" i="1"/>
  <c r="M206" i="1"/>
  <c r="N206" i="1"/>
  <c r="O206" i="1"/>
  <c r="P206" i="1"/>
  <c r="Q206" i="1"/>
  <c r="AK206" i="1" s="1"/>
  <c r="R206" i="1"/>
  <c r="S206" i="1"/>
  <c r="T206" i="1"/>
  <c r="AF206" i="1"/>
  <c r="I207" i="1"/>
  <c r="J207" i="1"/>
  <c r="AD207" i="1" s="1"/>
  <c r="K207" i="1"/>
  <c r="L207" i="1"/>
  <c r="M207" i="1"/>
  <c r="N207" i="1"/>
  <c r="O207" i="1"/>
  <c r="P207" i="1"/>
  <c r="Q207" i="1"/>
  <c r="AK207" i="1" s="1"/>
  <c r="R207" i="1"/>
  <c r="S207" i="1"/>
  <c r="T207" i="1"/>
  <c r="AF207" i="1"/>
  <c r="I208" i="1"/>
  <c r="J208" i="1"/>
  <c r="AD208" i="1" s="1"/>
  <c r="K208" i="1"/>
  <c r="L208" i="1"/>
  <c r="M208" i="1"/>
  <c r="N208" i="1"/>
  <c r="O208" i="1"/>
  <c r="P208" i="1"/>
  <c r="Q208" i="1"/>
  <c r="AK208" i="1" s="1"/>
  <c r="R208" i="1"/>
  <c r="S208" i="1"/>
  <c r="T208" i="1"/>
  <c r="AF208" i="1"/>
  <c r="I209" i="1"/>
  <c r="J209" i="1"/>
  <c r="AD209" i="1" s="1"/>
  <c r="K209" i="1"/>
  <c r="L209" i="1"/>
  <c r="M209" i="1"/>
  <c r="N209" i="1"/>
  <c r="O209" i="1"/>
  <c r="P209" i="1"/>
  <c r="Q209" i="1"/>
  <c r="AK209" i="1" s="1"/>
  <c r="R209" i="1"/>
  <c r="S209" i="1"/>
  <c r="T209" i="1"/>
  <c r="AF209" i="1"/>
  <c r="I210" i="1"/>
  <c r="J210" i="1"/>
  <c r="AD210" i="1" s="1"/>
  <c r="K210" i="1"/>
  <c r="L210" i="1"/>
  <c r="M210" i="1"/>
  <c r="N210" i="1"/>
  <c r="O210" i="1"/>
  <c r="P210" i="1"/>
  <c r="Q210" i="1"/>
  <c r="AK210" i="1" s="1"/>
  <c r="R210" i="1"/>
  <c r="S210" i="1"/>
  <c r="T210" i="1"/>
  <c r="AF210" i="1"/>
  <c r="I211" i="1"/>
  <c r="J211" i="1"/>
  <c r="AD211" i="1" s="1"/>
  <c r="K211" i="1"/>
  <c r="L211" i="1"/>
  <c r="M211" i="1"/>
  <c r="N211" i="1"/>
  <c r="O211" i="1"/>
  <c r="P211" i="1"/>
  <c r="Q211" i="1"/>
  <c r="AK211" i="1" s="1"/>
  <c r="R211" i="1"/>
  <c r="S211" i="1"/>
  <c r="T211" i="1"/>
  <c r="AF211" i="1"/>
  <c r="I212" i="1"/>
  <c r="J212" i="1"/>
  <c r="AD212" i="1" s="1"/>
  <c r="K212" i="1"/>
  <c r="L212" i="1"/>
  <c r="M212" i="1"/>
  <c r="N212" i="1"/>
  <c r="O212" i="1"/>
  <c r="P212" i="1"/>
  <c r="Q212" i="1"/>
  <c r="AK212" i="1" s="1"/>
  <c r="R212" i="1"/>
  <c r="S212" i="1"/>
  <c r="T212" i="1"/>
  <c r="AF212" i="1"/>
  <c r="I213" i="1"/>
  <c r="J213" i="1"/>
  <c r="AD213" i="1" s="1"/>
  <c r="K213" i="1"/>
  <c r="L213" i="1"/>
  <c r="M213" i="1"/>
  <c r="N213" i="1"/>
  <c r="O213" i="1"/>
  <c r="P213" i="1"/>
  <c r="Q213" i="1"/>
  <c r="AK213" i="1" s="1"/>
  <c r="R213" i="1"/>
  <c r="S213" i="1"/>
  <c r="T213" i="1"/>
  <c r="AF213" i="1"/>
  <c r="I214" i="1"/>
  <c r="J214" i="1"/>
  <c r="AD214" i="1" s="1"/>
  <c r="K214" i="1"/>
  <c r="L214" i="1"/>
  <c r="M214" i="1"/>
  <c r="N214" i="1"/>
  <c r="O214" i="1"/>
  <c r="P214" i="1"/>
  <c r="Q214" i="1"/>
  <c r="AK214" i="1" s="1"/>
  <c r="R214" i="1"/>
  <c r="S214" i="1"/>
  <c r="T214" i="1"/>
  <c r="AF214" i="1"/>
  <c r="I215" i="1"/>
  <c r="J215" i="1"/>
  <c r="AD215" i="1" s="1"/>
  <c r="K215" i="1"/>
  <c r="L215" i="1"/>
  <c r="M215" i="1"/>
  <c r="N215" i="1"/>
  <c r="O215" i="1"/>
  <c r="P215" i="1"/>
  <c r="Q215" i="1"/>
  <c r="AK215" i="1" s="1"/>
  <c r="R215" i="1"/>
  <c r="S215" i="1"/>
  <c r="T215" i="1"/>
  <c r="AF215" i="1"/>
  <c r="I216" i="1"/>
  <c r="J216" i="1"/>
  <c r="AD216" i="1" s="1"/>
  <c r="K216" i="1"/>
  <c r="L216" i="1"/>
  <c r="M216" i="1"/>
  <c r="N216" i="1"/>
  <c r="O216" i="1"/>
  <c r="P216" i="1"/>
  <c r="Q216" i="1"/>
  <c r="AK216" i="1" s="1"/>
  <c r="R216" i="1"/>
  <c r="S216" i="1"/>
  <c r="T216" i="1"/>
  <c r="AF216" i="1"/>
  <c r="I217" i="1"/>
  <c r="J217" i="1"/>
  <c r="AD217" i="1" s="1"/>
  <c r="K217" i="1"/>
  <c r="L217" i="1"/>
  <c r="M217" i="1"/>
  <c r="N217" i="1"/>
  <c r="O217" i="1"/>
  <c r="P217" i="1"/>
  <c r="Q217" i="1"/>
  <c r="AK217" i="1" s="1"/>
  <c r="R217" i="1"/>
  <c r="S217" i="1"/>
  <c r="T217" i="1"/>
  <c r="AF217" i="1"/>
  <c r="I218" i="1"/>
  <c r="J218" i="1"/>
  <c r="AD218" i="1" s="1"/>
  <c r="K218" i="1"/>
  <c r="L218" i="1"/>
  <c r="M218" i="1"/>
  <c r="N218" i="1"/>
  <c r="O218" i="1"/>
  <c r="P218" i="1"/>
  <c r="Q218" i="1"/>
  <c r="AK218" i="1" s="1"/>
  <c r="R218" i="1"/>
  <c r="S218" i="1"/>
  <c r="T218" i="1"/>
  <c r="AF218" i="1"/>
  <c r="I219" i="1"/>
  <c r="J219" i="1"/>
  <c r="AD219" i="1" s="1"/>
  <c r="K219" i="1"/>
  <c r="L219" i="1"/>
  <c r="M219" i="1"/>
  <c r="N219" i="1"/>
  <c r="O219" i="1"/>
  <c r="P219" i="1"/>
  <c r="Q219" i="1"/>
  <c r="AK219" i="1" s="1"/>
  <c r="R219" i="1"/>
  <c r="S219" i="1"/>
  <c r="T219" i="1"/>
  <c r="AF219" i="1"/>
  <c r="I220" i="1"/>
  <c r="J220" i="1"/>
  <c r="AD220" i="1" s="1"/>
  <c r="K220" i="1"/>
  <c r="L220" i="1"/>
  <c r="M220" i="1"/>
  <c r="N220" i="1"/>
  <c r="O220" i="1"/>
  <c r="P220" i="1"/>
  <c r="Q220" i="1"/>
  <c r="AK220" i="1" s="1"/>
  <c r="R220" i="1"/>
  <c r="S220" i="1"/>
  <c r="T220" i="1"/>
  <c r="AF220" i="1"/>
  <c r="I221" i="1"/>
  <c r="J221" i="1"/>
  <c r="AD221" i="1" s="1"/>
  <c r="K221" i="1"/>
  <c r="L221" i="1"/>
  <c r="M221" i="1"/>
  <c r="N221" i="1"/>
  <c r="O221" i="1"/>
  <c r="P221" i="1"/>
  <c r="Q221" i="1"/>
  <c r="AK221" i="1" s="1"/>
  <c r="R221" i="1"/>
  <c r="S221" i="1"/>
  <c r="T221" i="1"/>
  <c r="AF221" i="1"/>
  <c r="I222" i="1"/>
  <c r="J222" i="1"/>
  <c r="AD222" i="1" s="1"/>
  <c r="K222" i="1"/>
  <c r="L222" i="1"/>
  <c r="M222" i="1"/>
  <c r="N222" i="1"/>
  <c r="O222" i="1"/>
  <c r="P222" i="1"/>
  <c r="Q222" i="1"/>
  <c r="AK222" i="1" s="1"/>
  <c r="R222" i="1"/>
  <c r="S222" i="1"/>
  <c r="T222" i="1"/>
  <c r="AF222" i="1"/>
  <c r="I223" i="1"/>
  <c r="J223" i="1"/>
  <c r="AD223" i="1" s="1"/>
  <c r="K223" i="1"/>
  <c r="L223" i="1"/>
  <c r="M223" i="1"/>
  <c r="N223" i="1"/>
  <c r="O223" i="1"/>
  <c r="P223" i="1"/>
  <c r="Q223" i="1"/>
  <c r="AK223" i="1" s="1"/>
  <c r="R223" i="1"/>
  <c r="S223" i="1"/>
  <c r="T223" i="1"/>
  <c r="AF223" i="1"/>
  <c r="I224" i="1"/>
  <c r="J224" i="1"/>
  <c r="AD224" i="1" s="1"/>
  <c r="K224" i="1"/>
  <c r="L224" i="1"/>
  <c r="M224" i="1"/>
  <c r="N224" i="1"/>
  <c r="O224" i="1"/>
  <c r="P224" i="1"/>
  <c r="Q224" i="1"/>
  <c r="AK224" i="1" s="1"/>
  <c r="R224" i="1"/>
  <c r="S224" i="1"/>
  <c r="T224" i="1"/>
  <c r="AF224" i="1"/>
  <c r="I225" i="1"/>
  <c r="J225" i="1"/>
  <c r="AD225" i="1" s="1"/>
  <c r="K225" i="1"/>
  <c r="L225" i="1"/>
  <c r="M225" i="1"/>
  <c r="N225" i="1"/>
  <c r="O225" i="1"/>
  <c r="P225" i="1"/>
  <c r="Q225" i="1"/>
  <c r="AK225" i="1" s="1"/>
  <c r="R225" i="1"/>
  <c r="S225" i="1"/>
  <c r="T225" i="1"/>
  <c r="AF225" i="1"/>
  <c r="I226" i="1"/>
  <c r="J226" i="1"/>
  <c r="AD226" i="1" s="1"/>
  <c r="K226" i="1"/>
  <c r="L226" i="1"/>
  <c r="M226" i="1"/>
  <c r="N226" i="1"/>
  <c r="O226" i="1"/>
  <c r="P226" i="1"/>
  <c r="Q226" i="1"/>
  <c r="AK226" i="1" s="1"/>
  <c r="R226" i="1"/>
  <c r="S226" i="1"/>
  <c r="T226" i="1"/>
  <c r="AF226" i="1"/>
  <c r="I227" i="1"/>
  <c r="J227" i="1"/>
  <c r="AD227" i="1" s="1"/>
  <c r="K227" i="1"/>
  <c r="L227" i="1"/>
  <c r="M227" i="1"/>
  <c r="N227" i="1"/>
  <c r="O227" i="1"/>
  <c r="P227" i="1"/>
  <c r="Q227" i="1"/>
  <c r="AK227" i="1" s="1"/>
  <c r="R227" i="1"/>
  <c r="S227" i="1"/>
  <c r="T227" i="1"/>
  <c r="AF227" i="1"/>
  <c r="I228" i="1"/>
  <c r="J228" i="1"/>
  <c r="AD228" i="1" s="1"/>
  <c r="K228" i="1"/>
  <c r="L228" i="1"/>
  <c r="M228" i="1"/>
  <c r="N228" i="1"/>
  <c r="O228" i="1"/>
  <c r="P228" i="1"/>
  <c r="Q228" i="1"/>
  <c r="AK228" i="1" s="1"/>
  <c r="R228" i="1"/>
  <c r="S228" i="1"/>
  <c r="T228" i="1"/>
  <c r="AF228" i="1"/>
  <c r="I229" i="1"/>
  <c r="J229" i="1"/>
  <c r="AD229" i="1" s="1"/>
  <c r="K229" i="1"/>
  <c r="L229" i="1"/>
  <c r="M229" i="1"/>
  <c r="N229" i="1"/>
  <c r="O229" i="1"/>
  <c r="P229" i="1"/>
  <c r="Q229" i="1"/>
  <c r="AK229" i="1" s="1"/>
  <c r="R229" i="1"/>
  <c r="S229" i="1"/>
  <c r="T229" i="1"/>
  <c r="AF229" i="1"/>
  <c r="I230" i="1"/>
  <c r="J230" i="1"/>
  <c r="AD230" i="1" s="1"/>
  <c r="K230" i="1"/>
  <c r="L230" i="1"/>
  <c r="M230" i="1"/>
  <c r="N230" i="1"/>
  <c r="O230" i="1"/>
  <c r="P230" i="1"/>
  <c r="Q230" i="1"/>
  <c r="AK230" i="1" s="1"/>
  <c r="R230" i="1"/>
  <c r="S230" i="1"/>
  <c r="T230" i="1"/>
  <c r="AF230" i="1"/>
  <c r="I231" i="1"/>
  <c r="J231" i="1"/>
  <c r="AD231" i="1" s="1"/>
  <c r="K231" i="1"/>
  <c r="L231" i="1"/>
  <c r="M231" i="1"/>
  <c r="N231" i="1"/>
  <c r="O231" i="1"/>
  <c r="P231" i="1"/>
  <c r="Q231" i="1"/>
  <c r="AK231" i="1" s="1"/>
  <c r="R231" i="1"/>
  <c r="S231" i="1"/>
  <c r="T231" i="1"/>
  <c r="AF231" i="1"/>
  <c r="I232" i="1"/>
  <c r="J232" i="1"/>
  <c r="AD232" i="1" s="1"/>
  <c r="K232" i="1"/>
  <c r="L232" i="1"/>
  <c r="M232" i="1"/>
  <c r="N232" i="1"/>
  <c r="O232" i="1"/>
  <c r="P232" i="1"/>
  <c r="Q232" i="1"/>
  <c r="AK232" i="1" s="1"/>
  <c r="R232" i="1"/>
  <c r="S232" i="1"/>
  <c r="T232" i="1"/>
  <c r="AF232" i="1"/>
  <c r="I233" i="1"/>
  <c r="J233" i="1"/>
  <c r="AD233" i="1" s="1"/>
  <c r="K233" i="1"/>
  <c r="L233" i="1"/>
  <c r="M233" i="1"/>
  <c r="N233" i="1"/>
  <c r="O233" i="1"/>
  <c r="P233" i="1"/>
  <c r="Q233" i="1"/>
  <c r="AK233" i="1" s="1"/>
  <c r="R233" i="1"/>
  <c r="S233" i="1"/>
  <c r="T233" i="1"/>
  <c r="AF233" i="1"/>
  <c r="I234" i="1"/>
  <c r="J234" i="1"/>
  <c r="AD234" i="1" s="1"/>
  <c r="K234" i="1"/>
  <c r="L234" i="1"/>
  <c r="M234" i="1"/>
  <c r="N234" i="1"/>
  <c r="O234" i="1"/>
  <c r="P234" i="1"/>
  <c r="Q234" i="1"/>
  <c r="AK234" i="1" s="1"/>
  <c r="R234" i="1"/>
  <c r="S234" i="1"/>
  <c r="T234" i="1"/>
  <c r="AF234" i="1"/>
  <c r="I235" i="1"/>
  <c r="J235" i="1"/>
  <c r="AD235" i="1" s="1"/>
  <c r="K235" i="1"/>
  <c r="L235" i="1"/>
  <c r="M235" i="1"/>
  <c r="N235" i="1"/>
  <c r="O235" i="1"/>
  <c r="P235" i="1"/>
  <c r="Q235" i="1"/>
  <c r="AK235" i="1" s="1"/>
  <c r="R235" i="1"/>
  <c r="S235" i="1"/>
  <c r="T235" i="1"/>
  <c r="AF235" i="1"/>
  <c r="I236" i="1"/>
  <c r="J236" i="1"/>
  <c r="AD236" i="1" s="1"/>
  <c r="K236" i="1"/>
  <c r="L236" i="1"/>
  <c r="M236" i="1"/>
  <c r="N236" i="1"/>
  <c r="O236" i="1"/>
  <c r="P236" i="1"/>
  <c r="Q236" i="1"/>
  <c r="AK236" i="1" s="1"/>
  <c r="R236" i="1"/>
  <c r="S236" i="1"/>
  <c r="T236" i="1"/>
  <c r="AF236" i="1"/>
  <c r="I237" i="1"/>
  <c r="J237" i="1"/>
  <c r="AD237" i="1" s="1"/>
  <c r="K237" i="1"/>
  <c r="L237" i="1"/>
  <c r="M237" i="1"/>
  <c r="N237" i="1"/>
  <c r="O237" i="1"/>
  <c r="P237" i="1"/>
  <c r="Q237" i="1"/>
  <c r="AK237" i="1" s="1"/>
  <c r="R237" i="1"/>
  <c r="S237" i="1"/>
  <c r="T237" i="1"/>
  <c r="AF237" i="1"/>
  <c r="I238" i="1"/>
  <c r="J238" i="1"/>
  <c r="AD238" i="1" s="1"/>
  <c r="K238" i="1"/>
  <c r="L238" i="1"/>
  <c r="M238" i="1"/>
  <c r="N238" i="1"/>
  <c r="O238" i="1"/>
  <c r="P238" i="1"/>
  <c r="Q238" i="1"/>
  <c r="AK238" i="1" s="1"/>
  <c r="R238" i="1"/>
  <c r="S238" i="1"/>
  <c r="T238" i="1"/>
  <c r="AF238" i="1"/>
  <c r="I239" i="1"/>
  <c r="J239" i="1"/>
  <c r="AD239" i="1" s="1"/>
  <c r="K239" i="1"/>
  <c r="L239" i="1"/>
  <c r="M239" i="1"/>
  <c r="N239" i="1"/>
  <c r="O239" i="1"/>
  <c r="P239" i="1"/>
  <c r="Q239" i="1"/>
  <c r="AK239" i="1" s="1"/>
  <c r="R239" i="1"/>
  <c r="S239" i="1"/>
  <c r="T239" i="1"/>
  <c r="AF239" i="1"/>
  <c r="I240" i="1"/>
  <c r="J240" i="1"/>
  <c r="AD240" i="1" s="1"/>
  <c r="K240" i="1"/>
  <c r="L240" i="1"/>
  <c r="M240" i="1"/>
  <c r="N240" i="1"/>
  <c r="O240" i="1"/>
  <c r="P240" i="1"/>
  <c r="Q240" i="1"/>
  <c r="AK240" i="1" s="1"/>
  <c r="R240" i="1"/>
  <c r="S240" i="1"/>
  <c r="T240" i="1"/>
  <c r="AF240" i="1"/>
  <c r="I241" i="1"/>
  <c r="J241" i="1"/>
  <c r="AD241" i="1" s="1"/>
  <c r="K241" i="1"/>
  <c r="L241" i="1"/>
  <c r="M241" i="1"/>
  <c r="N241" i="1"/>
  <c r="O241" i="1"/>
  <c r="P241" i="1"/>
  <c r="Q241" i="1"/>
  <c r="AK241" i="1" s="1"/>
  <c r="R241" i="1"/>
  <c r="S241" i="1"/>
  <c r="T241" i="1"/>
  <c r="AF241" i="1"/>
  <c r="I242" i="1"/>
  <c r="J242" i="1"/>
  <c r="AD242" i="1" s="1"/>
  <c r="K242" i="1"/>
  <c r="L242" i="1"/>
  <c r="M242" i="1"/>
  <c r="N242" i="1"/>
  <c r="O242" i="1"/>
  <c r="P242" i="1"/>
  <c r="Q242" i="1"/>
  <c r="AK242" i="1" s="1"/>
  <c r="R242" i="1"/>
  <c r="S242" i="1"/>
  <c r="T242" i="1"/>
  <c r="AF242" i="1"/>
  <c r="I243" i="1"/>
  <c r="J243" i="1"/>
  <c r="AD243" i="1" s="1"/>
  <c r="K243" i="1"/>
  <c r="L243" i="1"/>
  <c r="M243" i="1"/>
  <c r="N243" i="1"/>
  <c r="O243" i="1"/>
  <c r="P243" i="1"/>
  <c r="Q243" i="1"/>
  <c r="AK243" i="1" s="1"/>
  <c r="R243" i="1"/>
  <c r="S243" i="1"/>
  <c r="T243" i="1"/>
  <c r="AF243" i="1"/>
  <c r="I244" i="1"/>
  <c r="J244" i="1"/>
  <c r="AD244" i="1" s="1"/>
  <c r="K244" i="1"/>
  <c r="L244" i="1"/>
  <c r="M244" i="1"/>
  <c r="N244" i="1"/>
  <c r="O244" i="1"/>
  <c r="P244" i="1"/>
  <c r="Q244" i="1"/>
  <c r="AK244" i="1" s="1"/>
  <c r="R244" i="1"/>
  <c r="S244" i="1"/>
  <c r="T244" i="1"/>
  <c r="AF244" i="1"/>
  <c r="I245" i="1"/>
  <c r="J245" i="1"/>
  <c r="AD245" i="1" s="1"/>
  <c r="K245" i="1"/>
  <c r="L245" i="1"/>
  <c r="M245" i="1"/>
  <c r="N245" i="1"/>
  <c r="O245" i="1"/>
  <c r="P245" i="1"/>
  <c r="Q245" i="1"/>
  <c r="AK245" i="1" s="1"/>
  <c r="R245" i="1"/>
  <c r="S245" i="1"/>
  <c r="T245" i="1"/>
  <c r="AF245" i="1"/>
  <c r="I246" i="1"/>
  <c r="J246" i="1"/>
  <c r="AD246" i="1" s="1"/>
  <c r="K246" i="1"/>
  <c r="L246" i="1"/>
  <c r="M246" i="1"/>
  <c r="N246" i="1"/>
  <c r="O246" i="1"/>
  <c r="P246" i="1"/>
  <c r="Q246" i="1"/>
  <c r="AK246" i="1" s="1"/>
  <c r="R246" i="1"/>
  <c r="S246" i="1"/>
  <c r="T246" i="1"/>
  <c r="AF246" i="1"/>
  <c r="I247" i="1"/>
  <c r="J247" i="1"/>
  <c r="AD247" i="1" s="1"/>
  <c r="K247" i="1"/>
  <c r="L247" i="1"/>
  <c r="M247" i="1"/>
  <c r="N247" i="1"/>
  <c r="O247" i="1"/>
  <c r="P247" i="1"/>
  <c r="Q247" i="1"/>
  <c r="AK247" i="1" s="1"/>
  <c r="R247" i="1"/>
  <c r="S247" i="1"/>
  <c r="T247" i="1"/>
  <c r="AF247" i="1"/>
  <c r="I248" i="1"/>
  <c r="J248" i="1"/>
  <c r="AD248" i="1" s="1"/>
  <c r="K248" i="1"/>
  <c r="L248" i="1"/>
  <c r="M248" i="1"/>
  <c r="N248" i="1"/>
  <c r="O248" i="1"/>
  <c r="P248" i="1"/>
  <c r="Q248" i="1"/>
  <c r="AK248" i="1" s="1"/>
  <c r="R248" i="1"/>
  <c r="S248" i="1"/>
  <c r="T248" i="1"/>
  <c r="AF248" i="1"/>
  <c r="I249" i="1"/>
  <c r="J249" i="1"/>
  <c r="AD249" i="1" s="1"/>
  <c r="K249" i="1"/>
  <c r="L249" i="1"/>
  <c r="M249" i="1"/>
  <c r="N249" i="1"/>
  <c r="O249" i="1"/>
  <c r="P249" i="1"/>
  <c r="Q249" i="1"/>
  <c r="AK249" i="1" s="1"/>
  <c r="R249" i="1"/>
  <c r="S249" i="1"/>
  <c r="T249" i="1"/>
  <c r="AF249" i="1"/>
  <c r="I250" i="1"/>
  <c r="J250" i="1"/>
  <c r="AD250" i="1" s="1"/>
  <c r="K250" i="1"/>
  <c r="L250" i="1"/>
  <c r="M250" i="1"/>
  <c r="N250" i="1"/>
  <c r="O250" i="1"/>
  <c r="P250" i="1"/>
  <c r="Q250" i="1"/>
  <c r="AK250" i="1" s="1"/>
  <c r="R250" i="1"/>
  <c r="S250" i="1"/>
  <c r="T250" i="1"/>
  <c r="AF250" i="1"/>
  <c r="I251" i="1"/>
  <c r="J251" i="1"/>
  <c r="AD251" i="1" s="1"/>
  <c r="K251" i="1"/>
  <c r="L251" i="1"/>
  <c r="M251" i="1"/>
  <c r="N251" i="1"/>
  <c r="O251" i="1"/>
  <c r="P251" i="1"/>
  <c r="Q251" i="1"/>
  <c r="AK251" i="1" s="1"/>
  <c r="R251" i="1"/>
  <c r="S251" i="1"/>
  <c r="T251" i="1"/>
  <c r="AF251" i="1"/>
  <c r="I252" i="1"/>
  <c r="J252" i="1"/>
  <c r="AD252" i="1" s="1"/>
  <c r="K252" i="1"/>
  <c r="L252" i="1"/>
  <c r="M252" i="1"/>
  <c r="N252" i="1"/>
  <c r="O252" i="1"/>
  <c r="P252" i="1"/>
  <c r="Q252" i="1"/>
  <c r="AK252" i="1" s="1"/>
  <c r="R252" i="1"/>
  <c r="S252" i="1"/>
  <c r="T252" i="1"/>
  <c r="AF252" i="1"/>
  <c r="I253" i="1"/>
  <c r="J253" i="1"/>
  <c r="AD253" i="1" s="1"/>
  <c r="K253" i="1"/>
  <c r="L253" i="1"/>
  <c r="M253" i="1"/>
  <c r="N253" i="1"/>
  <c r="O253" i="1"/>
  <c r="P253" i="1"/>
  <c r="Q253" i="1"/>
  <c r="AK253" i="1" s="1"/>
  <c r="R253" i="1"/>
  <c r="S253" i="1"/>
  <c r="T253" i="1"/>
  <c r="AF253" i="1"/>
  <c r="I254" i="1"/>
  <c r="J254" i="1"/>
  <c r="AD254" i="1" s="1"/>
  <c r="K254" i="1"/>
  <c r="L254" i="1"/>
  <c r="M254" i="1"/>
  <c r="N254" i="1"/>
  <c r="O254" i="1"/>
  <c r="P254" i="1"/>
  <c r="Q254" i="1"/>
  <c r="AK254" i="1" s="1"/>
  <c r="R254" i="1"/>
  <c r="S254" i="1"/>
  <c r="T254" i="1"/>
  <c r="AF254" i="1"/>
  <c r="I255" i="1"/>
  <c r="J255" i="1"/>
  <c r="AD255" i="1" s="1"/>
  <c r="K255" i="1"/>
  <c r="L255" i="1"/>
  <c r="M255" i="1"/>
  <c r="N255" i="1"/>
  <c r="O255" i="1"/>
  <c r="P255" i="1"/>
  <c r="Q255" i="1"/>
  <c r="AK255" i="1" s="1"/>
  <c r="R255" i="1"/>
  <c r="S255" i="1"/>
  <c r="T255" i="1"/>
  <c r="AF255" i="1"/>
  <c r="I256" i="1"/>
  <c r="J256" i="1"/>
  <c r="AD256" i="1" s="1"/>
  <c r="K256" i="1"/>
  <c r="L256" i="1"/>
  <c r="M256" i="1"/>
  <c r="N256" i="1"/>
  <c r="O256" i="1"/>
  <c r="P256" i="1"/>
  <c r="Q256" i="1"/>
  <c r="AK256" i="1" s="1"/>
  <c r="R256" i="1"/>
  <c r="S256" i="1"/>
  <c r="T256" i="1"/>
  <c r="AF256" i="1"/>
  <c r="I257" i="1"/>
  <c r="J257" i="1"/>
  <c r="AD257" i="1" s="1"/>
  <c r="K257" i="1"/>
  <c r="L257" i="1"/>
  <c r="M257" i="1"/>
  <c r="N257" i="1"/>
  <c r="O257" i="1"/>
  <c r="P257" i="1"/>
  <c r="Q257" i="1"/>
  <c r="AK257" i="1" s="1"/>
  <c r="R257" i="1"/>
  <c r="S257" i="1"/>
  <c r="T257" i="1"/>
  <c r="AF257" i="1"/>
  <c r="I258" i="1"/>
  <c r="J258" i="1"/>
  <c r="AD258" i="1" s="1"/>
  <c r="K258" i="1"/>
  <c r="L258" i="1"/>
  <c r="M258" i="1"/>
  <c r="N258" i="1"/>
  <c r="O258" i="1"/>
  <c r="P258" i="1"/>
  <c r="Q258" i="1"/>
  <c r="AK258" i="1" s="1"/>
  <c r="R258" i="1"/>
  <c r="S258" i="1"/>
  <c r="T258" i="1"/>
  <c r="AF258" i="1"/>
  <c r="I259" i="1"/>
  <c r="J259" i="1"/>
  <c r="AD259" i="1" s="1"/>
  <c r="K259" i="1"/>
  <c r="L259" i="1"/>
  <c r="M259" i="1"/>
  <c r="N259" i="1"/>
  <c r="O259" i="1"/>
  <c r="P259" i="1"/>
  <c r="Q259" i="1"/>
  <c r="AK259" i="1" s="1"/>
  <c r="R259" i="1"/>
  <c r="S259" i="1"/>
  <c r="T259" i="1"/>
  <c r="AF259" i="1"/>
  <c r="I260" i="1"/>
  <c r="J260" i="1"/>
  <c r="AD260" i="1" s="1"/>
  <c r="K260" i="1"/>
  <c r="L260" i="1"/>
  <c r="M260" i="1"/>
  <c r="N260" i="1"/>
  <c r="O260" i="1"/>
  <c r="P260" i="1"/>
  <c r="Q260" i="1"/>
  <c r="AK260" i="1" s="1"/>
  <c r="R260" i="1"/>
  <c r="S260" i="1"/>
  <c r="T260" i="1"/>
  <c r="AF260" i="1"/>
  <c r="I261" i="1"/>
  <c r="J261" i="1"/>
  <c r="AD261" i="1" s="1"/>
  <c r="K261" i="1"/>
  <c r="L261" i="1"/>
  <c r="M261" i="1"/>
  <c r="N261" i="1"/>
  <c r="O261" i="1"/>
  <c r="P261" i="1"/>
  <c r="Q261" i="1"/>
  <c r="AK261" i="1" s="1"/>
  <c r="R261" i="1"/>
  <c r="S261" i="1"/>
  <c r="T261" i="1"/>
  <c r="AF261" i="1"/>
  <c r="I262" i="1"/>
  <c r="J262" i="1"/>
  <c r="AD262" i="1" s="1"/>
  <c r="K262" i="1"/>
  <c r="L262" i="1"/>
  <c r="M262" i="1"/>
  <c r="N262" i="1"/>
  <c r="O262" i="1"/>
  <c r="P262" i="1"/>
  <c r="Q262" i="1"/>
  <c r="AK262" i="1" s="1"/>
  <c r="R262" i="1"/>
  <c r="S262" i="1"/>
  <c r="T262" i="1"/>
  <c r="AF262" i="1"/>
  <c r="I263" i="1"/>
  <c r="J263" i="1"/>
  <c r="AD263" i="1" s="1"/>
  <c r="K263" i="1"/>
  <c r="L263" i="1"/>
  <c r="M263" i="1"/>
  <c r="N263" i="1"/>
  <c r="O263" i="1"/>
  <c r="P263" i="1"/>
  <c r="Q263" i="1"/>
  <c r="AK263" i="1" s="1"/>
  <c r="R263" i="1"/>
  <c r="S263" i="1"/>
  <c r="T263" i="1"/>
  <c r="AF263" i="1"/>
  <c r="I264" i="1"/>
  <c r="J264" i="1"/>
  <c r="AD264" i="1" s="1"/>
  <c r="K264" i="1"/>
  <c r="L264" i="1"/>
  <c r="M264" i="1"/>
  <c r="N264" i="1"/>
  <c r="O264" i="1"/>
  <c r="P264" i="1"/>
  <c r="Q264" i="1"/>
  <c r="AK264" i="1" s="1"/>
  <c r="R264" i="1"/>
  <c r="S264" i="1"/>
  <c r="T264" i="1"/>
  <c r="AF264" i="1"/>
  <c r="I265" i="1"/>
  <c r="J265" i="1"/>
  <c r="AD265" i="1" s="1"/>
  <c r="K265" i="1"/>
  <c r="L265" i="1"/>
  <c r="M265" i="1"/>
  <c r="N265" i="1"/>
  <c r="O265" i="1"/>
  <c r="P265" i="1"/>
  <c r="Q265" i="1"/>
  <c r="AK265" i="1" s="1"/>
  <c r="R265" i="1"/>
  <c r="S265" i="1"/>
  <c r="T265" i="1"/>
  <c r="AF265" i="1"/>
  <c r="I266" i="1"/>
  <c r="J266" i="1"/>
  <c r="AD266" i="1" s="1"/>
  <c r="K266" i="1"/>
  <c r="L266" i="1"/>
  <c r="M266" i="1"/>
  <c r="N266" i="1"/>
  <c r="O266" i="1"/>
  <c r="P266" i="1"/>
  <c r="Q266" i="1"/>
  <c r="AK266" i="1" s="1"/>
  <c r="R266" i="1"/>
  <c r="S266" i="1"/>
  <c r="T266" i="1"/>
  <c r="AF266" i="1"/>
  <c r="I267" i="1"/>
  <c r="J267" i="1"/>
  <c r="AD267" i="1" s="1"/>
  <c r="K267" i="1"/>
  <c r="L267" i="1"/>
  <c r="M267" i="1"/>
  <c r="N267" i="1"/>
  <c r="O267" i="1"/>
  <c r="P267" i="1"/>
  <c r="Q267" i="1"/>
  <c r="AK267" i="1" s="1"/>
  <c r="R267" i="1"/>
  <c r="S267" i="1"/>
  <c r="T267" i="1"/>
  <c r="AF267" i="1"/>
  <c r="I268" i="1"/>
  <c r="J268" i="1"/>
  <c r="AD268" i="1" s="1"/>
  <c r="K268" i="1"/>
  <c r="L268" i="1"/>
  <c r="M268" i="1"/>
  <c r="N268" i="1"/>
  <c r="O268" i="1"/>
  <c r="P268" i="1"/>
  <c r="Q268" i="1"/>
  <c r="AK268" i="1" s="1"/>
  <c r="R268" i="1"/>
  <c r="S268" i="1"/>
  <c r="T268" i="1"/>
  <c r="AF268" i="1"/>
  <c r="I269" i="1"/>
  <c r="J269" i="1"/>
  <c r="AD269" i="1" s="1"/>
  <c r="K269" i="1"/>
  <c r="L269" i="1"/>
  <c r="M269" i="1"/>
  <c r="N269" i="1"/>
  <c r="O269" i="1"/>
  <c r="P269" i="1"/>
  <c r="Q269" i="1"/>
  <c r="AK269" i="1" s="1"/>
  <c r="R269" i="1"/>
  <c r="S269" i="1"/>
  <c r="T269" i="1"/>
  <c r="AF269" i="1"/>
  <c r="I270" i="1"/>
  <c r="J270" i="1"/>
  <c r="AD270" i="1" s="1"/>
  <c r="K270" i="1"/>
  <c r="L270" i="1"/>
  <c r="M270" i="1"/>
  <c r="N270" i="1"/>
  <c r="O270" i="1"/>
  <c r="P270" i="1"/>
  <c r="Q270" i="1"/>
  <c r="AK270" i="1" s="1"/>
  <c r="R270" i="1"/>
  <c r="S270" i="1"/>
  <c r="T270" i="1"/>
  <c r="AF270" i="1"/>
  <c r="I271" i="1"/>
  <c r="J271" i="1"/>
  <c r="AD271" i="1" s="1"/>
  <c r="K271" i="1"/>
  <c r="L271" i="1"/>
  <c r="M271" i="1"/>
  <c r="N271" i="1"/>
  <c r="O271" i="1"/>
  <c r="P271" i="1"/>
  <c r="Q271" i="1"/>
  <c r="AK271" i="1" s="1"/>
  <c r="R271" i="1"/>
  <c r="S271" i="1"/>
  <c r="T271" i="1"/>
  <c r="AF271" i="1"/>
  <c r="I272" i="1"/>
  <c r="J272" i="1"/>
  <c r="AD272" i="1" s="1"/>
  <c r="K272" i="1"/>
  <c r="L272" i="1"/>
  <c r="M272" i="1"/>
  <c r="N272" i="1"/>
  <c r="O272" i="1"/>
  <c r="P272" i="1"/>
  <c r="Q272" i="1"/>
  <c r="AK272" i="1" s="1"/>
  <c r="R272" i="1"/>
  <c r="S272" i="1"/>
  <c r="T272" i="1"/>
  <c r="AF272" i="1"/>
  <c r="I273" i="1"/>
  <c r="J273" i="1"/>
  <c r="AD273" i="1" s="1"/>
  <c r="K273" i="1"/>
  <c r="L273" i="1"/>
  <c r="M273" i="1"/>
  <c r="N273" i="1"/>
  <c r="O273" i="1"/>
  <c r="P273" i="1"/>
  <c r="Q273" i="1"/>
  <c r="AK273" i="1" s="1"/>
  <c r="R273" i="1"/>
  <c r="S273" i="1"/>
  <c r="T273" i="1"/>
  <c r="AF273" i="1"/>
  <c r="I274" i="1"/>
  <c r="J274" i="1"/>
  <c r="AD274" i="1" s="1"/>
  <c r="K274" i="1"/>
  <c r="L274" i="1"/>
  <c r="M274" i="1"/>
  <c r="N274" i="1"/>
  <c r="O274" i="1"/>
  <c r="P274" i="1"/>
  <c r="Q274" i="1"/>
  <c r="AK274" i="1" s="1"/>
  <c r="R274" i="1"/>
  <c r="S274" i="1"/>
  <c r="T274" i="1"/>
  <c r="AF274" i="1"/>
  <c r="I275" i="1"/>
  <c r="J275" i="1"/>
  <c r="AD275" i="1" s="1"/>
  <c r="K275" i="1"/>
  <c r="L275" i="1"/>
  <c r="M275" i="1"/>
  <c r="N275" i="1"/>
  <c r="O275" i="1"/>
  <c r="P275" i="1"/>
  <c r="Q275" i="1"/>
  <c r="AK275" i="1" s="1"/>
  <c r="R275" i="1"/>
  <c r="S275" i="1"/>
  <c r="T275" i="1"/>
  <c r="AF275" i="1"/>
  <c r="I276" i="1"/>
  <c r="J276" i="1"/>
  <c r="AD276" i="1" s="1"/>
  <c r="K276" i="1"/>
  <c r="L276" i="1"/>
  <c r="M276" i="1"/>
  <c r="N276" i="1"/>
  <c r="O276" i="1"/>
  <c r="P276" i="1"/>
  <c r="Q276" i="1"/>
  <c r="AK276" i="1" s="1"/>
  <c r="R276" i="1"/>
  <c r="S276" i="1"/>
  <c r="T276" i="1"/>
  <c r="AF276" i="1"/>
  <c r="I277" i="1"/>
  <c r="J277" i="1"/>
  <c r="AD277" i="1" s="1"/>
  <c r="K277" i="1"/>
  <c r="L277" i="1"/>
  <c r="M277" i="1"/>
  <c r="N277" i="1"/>
  <c r="O277" i="1"/>
  <c r="P277" i="1"/>
  <c r="Q277" i="1"/>
  <c r="AK277" i="1" s="1"/>
  <c r="R277" i="1"/>
  <c r="S277" i="1"/>
  <c r="T277" i="1"/>
  <c r="AF277" i="1"/>
  <c r="I278" i="1"/>
  <c r="J278" i="1"/>
  <c r="AD278" i="1" s="1"/>
  <c r="K278" i="1"/>
  <c r="L278" i="1"/>
  <c r="M278" i="1"/>
  <c r="N278" i="1"/>
  <c r="O278" i="1"/>
  <c r="P278" i="1"/>
  <c r="Q278" i="1"/>
  <c r="AK278" i="1" s="1"/>
  <c r="R278" i="1"/>
  <c r="S278" i="1"/>
  <c r="T278" i="1"/>
  <c r="AF278" i="1"/>
  <c r="I279" i="1"/>
  <c r="J279" i="1"/>
  <c r="AD279" i="1" s="1"/>
  <c r="K279" i="1"/>
  <c r="L279" i="1"/>
  <c r="M279" i="1"/>
  <c r="N279" i="1"/>
  <c r="O279" i="1"/>
  <c r="P279" i="1"/>
  <c r="Q279" i="1"/>
  <c r="AK279" i="1" s="1"/>
  <c r="R279" i="1"/>
  <c r="S279" i="1"/>
  <c r="T279" i="1"/>
  <c r="AF279" i="1"/>
  <c r="I280" i="1"/>
  <c r="J280" i="1"/>
  <c r="AD280" i="1" s="1"/>
  <c r="K280" i="1"/>
  <c r="L280" i="1"/>
  <c r="M280" i="1"/>
  <c r="N280" i="1"/>
  <c r="O280" i="1"/>
  <c r="P280" i="1"/>
  <c r="Q280" i="1"/>
  <c r="AK280" i="1" s="1"/>
  <c r="R280" i="1"/>
  <c r="S280" i="1"/>
  <c r="T280" i="1"/>
  <c r="AF280" i="1"/>
  <c r="I281" i="1"/>
  <c r="J281" i="1"/>
  <c r="AD281" i="1" s="1"/>
  <c r="K281" i="1"/>
  <c r="L281" i="1"/>
  <c r="M281" i="1"/>
  <c r="N281" i="1"/>
  <c r="O281" i="1"/>
  <c r="P281" i="1"/>
  <c r="Q281" i="1"/>
  <c r="AK281" i="1" s="1"/>
  <c r="R281" i="1"/>
  <c r="S281" i="1"/>
  <c r="T281" i="1"/>
  <c r="AF281" i="1"/>
  <c r="I282" i="1"/>
  <c r="J282" i="1"/>
  <c r="AD282" i="1" s="1"/>
  <c r="K282" i="1"/>
  <c r="L282" i="1"/>
  <c r="M282" i="1"/>
  <c r="N282" i="1"/>
  <c r="O282" i="1"/>
  <c r="P282" i="1"/>
  <c r="Q282" i="1"/>
  <c r="AK282" i="1" s="1"/>
  <c r="R282" i="1"/>
  <c r="S282" i="1"/>
  <c r="T282" i="1"/>
  <c r="AF282" i="1"/>
  <c r="I283" i="1"/>
  <c r="J283" i="1"/>
  <c r="AD283" i="1" s="1"/>
  <c r="K283" i="1"/>
  <c r="L283" i="1"/>
  <c r="M283" i="1"/>
  <c r="N283" i="1"/>
  <c r="O283" i="1"/>
  <c r="P283" i="1"/>
  <c r="Q283" i="1"/>
  <c r="AK283" i="1" s="1"/>
  <c r="R283" i="1"/>
  <c r="S283" i="1"/>
  <c r="T283" i="1"/>
  <c r="AF283" i="1"/>
  <c r="I284" i="1"/>
  <c r="J284" i="1"/>
  <c r="AD284" i="1" s="1"/>
  <c r="K284" i="1"/>
  <c r="L284" i="1"/>
  <c r="M284" i="1"/>
  <c r="N284" i="1"/>
  <c r="O284" i="1"/>
  <c r="P284" i="1"/>
  <c r="Q284" i="1"/>
  <c r="AK284" i="1" s="1"/>
  <c r="R284" i="1"/>
  <c r="S284" i="1"/>
  <c r="T284" i="1"/>
  <c r="AF284" i="1"/>
  <c r="I285" i="1"/>
  <c r="J285" i="1"/>
  <c r="AD285" i="1" s="1"/>
  <c r="K285" i="1"/>
  <c r="L285" i="1"/>
  <c r="M285" i="1"/>
  <c r="N285" i="1"/>
  <c r="O285" i="1"/>
  <c r="P285" i="1"/>
  <c r="Q285" i="1"/>
  <c r="AK285" i="1" s="1"/>
  <c r="R285" i="1"/>
  <c r="S285" i="1"/>
  <c r="T285" i="1"/>
  <c r="AF285" i="1"/>
  <c r="I286" i="1"/>
  <c r="J286" i="1"/>
  <c r="AD286" i="1" s="1"/>
  <c r="K286" i="1"/>
  <c r="L286" i="1"/>
  <c r="M286" i="1"/>
  <c r="N286" i="1"/>
  <c r="O286" i="1"/>
  <c r="P286" i="1"/>
  <c r="Q286" i="1"/>
  <c r="AK286" i="1" s="1"/>
  <c r="R286" i="1"/>
  <c r="S286" i="1"/>
  <c r="T286" i="1"/>
  <c r="AF286" i="1"/>
  <c r="I287" i="1"/>
  <c r="J287" i="1"/>
  <c r="AD287" i="1" s="1"/>
  <c r="K287" i="1"/>
  <c r="L287" i="1"/>
  <c r="M287" i="1"/>
  <c r="N287" i="1"/>
  <c r="O287" i="1"/>
  <c r="P287" i="1"/>
  <c r="Q287" i="1"/>
  <c r="AK287" i="1" s="1"/>
  <c r="R287" i="1"/>
  <c r="S287" i="1"/>
  <c r="T287" i="1"/>
  <c r="AF287" i="1"/>
  <c r="I288" i="1"/>
  <c r="J288" i="1"/>
  <c r="AD288" i="1" s="1"/>
  <c r="K288" i="1"/>
  <c r="L288" i="1"/>
  <c r="M288" i="1"/>
  <c r="N288" i="1"/>
  <c r="O288" i="1"/>
  <c r="P288" i="1"/>
  <c r="Q288" i="1"/>
  <c r="AK288" i="1" s="1"/>
  <c r="R288" i="1"/>
  <c r="S288" i="1"/>
  <c r="T288" i="1"/>
  <c r="AF288" i="1"/>
  <c r="I289" i="1"/>
  <c r="J289" i="1"/>
  <c r="AD289" i="1" s="1"/>
  <c r="K289" i="1"/>
  <c r="L289" i="1"/>
  <c r="M289" i="1"/>
  <c r="N289" i="1"/>
  <c r="O289" i="1"/>
  <c r="P289" i="1"/>
  <c r="Q289" i="1"/>
  <c r="AK289" i="1" s="1"/>
  <c r="R289" i="1"/>
  <c r="S289" i="1"/>
  <c r="T289" i="1"/>
  <c r="AF289" i="1"/>
  <c r="I290" i="1"/>
  <c r="J290" i="1"/>
  <c r="AD290" i="1" s="1"/>
  <c r="K290" i="1"/>
  <c r="L290" i="1"/>
  <c r="M290" i="1"/>
  <c r="N290" i="1"/>
  <c r="O290" i="1"/>
  <c r="P290" i="1"/>
  <c r="Q290" i="1"/>
  <c r="AK290" i="1" s="1"/>
  <c r="R290" i="1"/>
  <c r="S290" i="1"/>
  <c r="T290" i="1"/>
  <c r="AF290" i="1"/>
  <c r="I291" i="1"/>
  <c r="J291" i="1"/>
  <c r="AD291" i="1" s="1"/>
  <c r="K291" i="1"/>
  <c r="L291" i="1"/>
  <c r="M291" i="1"/>
  <c r="N291" i="1"/>
  <c r="O291" i="1"/>
  <c r="P291" i="1"/>
  <c r="Q291" i="1"/>
  <c r="AK291" i="1" s="1"/>
  <c r="R291" i="1"/>
  <c r="S291" i="1"/>
  <c r="T291" i="1"/>
  <c r="AF291" i="1"/>
  <c r="I292" i="1"/>
  <c r="J292" i="1"/>
  <c r="AD292" i="1" s="1"/>
  <c r="K292" i="1"/>
  <c r="L292" i="1"/>
  <c r="M292" i="1"/>
  <c r="N292" i="1"/>
  <c r="O292" i="1"/>
  <c r="P292" i="1"/>
  <c r="Q292" i="1"/>
  <c r="AK292" i="1" s="1"/>
  <c r="R292" i="1"/>
  <c r="S292" i="1"/>
  <c r="T292" i="1"/>
  <c r="AF292" i="1"/>
  <c r="I293" i="1"/>
  <c r="J293" i="1"/>
  <c r="AD293" i="1" s="1"/>
  <c r="K293" i="1"/>
  <c r="L293" i="1"/>
  <c r="M293" i="1"/>
  <c r="N293" i="1"/>
  <c r="O293" i="1"/>
  <c r="P293" i="1"/>
  <c r="Q293" i="1"/>
  <c r="AK293" i="1" s="1"/>
  <c r="R293" i="1"/>
  <c r="S293" i="1"/>
  <c r="T293" i="1"/>
  <c r="AF293" i="1"/>
  <c r="I294" i="1"/>
  <c r="J294" i="1"/>
  <c r="AD294" i="1" s="1"/>
  <c r="K294" i="1"/>
  <c r="L294" i="1"/>
  <c r="M294" i="1"/>
  <c r="N294" i="1"/>
  <c r="O294" i="1"/>
  <c r="P294" i="1"/>
  <c r="Q294" i="1"/>
  <c r="AK294" i="1" s="1"/>
  <c r="R294" i="1"/>
  <c r="S294" i="1"/>
  <c r="T294" i="1"/>
  <c r="AF294" i="1"/>
  <c r="I295" i="1"/>
  <c r="J295" i="1"/>
  <c r="AD295" i="1" s="1"/>
  <c r="K295" i="1"/>
  <c r="L295" i="1"/>
  <c r="M295" i="1"/>
  <c r="N295" i="1"/>
  <c r="O295" i="1"/>
  <c r="P295" i="1"/>
  <c r="Q295" i="1"/>
  <c r="AK295" i="1" s="1"/>
  <c r="R295" i="1"/>
  <c r="S295" i="1"/>
  <c r="T295" i="1"/>
  <c r="AF295" i="1"/>
  <c r="I296" i="1"/>
  <c r="J296" i="1"/>
  <c r="AD296" i="1" s="1"/>
  <c r="K296" i="1"/>
  <c r="L296" i="1"/>
  <c r="M296" i="1"/>
  <c r="N296" i="1"/>
  <c r="O296" i="1"/>
  <c r="P296" i="1"/>
  <c r="Q296" i="1"/>
  <c r="AK296" i="1" s="1"/>
  <c r="R296" i="1"/>
  <c r="S296" i="1"/>
  <c r="T296" i="1"/>
  <c r="AF296" i="1"/>
  <c r="I297" i="1"/>
  <c r="J297" i="1"/>
  <c r="AD297" i="1" s="1"/>
  <c r="K297" i="1"/>
  <c r="L297" i="1"/>
  <c r="M297" i="1"/>
  <c r="N297" i="1"/>
  <c r="O297" i="1"/>
  <c r="P297" i="1"/>
  <c r="Q297" i="1"/>
  <c r="AK297" i="1" s="1"/>
  <c r="R297" i="1"/>
  <c r="S297" i="1"/>
  <c r="T297" i="1"/>
  <c r="AF297" i="1"/>
  <c r="I298" i="1"/>
  <c r="J298" i="1"/>
  <c r="AD298" i="1" s="1"/>
  <c r="K298" i="1"/>
  <c r="L298" i="1"/>
  <c r="M298" i="1"/>
  <c r="N298" i="1"/>
  <c r="O298" i="1"/>
  <c r="P298" i="1"/>
  <c r="Q298" i="1"/>
  <c r="AK298" i="1" s="1"/>
  <c r="R298" i="1"/>
  <c r="S298" i="1"/>
  <c r="T298" i="1"/>
  <c r="AF298" i="1"/>
  <c r="I299" i="1"/>
  <c r="J299" i="1"/>
  <c r="AD299" i="1" s="1"/>
  <c r="K299" i="1"/>
  <c r="L299" i="1"/>
  <c r="M299" i="1"/>
  <c r="N299" i="1"/>
  <c r="O299" i="1"/>
  <c r="P299" i="1"/>
  <c r="Q299" i="1"/>
  <c r="AK299" i="1" s="1"/>
  <c r="R299" i="1"/>
  <c r="S299" i="1"/>
  <c r="T299" i="1"/>
  <c r="AF299" i="1"/>
  <c r="I300" i="1"/>
  <c r="J300" i="1"/>
  <c r="AD300" i="1" s="1"/>
  <c r="K300" i="1"/>
  <c r="L300" i="1"/>
  <c r="M300" i="1"/>
  <c r="N300" i="1"/>
  <c r="O300" i="1"/>
  <c r="P300" i="1"/>
  <c r="Q300" i="1"/>
  <c r="AK300" i="1" s="1"/>
  <c r="R300" i="1"/>
  <c r="S300" i="1"/>
  <c r="T300" i="1"/>
  <c r="AF300" i="1"/>
  <c r="I301" i="1"/>
  <c r="J301" i="1"/>
  <c r="AD301" i="1" s="1"/>
  <c r="K301" i="1"/>
  <c r="L301" i="1"/>
  <c r="M301" i="1"/>
  <c r="N301" i="1"/>
  <c r="O301" i="1"/>
  <c r="P301" i="1"/>
  <c r="Q301" i="1"/>
  <c r="AK301" i="1" s="1"/>
  <c r="R301" i="1"/>
  <c r="S301" i="1"/>
  <c r="T301" i="1"/>
  <c r="AF301" i="1"/>
  <c r="I302" i="1"/>
  <c r="J302" i="1"/>
  <c r="AD302" i="1" s="1"/>
  <c r="K302" i="1"/>
  <c r="L302" i="1"/>
  <c r="M302" i="1"/>
  <c r="N302" i="1"/>
  <c r="O302" i="1"/>
  <c r="P302" i="1"/>
  <c r="Q302" i="1"/>
  <c r="AK302" i="1" s="1"/>
  <c r="R302" i="1"/>
  <c r="S302" i="1"/>
  <c r="T302" i="1"/>
  <c r="AF302" i="1"/>
  <c r="I303" i="1"/>
  <c r="J303" i="1"/>
  <c r="AD303" i="1" s="1"/>
  <c r="K303" i="1"/>
  <c r="L303" i="1"/>
  <c r="M303" i="1"/>
  <c r="N303" i="1"/>
  <c r="O303" i="1"/>
  <c r="P303" i="1"/>
  <c r="Q303" i="1"/>
  <c r="AK303" i="1" s="1"/>
  <c r="R303" i="1"/>
  <c r="S303" i="1"/>
  <c r="T303" i="1"/>
  <c r="AF303" i="1"/>
  <c r="I304" i="1"/>
  <c r="J304" i="1"/>
  <c r="AD304" i="1" s="1"/>
  <c r="K304" i="1"/>
  <c r="L304" i="1"/>
  <c r="M304" i="1"/>
  <c r="N304" i="1"/>
  <c r="O304" i="1"/>
  <c r="P304" i="1"/>
  <c r="Q304" i="1"/>
  <c r="AK304" i="1" s="1"/>
  <c r="R304" i="1"/>
  <c r="S304" i="1"/>
  <c r="T304" i="1"/>
  <c r="AF304" i="1"/>
  <c r="I305" i="1"/>
  <c r="J305" i="1"/>
  <c r="AD305" i="1" s="1"/>
  <c r="K305" i="1"/>
  <c r="L305" i="1"/>
  <c r="M305" i="1"/>
  <c r="N305" i="1"/>
  <c r="O305" i="1"/>
  <c r="P305" i="1"/>
  <c r="Q305" i="1"/>
  <c r="AK305" i="1" s="1"/>
  <c r="R305" i="1"/>
  <c r="S305" i="1"/>
  <c r="T305" i="1"/>
  <c r="AF305" i="1"/>
  <c r="I306" i="1"/>
  <c r="J306" i="1"/>
  <c r="AD306" i="1" s="1"/>
  <c r="K306" i="1"/>
  <c r="L306" i="1"/>
  <c r="M306" i="1"/>
  <c r="N306" i="1"/>
  <c r="O306" i="1"/>
  <c r="P306" i="1"/>
  <c r="Q306" i="1"/>
  <c r="AK306" i="1" s="1"/>
  <c r="R306" i="1"/>
  <c r="S306" i="1"/>
  <c r="T306" i="1"/>
  <c r="AF306" i="1"/>
  <c r="I307" i="1"/>
  <c r="J307" i="1"/>
  <c r="AD307" i="1" s="1"/>
  <c r="K307" i="1"/>
  <c r="L307" i="1"/>
  <c r="M307" i="1"/>
  <c r="N307" i="1"/>
  <c r="O307" i="1"/>
  <c r="P307" i="1"/>
  <c r="Q307" i="1"/>
  <c r="AK307" i="1" s="1"/>
  <c r="R307" i="1"/>
  <c r="S307" i="1"/>
  <c r="T307" i="1"/>
  <c r="AF307" i="1"/>
  <c r="I308" i="1"/>
  <c r="J308" i="1"/>
  <c r="AD308" i="1" s="1"/>
  <c r="K308" i="1"/>
  <c r="L308" i="1"/>
  <c r="M308" i="1"/>
  <c r="N308" i="1"/>
  <c r="O308" i="1"/>
  <c r="P308" i="1"/>
  <c r="Q308" i="1"/>
  <c r="AK308" i="1" s="1"/>
  <c r="R308" i="1"/>
  <c r="S308" i="1"/>
  <c r="T308" i="1"/>
  <c r="AF308" i="1"/>
  <c r="I309" i="1"/>
  <c r="J309" i="1"/>
  <c r="AD309" i="1" s="1"/>
  <c r="K309" i="1"/>
  <c r="L309" i="1"/>
  <c r="M309" i="1"/>
  <c r="N309" i="1"/>
  <c r="O309" i="1"/>
  <c r="P309" i="1"/>
  <c r="Q309" i="1"/>
  <c r="AK309" i="1" s="1"/>
  <c r="R309" i="1"/>
  <c r="S309" i="1"/>
  <c r="T309" i="1"/>
  <c r="AF309" i="1"/>
  <c r="I310" i="1"/>
  <c r="J310" i="1"/>
  <c r="AD310" i="1" s="1"/>
  <c r="K310" i="1"/>
  <c r="L310" i="1"/>
  <c r="M310" i="1"/>
  <c r="N310" i="1"/>
  <c r="O310" i="1"/>
  <c r="P310" i="1"/>
  <c r="Q310" i="1"/>
  <c r="AK310" i="1" s="1"/>
  <c r="R310" i="1"/>
  <c r="S310" i="1"/>
  <c r="T310" i="1"/>
  <c r="AF310" i="1"/>
  <c r="I311" i="1"/>
  <c r="J311" i="1"/>
  <c r="AD311" i="1" s="1"/>
  <c r="K311" i="1"/>
  <c r="L311" i="1"/>
  <c r="M311" i="1"/>
  <c r="N311" i="1"/>
  <c r="O311" i="1"/>
  <c r="P311" i="1"/>
  <c r="Q311" i="1"/>
  <c r="AK311" i="1" s="1"/>
  <c r="R311" i="1"/>
  <c r="S311" i="1"/>
  <c r="T311" i="1"/>
  <c r="AF311" i="1"/>
  <c r="I312" i="1"/>
  <c r="J312" i="1"/>
  <c r="AD312" i="1" s="1"/>
  <c r="K312" i="1"/>
  <c r="L312" i="1"/>
  <c r="M312" i="1"/>
  <c r="N312" i="1"/>
  <c r="O312" i="1"/>
  <c r="P312" i="1"/>
  <c r="Q312" i="1"/>
  <c r="AK312" i="1" s="1"/>
  <c r="R312" i="1"/>
  <c r="S312" i="1"/>
  <c r="T312" i="1"/>
  <c r="AF312" i="1"/>
  <c r="I313" i="1"/>
  <c r="J313" i="1"/>
  <c r="AD313" i="1" s="1"/>
  <c r="K313" i="1"/>
  <c r="L313" i="1"/>
  <c r="M313" i="1"/>
  <c r="N313" i="1"/>
  <c r="O313" i="1"/>
  <c r="P313" i="1"/>
  <c r="Q313" i="1"/>
  <c r="AK313" i="1" s="1"/>
  <c r="R313" i="1"/>
  <c r="S313" i="1"/>
  <c r="T313" i="1"/>
  <c r="AF313" i="1"/>
  <c r="I314" i="1"/>
  <c r="J314" i="1"/>
  <c r="AD314" i="1" s="1"/>
  <c r="K314" i="1"/>
  <c r="L314" i="1"/>
  <c r="M314" i="1"/>
  <c r="N314" i="1"/>
  <c r="O314" i="1"/>
  <c r="P314" i="1"/>
  <c r="Q314" i="1"/>
  <c r="AK314" i="1" s="1"/>
  <c r="R314" i="1"/>
  <c r="S314" i="1"/>
  <c r="T314" i="1"/>
  <c r="AF314" i="1"/>
  <c r="I315" i="1"/>
  <c r="J315" i="1"/>
  <c r="AD315" i="1" s="1"/>
  <c r="K315" i="1"/>
  <c r="L315" i="1"/>
  <c r="M315" i="1"/>
  <c r="N315" i="1"/>
  <c r="O315" i="1"/>
  <c r="P315" i="1"/>
  <c r="Q315" i="1"/>
  <c r="AK315" i="1" s="1"/>
  <c r="R315" i="1"/>
  <c r="S315" i="1"/>
  <c r="T315" i="1"/>
  <c r="AF315" i="1"/>
  <c r="I316" i="1"/>
  <c r="J316" i="1"/>
  <c r="AD316" i="1" s="1"/>
  <c r="K316" i="1"/>
  <c r="L316" i="1"/>
  <c r="M316" i="1"/>
  <c r="N316" i="1"/>
  <c r="O316" i="1"/>
  <c r="P316" i="1"/>
  <c r="Q316" i="1"/>
  <c r="AK316" i="1" s="1"/>
  <c r="R316" i="1"/>
  <c r="S316" i="1"/>
  <c r="T316" i="1"/>
  <c r="AF316" i="1"/>
  <c r="I317" i="1"/>
  <c r="J317" i="1"/>
  <c r="AD317" i="1" s="1"/>
  <c r="K317" i="1"/>
  <c r="L317" i="1"/>
  <c r="M317" i="1"/>
  <c r="N317" i="1"/>
  <c r="O317" i="1"/>
  <c r="P317" i="1"/>
  <c r="Q317" i="1"/>
  <c r="AK317" i="1" s="1"/>
  <c r="R317" i="1"/>
  <c r="S317" i="1"/>
  <c r="T317" i="1"/>
  <c r="AF317" i="1"/>
  <c r="I318" i="1"/>
  <c r="J318" i="1"/>
  <c r="AD318" i="1" s="1"/>
  <c r="K318" i="1"/>
  <c r="L318" i="1"/>
  <c r="M318" i="1"/>
  <c r="N318" i="1"/>
  <c r="O318" i="1"/>
  <c r="P318" i="1"/>
  <c r="Q318" i="1"/>
  <c r="AK318" i="1" s="1"/>
  <c r="R318" i="1"/>
  <c r="S318" i="1"/>
  <c r="T318" i="1"/>
  <c r="AF318" i="1"/>
  <c r="I319" i="1"/>
  <c r="J319" i="1"/>
  <c r="AD319" i="1" s="1"/>
  <c r="K319" i="1"/>
  <c r="L319" i="1"/>
  <c r="M319" i="1"/>
  <c r="N319" i="1"/>
  <c r="O319" i="1"/>
  <c r="P319" i="1"/>
  <c r="Q319" i="1"/>
  <c r="AK319" i="1" s="1"/>
  <c r="R319" i="1"/>
  <c r="S319" i="1"/>
  <c r="T319" i="1"/>
  <c r="AF319" i="1"/>
  <c r="I320" i="1"/>
  <c r="J320" i="1"/>
  <c r="AD320" i="1" s="1"/>
  <c r="K320" i="1"/>
  <c r="L320" i="1"/>
  <c r="M320" i="1"/>
  <c r="N320" i="1"/>
  <c r="O320" i="1"/>
  <c r="P320" i="1"/>
  <c r="Q320" i="1"/>
  <c r="AK320" i="1" s="1"/>
  <c r="R320" i="1"/>
  <c r="S320" i="1"/>
  <c r="T320" i="1"/>
  <c r="AF320" i="1"/>
  <c r="I321" i="1"/>
  <c r="J321" i="1"/>
  <c r="AD321" i="1" s="1"/>
  <c r="K321" i="1"/>
  <c r="L321" i="1"/>
  <c r="M321" i="1"/>
  <c r="N321" i="1"/>
  <c r="O321" i="1"/>
  <c r="P321" i="1"/>
  <c r="Q321" i="1"/>
  <c r="AK321" i="1" s="1"/>
  <c r="R321" i="1"/>
  <c r="S321" i="1"/>
  <c r="T321" i="1"/>
  <c r="AF321" i="1"/>
  <c r="I322" i="1"/>
  <c r="J322" i="1"/>
  <c r="AD322" i="1" s="1"/>
  <c r="K322" i="1"/>
  <c r="L322" i="1"/>
  <c r="M322" i="1"/>
  <c r="N322" i="1"/>
  <c r="O322" i="1"/>
  <c r="P322" i="1"/>
  <c r="Q322" i="1"/>
  <c r="AK322" i="1" s="1"/>
  <c r="R322" i="1"/>
  <c r="S322" i="1"/>
  <c r="T322" i="1"/>
  <c r="AF322" i="1"/>
  <c r="AJ136" i="1" l="1"/>
  <c r="AJ79" i="1"/>
  <c r="AJ97" i="1"/>
  <c r="AJ128" i="1"/>
  <c r="AJ153" i="1"/>
  <c r="AJ55" i="1"/>
  <c r="AJ88" i="1"/>
  <c r="AJ152" i="1"/>
  <c r="AJ49" i="1"/>
  <c r="AJ61" i="1"/>
  <c r="AJ39" i="1"/>
  <c r="AJ74" i="1"/>
  <c r="AJ48" i="1"/>
  <c r="AJ90" i="1"/>
  <c r="AJ157" i="1"/>
  <c r="AJ108" i="1"/>
  <c r="AJ145" i="1"/>
  <c r="AJ133" i="1"/>
  <c r="AJ140" i="1"/>
  <c r="AJ76" i="1"/>
  <c r="AJ146" i="1"/>
  <c r="AJ85" i="1"/>
  <c r="AJ102" i="1"/>
  <c r="AJ138" i="1"/>
  <c r="AJ63" i="1"/>
  <c r="AJ111" i="1"/>
  <c r="AJ118" i="1"/>
  <c r="AJ45" i="1"/>
  <c r="AJ149" i="1"/>
  <c r="AJ101" i="1"/>
  <c r="AJ87" i="1"/>
  <c r="AJ42" i="1"/>
  <c r="AJ92" i="1"/>
  <c r="AJ86" i="1"/>
  <c r="AJ124" i="1"/>
  <c r="AJ81" i="1"/>
  <c r="AJ66" i="1"/>
  <c r="AJ141" i="1"/>
  <c r="AJ57" i="1"/>
  <c r="AJ77" i="1"/>
  <c r="AJ115" i="1"/>
  <c r="AJ98" i="1"/>
  <c r="AJ117" i="1"/>
  <c r="AJ116" i="1"/>
  <c r="AJ137" i="1"/>
  <c r="AJ155" i="1"/>
  <c r="AJ139" i="1"/>
  <c r="AJ144" i="1"/>
  <c r="AJ150" i="1"/>
  <c r="AJ134" i="1"/>
  <c r="AJ71" i="1"/>
  <c r="AJ114" i="1"/>
  <c r="AJ99" i="1"/>
  <c r="AJ96" i="1"/>
  <c r="AJ122" i="1"/>
  <c r="AJ159" i="1"/>
  <c r="AJ60" i="1"/>
  <c r="AJ130" i="1"/>
  <c r="AJ64" i="1"/>
  <c r="AJ75" i="1"/>
  <c r="AJ73" i="1"/>
  <c r="AJ135" i="1"/>
  <c r="AJ106" i="1"/>
  <c r="AJ142" i="1"/>
  <c r="AJ40" i="1"/>
  <c r="AJ126" i="1"/>
  <c r="AJ105" i="1"/>
  <c r="AJ43" i="1"/>
  <c r="AJ104" i="1"/>
  <c r="AJ69" i="1"/>
  <c r="AJ68" i="1"/>
  <c r="AJ80" i="1"/>
  <c r="AJ147" i="1"/>
  <c r="AJ121" i="1"/>
  <c r="AJ131" i="1"/>
  <c r="AJ154" i="1"/>
  <c r="AJ51" i="1"/>
  <c r="AJ72" i="1"/>
  <c r="AJ46" i="1"/>
  <c r="AJ120" i="1"/>
  <c r="AJ119" i="1"/>
  <c r="AJ91" i="1"/>
  <c r="AJ58" i="1"/>
  <c r="AJ82" i="1"/>
  <c r="AJ53" i="1"/>
  <c r="AJ151" i="1"/>
  <c r="AJ103" i="1"/>
  <c r="AJ50" i="1"/>
  <c r="AJ52" i="1"/>
  <c r="AJ89" i="1"/>
  <c r="AJ70" i="1"/>
  <c r="AJ148" i="1"/>
  <c r="AJ112" i="1"/>
  <c r="AJ65" i="1"/>
  <c r="AJ95" i="1"/>
  <c r="AJ84" i="1"/>
  <c r="AJ47" i="1"/>
  <c r="H322" i="1"/>
  <c r="G322" i="1"/>
  <c r="AJ322" i="1"/>
  <c r="AI322" i="1"/>
  <c r="AH322" i="1"/>
  <c r="AG322" i="1"/>
  <c r="AE322" i="1"/>
  <c r="W322" i="1"/>
  <c r="V322" i="1"/>
  <c r="F322" i="1"/>
  <c r="O8" i="1"/>
  <c r="K8" i="1"/>
  <c r="J8" i="1"/>
  <c r="T18" i="1"/>
  <c r="R18" i="1"/>
  <c r="P18" i="1"/>
  <c r="N18" i="1"/>
  <c r="L18" i="1"/>
  <c r="AD323" i="1" a="1"/>
  <c r="AD323" i="1" s="1"/>
  <c r="E322" i="1"/>
  <c r="D322" i="1"/>
  <c r="C322" i="1"/>
  <c r="B322" i="1"/>
  <c r="H321" i="1"/>
  <c r="G321" i="1"/>
  <c r="AJ321" i="1"/>
  <c r="AI321" i="1"/>
  <c r="AH321" i="1"/>
  <c r="AG321" i="1"/>
  <c r="AE321" i="1"/>
  <c r="W321" i="1"/>
  <c r="V321" i="1"/>
  <c r="F321" i="1"/>
  <c r="E321" i="1"/>
  <c r="D321" i="1"/>
  <c r="C321" i="1"/>
  <c r="B321" i="1"/>
  <c r="H320" i="1"/>
  <c r="G320" i="1"/>
  <c r="AJ320" i="1"/>
  <c r="AI320" i="1"/>
  <c r="AH320" i="1"/>
  <c r="AG320" i="1"/>
  <c r="AE320" i="1"/>
  <c r="W320" i="1"/>
  <c r="V320" i="1"/>
  <c r="F320" i="1"/>
  <c r="E320" i="1"/>
  <c r="D320" i="1"/>
  <c r="C320" i="1"/>
  <c r="B320" i="1"/>
  <c r="H319" i="1"/>
  <c r="G319" i="1"/>
  <c r="AJ319" i="1"/>
  <c r="AI319" i="1"/>
  <c r="AH319" i="1"/>
  <c r="AG319" i="1"/>
  <c r="AE319" i="1"/>
  <c r="W319" i="1"/>
  <c r="V319" i="1"/>
  <c r="F319" i="1"/>
  <c r="E319" i="1"/>
  <c r="D319" i="1"/>
  <c r="C319" i="1"/>
  <c r="B319" i="1"/>
  <c r="H318" i="1"/>
  <c r="G318" i="1"/>
  <c r="AJ318" i="1"/>
  <c r="AI318" i="1"/>
  <c r="AH318" i="1"/>
  <c r="AG318" i="1"/>
  <c r="AE318" i="1"/>
  <c r="W318" i="1"/>
  <c r="V318" i="1"/>
  <c r="F318" i="1"/>
  <c r="E318" i="1"/>
  <c r="D318" i="1"/>
  <c r="C318" i="1"/>
  <c r="B318" i="1"/>
  <c r="H317" i="1"/>
  <c r="G317" i="1"/>
  <c r="AJ317" i="1"/>
  <c r="AI317" i="1"/>
  <c r="AH317" i="1"/>
  <c r="AG317" i="1"/>
  <c r="AE317" i="1"/>
  <c r="W317" i="1"/>
  <c r="V317" i="1"/>
  <c r="F317" i="1"/>
  <c r="E317" i="1"/>
  <c r="D317" i="1"/>
  <c r="C317" i="1"/>
  <c r="B317" i="1"/>
  <c r="H316" i="1"/>
  <c r="G316" i="1"/>
  <c r="AJ316" i="1"/>
  <c r="AI316" i="1"/>
  <c r="AH316" i="1"/>
  <c r="AG316" i="1"/>
  <c r="AE316" i="1"/>
  <c r="W316" i="1"/>
  <c r="V316" i="1"/>
  <c r="F316" i="1"/>
  <c r="E316" i="1"/>
  <c r="D316" i="1"/>
  <c r="C316" i="1"/>
  <c r="B316" i="1"/>
  <c r="H315" i="1"/>
  <c r="G315" i="1"/>
  <c r="AJ315" i="1"/>
  <c r="AI315" i="1"/>
  <c r="AH315" i="1"/>
  <c r="AG315" i="1"/>
  <c r="AE315" i="1"/>
  <c r="W315" i="1"/>
  <c r="V315" i="1"/>
  <c r="F315" i="1"/>
  <c r="E315" i="1"/>
  <c r="D315" i="1"/>
  <c r="C315" i="1"/>
  <c r="B315" i="1"/>
  <c r="H314" i="1"/>
  <c r="G314" i="1"/>
  <c r="AJ314" i="1"/>
  <c r="AI314" i="1"/>
  <c r="AH314" i="1"/>
  <c r="AG314" i="1"/>
  <c r="AE314" i="1"/>
  <c r="W314" i="1"/>
  <c r="V314" i="1"/>
  <c r="F314" i="1"/>
  <c r="E314" i="1"/>
  <c r="D314" i="1"/>
  <c r="C314" i="1"/>
  <c r="B314" i="1"/>
  <c r="H313" i="1"/>
  <c r="G313" i="1"/>
  <c r="AJ313" i="1"/>
  <c r="AI313" i="1"/>
  <c r="AH313" i="1"/>
  <c r="AG313" i="1"/>
  <c r="AE313" i="1"/>
  <c r="W313" i="1"/>
  <c r="V313" i="1"/>
  <c r="F313" i="1"/>
  <c r="E313" i="1"/>
  <c r="D313" i="1"/>
  <c r="C313" i="1"/>
  <c r="B313" i="1"/>
  <c r="H312" i="1"/>
  <c r="G312" i="1"/>
  <c r="AJ312" i="1"/>
  <c r="AI312" i="1"/>
  <c r="AH312" i="1"/>
  <c r="AG312" i="1"/>
  <c r="AE312" i="1"/>
  <c r="W312" i="1"/>
  <c r="V312" i="1"/>
  <c r="F312" i="1"/>
  <c r="E312" i="1"/>
  <c r="D312" i="1"/>
  <c r="C312" i="1"/>
  <c r="B312" i="1"/>
  <c r="H311" i="1"/>
  <c r="G311" i="1"/>
  <c r="AJ311" i="1"/>
  <c r="AI311" i="1"/>
  <c r="AH311" i="1"/>
  <c r="AG311" i="1"/>
  <c r="AE311" i="1"/>
  <c r="W311" i="1"/>
  <c r="V311" i="1"/>
  <c r="F311" i="1"/>
  <c r="E311" i="1"/>
  <c r="D311" i="1"/>
  <c r="C311" i="1"/>
  <c r="B311" i="1"/>
  <c r="H310" i="1"/>
  <c r="G310" i="1"/>
  <c r="AJ310" i="1"/>
  <c r="AI310" i="1"/>
  <c r="AH310" i="1"/>
  <c r="AG310" i="1"/>
  <c r="AE310" i="1"/>
  <c r="W310" i="1"/>
  <c r="V310" i="1"/>
  <c r="F310" i="1"/>
  <c r="E310" i="1"/>
  <c r="D310" i="1"/>
  <c r="C310" i="1"/>
  <c r="B310" i="1"/>
  <c r="H309" i="1"/>
  <c r="G309" i="1"/>
  <c r="AJ309" i="1"/>
  <c r="AI309" i="1"/>
  <c r="AH309" i="1"/>
  <c r="AG309" i="1"/>
  <c r="AE309" i="1"/>
  <c r="W309" i="1"/>
  <c r="V309" i="1"/>
  <c r="F309" i="1"/>
  <c r="E309" i="1"/>
  <c r="D309" i="1"/>
  <c r="C309" i="1"/>
  <c r="B309" i="1"/>
  <c r="H308" i="1"/>
  <c r="G308" i="1"/>
  <c r="AJ308" i="1"/>
  <c r="AI308" i="1"/>
  <c r="AH308" i="1"/>
  <c r="AG308" i="1"/>
  <c r="AE308" i="1"/>
  <c r="W308" i="1"/>
  <c r="V308" i="1"/>
  <c r="F308" i="1"/>
  <c r="E308" i="1"/>
  <c r="D308" i="1"/>
  <c r="C308" i="1"/>
  <c r="B308" i="1"/>
  <c r="H307" i="1"/>
  <c r="G307" i="1"/>
  <c r="AJ307" i="1"/>
  <c r="AI307" i="1"/>
  <c r="AH307" i="1"/>
  <c r="AG307" i="1"/>
  <c r="AE307" i="1"/>
  <c r="W307" i="1"/>
  <c r="V307" i="1"/>
  <c r="F307" i="1"/>
  <c r="E307" i="1"/>
  <c r="D307" i="1"/>
  <c r="C307" i="1"/>
  <c r="B307" i="1"/>
  <c r="H306" i="1"/>
  <c r="G306" i="1"/>
  <c r="AJ306" i="1"/>
  <c r="AI306" i="1"/>
  <c r="AH306" i="1"/>
  <c r="AG306" i="1"/>
  <c r="AE306" i="1"/>
  <c r="W306" i="1"/>
  <c r="V306" i="1"/>
  <c r="F306" i="1"/>
  <c r="E306" i="1"/>
  <c r="D306" i="1"/>
  <c r="C306" i="1"/>
  <c r="B306" i="1"/>
  <c r="H305" i="1"/>
  <c r="G305" i="1"/>
  <c r="AJ305" i="1"/>
  <c r="AI305" i="1"/>
  <c r="AH305" i="1"/>
  <c r="AG305" i="1"/>
  <c r="AE305" i="1"/>
  <c r="W305" i="1"/>
  <c r="V305" i="1"/>
  <c r="F305" i="1"/>
  <c r="E305" i="1"/>
  <c r="D305" i="1"/>
  <c r="C305" i="1"/>
  <c r="B305" i="1"/>
  <c r="H304" i="1"/>
  <c r="G304" i="1"/>
  <c r="AJ304" i="1"/>
  <c r="AI304" i="1"/>
  <c r="AH304" i="1"/>
  <c r="AG304" i="1"/>
  <c r="AE304" i="1"/>
  <c r="W304" i="1"/>
  <c r="V304" i="1"/>
  <c r="F304" i="1"/>
  <c r="E304" i="1"/>
  <c r="D304" i="1"/>
  <c r="C304" i="1"/>
  <c r="B304" i="1"/>
  <c r="H303" i="1"/>
  <c r="G303" i="1"/>
  <c r="AJ303" i="1"/>
  <c r="AI303" i="1"/>
  <c r="AH303" i="1"/>
  <c r="AG303" i="1"/>
  <c r="AE303" i="1"/>
  <c r="W303" i="1"/>
  <c r="V303" i="1"/>
  <c r="F303" i="1"/>
  <c r="E303" i="1"/>
  <c r="D303" i="1"/>
  <c r="C303" i="1"/>
  <c r="B303" i="1"/>
  <c r="H302" i="1"/>
  <c r="G302" i="1"/>
  <c r="AJ302" i="1"/>
  <c r="AI302" i="1"/>
  <c r="AH302" i="1"/>
  <c r="AG302" i="1"/>
  <c r="AE302" i="1"/>
  <c r="W302" i="1"/>
  <c r="V302" i="1"/>
  <c r="F302" i="1"/>
  <c r="E302" i="1"/>
  <c r="D302" i="1"/>
  <c r="C302" i="1"/>
  <c r="B302" i="1"/>
  <c r="H301" i="1"/>
  <c r="G301" i="1"/>
  <c r="AJ301" i="1"/>
  <c r="AI301" i="1"/>
  <c r="AH301" i="1"/>
  <c r="AG301" i="1"/>
  <c r="AE301" i="1"/>
  <c r="W301" i="1"/>
  <c r="V301" i="1"/>
  <c r="F301" i="1"/>
  <c r="E301" i="1"/>
  <c r="D301" i="1"/>
  <c r="C301" i="1"/>
  <c r="B301" i="1"/>
  <c r="H300" i="1"/>
  <c r="G300" i="1"/>
  <c r="AJ300" i="1"/>
  <c r="AI300" i="1"/>
  <c r="AH300" i="1"/>
  <c r="AG300" i="1"/>
  <c r="AE300" i="1"/>
  <c r="W300" i="1"/>
  <c r="V300" i="1"/>
  <c r="F300" i="1"/>
  <c r="E300" i="1"/>
  <c r="D300" i="1"/>
  <c r="C300" i="1"/>
  <c r="B300" i="1"/>
  <c r="H299" i="1"/>
  <c r="G299" i="1"/>
  <c r="AJ299" i="1"/>
  <c r="AI299" i="1"/>
  <c r="AH299" i="1"/>
  <c r="AG299" i="1"/>
  <c r="AE299" i="1"/>
  <c r="W299" i="1"/>
  <c r="V299" i="1"/>
  <c r="F299" i="1"/>
  <c r="E299" i="1"/>
  <c r="D299" i="1"/>
  <c r="C299" i="1"/>
  <c r="B299" i="1"/>
  <c r="H298" i="1"/>
  <c r="G298" i="1"/>
  <c r="AJ298" i="1"/>
  <c r="AI298" i="1"/>
  <c r="AH298" i="1"/>
  <c r="AG298" i="1"/>
  <c r="AE298" i="1"/>
  <c r="W298" i="1"/>
  <c r="V298" i="1"/>
  <c r="F298" i="1"/>
  <c r="E298" i="1"/>
  <c r="D298" i="1"/>
  <c r="C298" i="1"/>
  <c r="B298" i="1"/>
  <c r="H297" i="1"/>
  <c r="G297" i="1"/>
  <c r="AJ297" i="1"/>
  <c r="AI297" i="1"/>
  <c r="AH297" i="1"/>
  <c r="AG297" i="1"/>
  <c r="AE297" i="1"/>
  <c r="W297" i="1"/>
  <c r="V297" i="1"/>
  <c r="F297" i="1"/>
  <c r="E297" i="1"/>
  <c r="D297" i="1"/>
  <c r="C297" i="1"/>
  <c r="B297" i="1"/>
  <c r="H296" i="1"/>
  <c r="G296" i="1"/>
  <c r="AJ296" i="1"/>
  <c r="AI296" i="1"/>
  <c r="AH296" i="1"/>
  <c r="AG296" i="1"/>
  <c r="AE296" i="1"/>
  <c r="W296" i="1"/>
  <c r="V296" i="1"/>
  <c r="F296" i="1"/>
  <c r="E296" i="1"/>
  <c r="D296" i="1"/>
  <c r="C296" i="1"/>
  <c r="B296" i="1"/>
  <c r="H295" i="1"/>
  <c r="G295" i="1"/>
  <c r="AJ295" i="1"/>
  <c r="AI295" i="1"/>
  <c r="AH295" i="1"/>
  <c r="AG295" i="1"/>
  <c r="AE295" i="1"/>
  <c r="W295" i="1"/>
  <c r="V295" i="1"/>
  <c r="F295" i="1"/>
  <c r="E295" i="1"/>
  <c r="D295" i="1"/>
  <c r="C295" i="1"/>
  <c r="B295" i="1"/>
  <c r="H294" i="1"/>
  <c r="G294" i="1"/>
  <c r="AJ294" i="1"/>
  <c r="AI294" i="1"/>
  <c r="AH294" i="1"/>
  <c r="AG294" i="1"/>
  <c r="AE294" i="1"/>
  <c r="W294" i="1"/>
  <c r="V294" i="1"/>
  <c r="F294" i="1"/>
  <c r="E294" i="1"/>
  <c r="D294" i="1"/>
  <c r="C294" i="1"/>
  <c r="B294" i="1"/>
  <c r="H293" i="1"/>
  <c r="G293" i="1"/>
  <c r="AJ293" i="1"/>
  <c r="AI293" i="1"/>
  <c r="AH293" i="1"/>
  <c r="AG293" i="1"/>
  <c r="AE293" i="1"/>
  <c r="W293" i="1"/>
  <c r="V293" i="1"/>
  <c r="F293" i="1"/>
  <c r="E293" i="1"/>
  <c r="D293" i="1"/>
  <c r="C293" i="1"/>
  <c r="B293" i="1"/>
  <c r="H292" i="1"/>
  <c r="G292" i="1"/>
  <c r="AJ292" i="1"/>
  <c r="AI292" i="1"/>
  <c r="AH292" i="1"/>
  <c r="AG292" i="1"/>
  <c r="AE292" i="1"/>
  <c r="W292" i="1"/>
  <c r="V292" i="1"/>
  <c r="F292" i="1"/>
  <c r="E292" i="1"/>
  <c r="D292" i="1"/>
  <c r="C292" i="1"/>
  <c r="B292" i="1"/>
  <c r="H291" i="1"/>
  <c r="G291" i="1"/>
  <c r="AJ291" i="1"/>
  <c r="AI291" i="1"/>
  <c r="AH291" i="1"/>
  <c r="AG291" i="1"/>
  <c r="AE291" i="1"/>
  <c r="W291" i="1"/>
  <c r="V291" i="1"/>
  <c r="F291" i="1"/>
  <c r="E291" i="1"/>
  <c r="D291" i="1"/>
  <c r="C291" i="1"/>
  <c r="B291" i="1"/>
  <c r="H290" i="1"/>
  <c r="G290" i="1"/>
  <c r="AJ290" i="1"/>
  <c r="AI290" i="1"/>
  <c r="AH290" i="1"/>
  <c r="AG290" i="1"/>
  <c r="AE290" i="1"/>
  <c r="W290" i="1"/>
  <c r="V290" i="1"/>
  <c r="F290" i="1"/>
  <c r="E290" i="1"/>
  <c r="D290" i="1"/>
  <c r="C290" i="1"/>
  <c r="B290" i="1"/>
  <c r="H289" i="1"/>
  <c r="G289" i="1"/>
  <c r="AJ289" i="1"/>
  <c r="AI289" i="1"/>
  <c r="AH289" i="1"/>
  <c r="AG289" i="1"/>
  <c r="AE289" i="1"/>
  <c r="W289" i="1"/>
  <c r="V289" i="1"/>
  <c r="F289" i="1"/>
  <c r="E289" i="1"/>
  <c r="D289" i="1"/>
  <c r="C289" i="1"/>
  <c r="B289" i="1"/>
  <c r="H288" i="1"/>
  <c r="G288" i="1"/>
  <c r="AJ288" i="1"/>
  <c r="AI288" i="1"/>
  <c r="AH288" i="1"/>
  <c r="AG288" i="1"/>
  <c r="AE288" i="1"/>
  <c r="W288" i="1"/>
  <c r="V288" i="1"/>
  <c r="F288" i="1"/>
  <c r="E288" i="1"/>
  <c r="D288" i="1"/>
  <c r="C288" i="1"/>
  <c r="B288" i="1"/>
  <c r="H287" i="1"/>
  <c r="G287" i="1"/>
  <c r="AJ287" i="1"/>
  <c r="AI287" i="1"/>
  <c r="AH287" i="1"/>
  <c r="AG287" i="1"/>
  <c r="AE287" i="1"/>
  <c r="W287" i="1"/>
  <c r="V287" i="1"/>
  <c r="F287" i="1"/>
  <c r="E287" i="1"/>
  <c r="D287" i="1"/>
  <c r="C287" i="1"/>
  <c r="B287" i="1"/>
  <c r="H286" i="1"/>
  <c r="G286" i="1"/>
  <c r="AJ286" i="1"/>
  <c r="AI286" i="1"/>
  <c r="AH286" i="1"/>
  <c r="AG286" i="1"/>
  <c r="AE286" i="1"/>
  <c r="W286" i="1"/>
  <c r="V286" i="1"/>
  <c r="F286" i="1"/>
  <c r="E286" i="1"/>
  <c r="D286" i="1"/>
  <c r="C286" i="1"/>
  <c r="B286" i="1"/>
  <c r="H285" i="1"/>
  <c r="G285" i="1"/>
  <c r="AJ285" i="1"/>
  <c r="AI285" i="1"/>
  <c r="AH285" i="1"/>
  <c r="AG285" i="1"/>
  <c r="AE285" i="1"/>
  <c r="W285" i="1"/>
  <c r="V285" i="1"/>
  <c r="F285" i="1"/>
  <c r="E285" i="1"/>
  <c r="D285" i="1"/>
  <c r="C285" i="1"/>
  <c r="B285" i="1"/>
  <c r="H284" i="1"/>
  <c r="G284" i="1"/>
  <c r="AJ284" i="1"/>
  <c r="AI284" i="1"/>
  <c r="AH284" i="1"/>
  <c r="AG284" i="1"/>
  <c r="AE284" i="1"/>
  <c r="W284" i="1"/>
  <c r="V284" i="1"/>
  <c r="F284" i="1"/>
  <c r="E284" i="1"/>
  <c r="D284" i="1"/>
  <c r="C284" i="1"/>
  <c r="B284" i="1"/>
  <c r="H283" i="1"/>
  <c r="G283" i="1"/>
  <c r="AJ283" i="1"/>
  <c r="AI283" i="1"/>
  <c r="AH283" i="1"/>
  <c r="AG283" i="1"/>
  <c r="AE283" i="1"/>
  <c r="W283" i="1"/>
  <c r="V283" i="1"/>
  <c r="F283" i="1"/>
  <c r="E283" i="1"/>
  <c r="D283" i="1"/>
  <c r="C283" i="1"/>
  <c r="B283" i="1"/>
  <c r="H282" i="1"/>
  <c r="G282" i="1"/>
  <c r="AJ282" i="1"/>
  <c r="AI282" i="1"/>
  <c r="AH282" i="1"/>
  <c r="AG282" i="1"/>
  <c r="AE282" i="1"/>
  <c r="W282" i="1"/>
  <c r="V282" i="1"/>
  <c r="F282" i="1"/>
  <c r="E282" i="1"/>
  <c r="D282" i="1"/>
  <c r="C282" i="1"/>
  <c r="B282" i="1"/>
  <c r="H281" i="1"/>
  <c r="G281" i="1"/>
  <c r="AJ281" i="1"/>
  <c r="AI281" i="1"/>
  <c r="AH281" i="1"/>
  <c r="AG281" i="1"/>
  <c r="AE281" i="1"/>
  <c r="W281" i="1"/>
  <c r="V281" i="1"/>
  <c r="F281" i="1"/>
  <c r="E281" i="1"/>
  <c r="D281" i="1"/>
  <c r="C281" i="1"/>
  <c r="B281" i="1"/>
  <c r="H280" i="1"/>
  <c r="G280" i="1"/>
  <c r="AJ280" i="1"/>
  <c r="AI280" i="1"/>
  <c r="AH280" i="1"/>
  <c r="AG280" i="1"/>
  <c r="AE280" i="1"/>
  <c r="W280" i="1"/>
  <c r="V280" i="1"/>
  <c r="F280" i="1"/>
  <c r="E280" i="1"/>
  <c r="D280" i="1"/>
  <c r="C280" i="1"/>
  <c r="B280" i="1"/>
  <c r="H279" i="1"/>
  <c r="G279" i="1"/>
  <c r="AJ279" i="1"/>
  <c r="AI279" i="1"/>
  <c r="AH279" i="1"/>
  <c r="AG279" i="1"/>
  <c r="AE279" i="1"/>
  <c r="W279" i="1"/>
  <c r="V279" i="1"/>
  <c r="F279" i="1"/>
  <c r="E279" i="1"/>
  <c r="D279" i="1"/>
  <c r="C279" i="1"/>
  <c r="B279" i="1"/>
  <c r="H278" i="1"/>
  <c r="G278" i="1"/>
  <c r="AJ278" i="1"/>
  <c r="AI278" i="1"/>
  <c r="AH278" i="1"/>
  <c r="AG278" i="1"/>
  <c r="AE278" i="1"/>
  <c r="W278" i="1"/>
  <c r="V278" i="1"/>
  <c r="F278" i="1"/>
  <c r="E278" i="1"/>
  <c r="D278" i="1"/>
  <c r="C278" i="1"/>
  <c r="B278" i="1"/>
  <c r="H277" i="1"/>
  <c r="G277" i="1"/>
  <c r="AJ277" i="1"/>
  <c r="AI277" i="1"/>
  <c r="AH277" i="1"/>
  <c r="AG277" i="1"/>
  <c r="AE277" i="1"/>
  <c r="W277" i="1"/>
  <c r="V277" i="1"/>
  <c r="F277" i="1"/>
  <c r="E277" i="1"/>
  <c r="D277" i="1"/>
  <c r="C277" i="1"/>
  <c r="B277" i="1"/>
  <c r="H276" i="1"/>
  <c r="G276" i="1"/>
  <c r="AJ276" i="1"/>
  <c r="AI276" i="1"/>
  <c r="AH276" i="1"/>
  <c r="AG276" i="1"/>
  <c r="AE276" i="1"/>
  <c r="W276" i="1"/>
  <c r="V276" i="1"/>
  <c r="F276" i="1"/>
  <c r="E276" i="1"/>
  <c r="D276" i="1"/>
  <c r="C276" i="1"/>
  <c r="B276" i="1"/>
  <c r="H275" i="1"/>
  <c r="G275" i="1"/>
  <c r="AJ275" i="1"/>
  <c r="AI275" i="1"/>
  <c r="AH275" i="1"/>
  <c r="AG275" i="1"/>
  <c r="AE275" i="1"/>
  <c r="W275" i="1"/>
  <c r="V275" i="1"/>
  <c r="F275" i="1"/>
  <c r="E275" i="1"/>
  <c r="D275" i="1"/>
  <c r="C275" i="1"/>
  <c r="B275" i="1"/>
  <c r="H274" i="1"/>
  <c r="G274" i="1"/>
  <c r="AJ274" i="1"/>
  <c r="AI274" i="1"/>
  <c r="AH274" i="1"/>
  <c r="AG274" i="1"/>
  <c r="AE274" i="1"/>
  <c r="W274" i="1"/>
  <c r="V274" i="1"/>
  <c r="F274" i="1"/>
  <c r="E274" i="1"/>
  <c r="D274" i="1"/>
  <c r="C274" i="1"/>
  <c r="B274" i="1"/>
  <c r="H273" i="1"/>
  <c r="G273" i="1"/>
  <c r="AJ273" i="1"/>
  <c r="AI273" i="1"/>
  <c r="AH273" i="1"/>
  <c r="AG273" i="1"/>
  <c r="AE273" i="1"/>
  <c r="W273" i="1"/>
  <c r="V273" i="1"/>
  <c r="F273" i="1"/>
  <c r="E273" i="1"/>
  <c r="D273" i="1"/>
  <c r="C273" i="1"/>
  <c r="B273" i="1"/>
  <c r="H272" i="1"/>
  <c r="G272" i="1"/>
  <c r="AJ272" i="1"/>
  <c r="AI272" i="1"/>
  <c r="AH272" i="1"/>
  <c r="AG272" i="1"/>
  <c r="AE272" i="1"/>
  <c r="W272" i="1"/>
  <c r="V272" i="1"/>
  <c r="F272" i="1"/>
  <c r="E272" i="1"/>
  <c r="D272" i="1"/>
  <c r="C272" i="1"/>
  <c r="B272" i="1"/>
  <c r="H271" i="1"/>
  <c r="G271" i="1"/>
  <c r="AJ271" i="1"/>
  <c r="AI271" i="1"/>
  <c r="AH271" i="1"/>
  <c r="AG271" i="1"/>
  <c r="AE271" i="1"/>
  <c r="W271" i="1"/>
  <c r="V271" i="1"/>
  <c r="F271" i="1"/>
  <c r="E271" i="1"/>
  <c r="D271" i="1"/>
  <c r="C271" i="1"/>
  <c r="B271" i="1"/>
  <c r="H270" i="1"/>
  <c r="G270" i="1"/>
  <c r="AJ270" i="1"/>
  <c r="AI270" i="1"/>
  <c r="AH270" i="1"/>
  <c r="AG270" i="1"/>
  <c r="AE270" i="1"/>
  <c r="W270" i="1"/>
  <c r="V270" i="1"/>
  <c r="F270" i="1"/>
  <c r="E270" i="1"/>
  <c r="D270" i="1"/>
  <c r="C270" i="1"/>
  <c r="B270" i="1"/>
  <c r="H269" i="1"/>
  <c r="G269" i="1"/>
  <c r="AJ269" i="1"/>
  <c r="AI269" i="1"/>
  <c r="AH269" i="1"/>
  <c r="AG269" i="1"/>
  <c r="AE269" i="1"/>
  <c r="W269" i="1"/>
  <c r="V269" i="1"/>
  <c r="F269" i="1"/>
  <c r="E269" i="1"/>
  <c r="D269" i="1"/>
  <c r="C269" i="1"/>
  <c r="B269" i="1"/>
  <c r="H268" i="1"/>
  <c r="G268" i="1"/>
  <c r="AJ268" i="1"/>
  <c r="AI268" i="1"/>
  <c r="AH268" i="1"/>
  <c r="AG268" i="1"/>
  <c r="AE268" i="1"/>
  <c r="W268" i="1"/>
  <c r="V268" i="1"/>
  <c r="F268" i="1"/>
  <c r="E268" i="1"/>
  <c r="D268" i="1"/>
  <c r="C268" i="1"/>
  <c r="B268" i="1"/>
  <c r="H267" i="1"/>
  <c r="G267" i="1"/>
  <c r="AJ267" i="1"/>
  <c r="AI267" i="1"/>
  <c r="AH267" i="1"/>
  <c r="AG267" i="1"/>
  <c r="AE267" i="1"/>
  <c r="W267" i="1"/>
  <c r="V267" i="1"/>
  <c r="F267" i="1"/>
  <c r="E267" i="1"/>
  <c r="D267" i="1"/>
  <c r="C267" i="1"/>
  <c r="B267" i="1"/>
  <c r="H266" i="1"/>
  <c r="G266" i="1"/>
  <c r="AJ266" i="1"/>
  <c r="AI266" i="1"/>
  <c r="AH266" i="1"/>
  <c r="AG266" i="1"/>
  <c r="AE266" i="1"/>
  <c r="W266" i="1"/>
  <c r="V266" i="1"/>
  <c r="F266" i="1"/>
  <c r="E266" i="1"/>
  <c r="D266" i="1"/>
  <c r="C266" i="1"/>
  <c r="B266" i="1"/>
  <c r="H265" i="1"/>
  <c r="G265" i="1"/>
  <c r="AJ265" i="1"/>
  <c r="AI265" i="1"/>
  <c r="AH265" i="1"/>
  <c r="AG265" i="1"/>
  <c r="AE265" i="1"/>
  <c r="W265" i="1"/>
  <c r="V265" i="1"/>
  <c r="F265" i="1"/>
  <c r="E265" i="1"/>
  <c r="D265" i="1"/>
  <c r="C265" i="1"/>
  <c r="B265" i="1"/>
  <c r="H264" i="1"/>
  <c r="G264" i="1"/>
  <c r="AJ264" i="1"/>
  <c r="AI264" i="1"/>
  <c r="AH264" i="1"/>
  <c r="AG264" i="1"/>
  <c r="AE264" i="1"/>
  <c r="W264" i="1"/>
  <c r="V264" i="1"/>
  <c r="F264" i="1"/>
  <c r="E264" i="1"/>
  <c r="D264" i="1"/>
  <c r="C264" i="1"/>
  <c r="B264" i="1"/>
  <c r="H263" i="1"/>
  <c r="G263" i="1"/>
  <c r="AJ263" i="1"/>
  <c r="AI263" i="1"/>
  <c r="AH263" i="1"/>
  <c r="AG263" i="1"/>
  <c r="AE263" i="1"/>
  <c r="W263" i="1"/>
  <c r="V263" i="1"/>
  <c r="F263" i="1"/>
  <c r="E263" i="1"/>
  <c r="D263" i="1"/>
  <c r="C263" i="1"/>
  <c r="B263" i="1"/>
  <c r="H262" i="1"/>
  <c r="G262" i="1"/>
  <c r="AJ262" i="1"/>
  <c r="AI262" i="1"/>
  <c r="AH262" i="1"/>
  <c r="AG262" i="1"/>
  <c r="AE262" i="1"/>
  <c r="W262" i="1"/>
  <c r="V262" i="1"/>
  <c r="F262" i="1"/>
  <c r="E262" i="1"/>
  <c r="D262" i="1"/>
  <c r="C262" i="1"/>
  <c r="B262" i="1"/>
  <c r="H261" i="1"/>
  <c r="G261" i="1"/>
  <c r="AJ261" i="1"/>
  <c r="AI261" i="1"/>
  <c r="AH261" i="1"/>
  <c r="AG261" i="1"/>
  <c r="AE261" i="1"/>
  <c r="W261" i="1"/>
  <c r="V261" i="1"/>
  <c r="F261" i="1"/>
  <c r="E261" i="1"/>
  <c r="D261" i="1"/>
  <c r="C261" i="1"/>
  <c r="B261" i="1"/>
  <c r="H260" i="1"/>
  <c r="G260" i="1"/>
  <c r="AJ260" i="1"/>
  <c r="AI260" i="1"/>
  <c r="AH260" i="1"/>
  <c r="AG260" i="1"/>
  <c r="AE260" i="1"/>
  <c r="W260" i="1"/>
  <c r="V260" i="1"/>
  <c r="F260" i="1"/>
  <c r="E260" i="1"/>
  <c r="D260" i="1"/>
  <c r="C260" i="1"/>
  <c r="B260" i="1"/>
  <c r="H259" i="1"/>
  <c r="G259" i="1"/>
  <c r="AJ259" i="1"/>
  <c r="AI259" i="1"/>
  <c r="AH259" i="1"/>
  <c r="AG259" i="1"/>
  <c r="AE259" i="1"/>
  <c r="W259" i="1"/>
  <c r="V259" i="1"/>
  <c r="F259" i="1"/>
  <c r="E259" i="1"/>
  <c r="D259" i="1"/>
  <c r="C259" i="1"/>
  <c r="B259" i="1"/>
  <c r="H258" i="1"/>
  <c r="G258" i="1"/>
  <c r="AJ258" i="1"/>
  <c r="AI258" i="1"/>
  <c r="AH258" i="1"/>
  <c r="AG258" i="1"/>
  <c r="AE258" i="1"/>
  <c r="W258" i="1"/>
  <c r="V258" i="1"/>
  <c r="F258" i="1"/>
  <c r="E258" i="1"/>
  <c r="D258" i="1"/>
  <c r="C258" i="1"/>
  <c r="B258" i="1"/>
  <c r="H257" i="1"/>
  <c r="G257" i="1"/>
  <c r="AJ257" i="1"/>
  <c r="AI257" i="1"/>
  <c r="AH257" i="1"/>
  <c r="AG257" i="1"/>
  <c r="AE257" i="1"/>
  <c r="W257" i="1"/>
  <c r="V257" i="1"/>
  <c r="F257" i="1"/>
  <c r="E257" i="1"/>
  <c r="D257" i="1"/>
  <c r="C257" i="1"/>
  <c r="B257" i="1"/>
  <c r="H256" i="1"/>
  <c r="G256" i="1"/>
  <c r="AJ256" i="1"/>
  <c r="AI256" i="1"/>
  <c r="AH256" i="1"/>
  <c r="AG256" i="1"/>
  <c r="AE256" i="1"/>
  <c r="W256" i="1"/>
  <c r="V256" i="1"/>
  <c r="F256" i="1"/>
  <c r="E256" i="1"/>
  <c r="D256" i="1"/>
  <c r="C256" i="1"/>
  <c r="B256" i="1"/>
  <c r="H255" i="1"/>
  <c r="G255" i="1"/>
  <c r="AJ255" i="1"/>
  <c r="AI255" i="1"/>
  <c r="AH255" i="1"/>
  <c r="AG255" i="1"/>
  <c r="AE255" i="1"/>
  <c r="W255" i="1"/>
  <c r="V255" i="1"/>
  <c r="F255" i="1"/>
  <c r="E255" i="1"/>
  <c r="D255" i="1"/>
  <c r="C255" i="1"/>
  <c r="B255" i="1"/>
  <c r="H254" i="1"/>
  <c r="G254" i="1"/>
  <c r="AJ254" i="1"/>
  <c r="AI254" i="1"/>
  <c r="AH254" i="1"/>
  <c r="AG254" i="1"/>
  <c r="AE254" i="1"/>
  <c r="W254" i="1"/>
  <c r="V254" i="1"/>
  <c r="F254" i="1"/>
  <c r="E254" i="1"/>
  <c r="D254" i="1"/>
  <c r="C254" i="1"/>
  <c r="B254" i="1"/>
  <c r="H253" i="1"/>
  <c r="G253" i="1"/>
  <c r="AJ253" i="1"/>
  <c r="AI253" i="1"/>
  <c r="AH253" i="1"/>
  <c r="AG253" i="1"/>
  <c r="AE253" i="1"/>
  <c r="W253" i="1"/>
  <c r="V253" i="1"/>
  <c r="F253" i="1"/>
  <c r="E253" i="1"/>
  <c r="D253" i="1"/>
  <c r="C253" i="1"/>
  <c r="B253" i="1"/>
  <c r="H252" i="1"/>
  <c r="G252" i="1"/>
  <c r="AJ252" i="1"/>
  <c r="AI252" i="1"/>
  <c r="AH252" i="1"/>
  <c r="AG252" i="1"/>
  <c r="AE252" i="1"/>
  <c r="W252" i="1"/>
  <c r="V252" i="1"/>
  <c r="F252" i="1"/>
  <c r="E252" i="1"/>
  <c r="D252" i="1"/>
  <c r="C252" i="1"/>
  <c r="B252" i="1"/>
  <c r="H251" i="1"/>
  <c r="G251" i="1"/>
  <c r="AJ251" i="1"/>
  <c r="AI251" i="1"/>
  <c r="AH251" i="1"/>
  <c r="AG251" i="1"/>
  <c r="AE251" i="1"/>
  <c r="W251" i="1"/>
  <c r="V251" i="1"/>
  <c r="F251" i="1"/>
  <c r="E251" i="1"/>
  <c r="D251" i="1"/>
  <c r="C251" i="1"/>
  <c r="B251" i="1"/>
  <c r="H250" i="1"/>
  <c r="G250" i="1"/>
  <c r="AJ250" i="1"/>
  <c r="AI250" i="1"/>
  <c r="AH250" i="1"/>
  <c r="AG250" i="1"/>
  <c r="AE250" i="1"/>
  <c r="W250" i="1"/>
  <c r="V250" i="1"/>
  <c r="F250" i="1"/>
  <c r="E250" i="1"/>
  <c r="D250" i="1"/>
  <c r="C250" i="1"/>
  <c r="B250" i="1"/>
  <c r="H249" i="1"/>
  <c r="G249" i="1"/>
  <c r="AJ249" i="1"/>
  <c r="AI249" i="1"/>
  <c r="AH249" i="1"/>
  <c r="AG249" i="1"/>
  <c r="AE249" i="1"/>
  <c r="W249" i="1"/>
  <c r="V249" i="1"/>
  <c r="F249" i="1"/>
  <c r="E249" i="1"/>
  <c r="D249" i="1"/>
  <c r="C249" i="1"/>
  <c r="B249" i="1"/>
  <c r="H248" i="1"/>
  <c r="G248" i="1"/>
  <c r="AJ248" i="1"/>
  <c r="AI248" i="1"/>
  <c r="AH248" i="1"/>
  <c r="AG248" i="1"/>
  <c r="AE248" i="1"/>
  <c r="W248" i="1"/>
  <c r="V248" i="1"/>
  <c r="F248" i="1"/>
  <c r="E248" i="1"/>
  <c r="D248" i="1"/>
  <c r="C248" i="1"/>
  <c r="B248" i="1"/>
  <c r="H247" i="1"/>
  <c r="G247" i="1"/>
  <c r="AJ247" i="1"/>
  <c r="AI247" i="1"/>
  <c r="AH247" i="1"/>
  <c r="AG247" i="1"/>
  <c r="AE247" i="1"/>
  <c r="W247" i="1"/>
  <c r="V247" i="1"/>
  <c r="F247" i="1"/>
  <c r="E247" i="1"/>
  <c r="D247" i="1"/>
  <c r="C247" i="1"/>
  <c r="B247" i="1"/>
  <c r="H246" i="1"/>
  <c r="G246" i="1"/>
  <c r="AJ246" i="1"/>
  <c r="AI246" i="1"/>
  <c r="AH246" i="1"/>
  <c r="AG246" i="1"/>
  <c r="AE246" i="1"/>
  <c r="W246" i="1"/>
  <c r="V246" i="1"/>
  <c r="F246" i="1"/>
  <c r="E246" i="1"/>
  <c r="D246" i="1"/>
  <c r="C246" i="1"/>
  <c r="B246" i="1"/>
  <c r="H245" i="1"/>
  <c r="G245" i="1"/>
  <c r="AJ245" i="1"/>
  <c r="AI245" i="1"/>
  <c r="AH245" i="1"/>
  <c r="AG245" i="1"/>
  <c r="AE245" i="1"/>
  <c r="W245" i="1"/>
  <c r="V245" i="1"/>
  <c r="F245" i="1"/>
  <c r="E245" i="1"/>
  <c r="D245" i="1"/>
  <c r="C245" i="1"/>
  <c r="B245" i="1"/>
  <c r="H244" i="1"/>
  <c r="G244" i="1"/>
  <c r="AJ244" i="1"/>
  <c r="AI244" i="1"/>
  <c r="AH244" i="1"/>
  <c r="AG244" i="1"/>
  <c r="AE244" i="1"/>
  <c r="W244" i="1"/>
  <c r="V244" i="1"/>
  <c r="F244" i="1"/>
  <c r="E244" i="1"/>
  <c r="D244" i="1"/>
  <c r="C244" i="1"/>
  <c r="B244" i="1"/>
  <c r="H243" i="1"/>
  <c r="G243" i="1"/>
  <c r="AJ243" i="1"/>
  <c r="AI243" i="1"/>
  <c r="AH243" i="1"/>
  <c r="AG243" i="1"/>
  <c r="AE243" i="1"/>
  <c r="W243" i="1"/>
  <c r="V243" i="1"/>
  <c r="F243" i="1"/>
  <c r="E243" i="1"/>
  <c r="D243" i="1"/>
  <c r="C243" i="1"/>
  <c r="B243" i="1"/>
  <c r="H242" i="1"/>
  <c r="G242" i="1"/>
  <c r="AJ242" i="1"/>
  <c r="AI242" i="1"/>
  <c r="AH242" i="1"/>
  <c r="AG242" i="1"/>
  <c r="AE242" i="1"/>
  <c r="W242" i="1"/>
  <c r="V242" i="1"/>
  <c r="F242" i="1"/>
  <c r="E242" i="1"/>
  <c r="D242" i="1"/>
  <c r="C242" i="1"/>
  <c r="B242" i="1"/>
  <c r="H241" i="1"/>
  <c r="G241" i="1"/>
  <c r="AJ241" i="1"/>
  <c r="AI241" i="1"/>
  <c r="AH241" i="1"/>
  <c r="AG241" i="1"/>
  <c r="AE241" i="1"/>
  <c r="W241" i="1"/>
  <c r="V241" i="1"/>
  <c r="F241" i="1"/>
  <c r="E241" i="1"/>
  <c r="D241" i="1"/>
  <c r="C241" i="1"/>
  <c r="B241" i="1"/>
  <c r="H240" i="1"/>
  <c r="G240" i="1"/>
  <c r="AJ240" i="1"/>
  <c r="AI240" i="1"/>
  <c r="AH240" i="1"/>
  <c r="AG240" i="1"/>
  <c r="AE240" i="1"/>
  <c r="W240" i="1"/>
  <c r="V240" i="1"/>
  <c r="F240" i="1"/>
  <c r="E240" i="1"/>
  <c r="D240" i="1"/>
  <c r="C240" i="1"/>
  <c r="B240" i="1"/>
  <c r="H239" i="1"/>
  <c r="G239" i="1"/>
  <c r="AJ239" i="1"/>
  <c r="AI239" i="1"/>
  <c r="AH239" i="1"/>
  <c r="AG239" i="1"/>
  <c r="AE239" i="1"/>
  <c r="W239" i="1"/>
  <c r="V239" i="1"/>
  <c r="F239" i="1"/>
  <c r="E239" i="1"/>
  <c r="D239" i="1"/>
  <c r="C239" i="1"/>
  <c r="B239" i="1"/>
  <c r="H238" i="1"/>
  <c r="G238" i="1"/>
  <c r="AJ238" i="1"/>
  <c r="AI238" i="1"/>
  <c r="AH238" i="1"/>
  <c r="AG238" i="1"/>
  <c r="AE238" i="1"/>
  <c r="W238" i="1"/>
  <c r="V238" i="1"/>
  <c r="F238" i="1"/>
  <c r="E238" i="1"/>
  <c r="D238" i="1"/>
  <c r="C238" i="1"/>
  <c r="B238" i="1"/>
  <c r="H237" i="1"/>
  <c r="G237" i="1"/>
  <c r="AJ237" i="1"/>
  <c r="AI237" i="1"/>
  <c r="AH237" i="1"/>
  <c r="AG237" i="1"/>
  <c r="AE237" i="1"/>
  <c r="W237" i="1"/>
  <c r="V237" i="1"/>
  <c r="F237" i="1"/>
  <c r="E237" i="1"/>
  <c r="D237" i="1"/>
  <c r="C237" i="1"/>
  <c r="B237" i="1"/>
  <c r="H236" i="1"/>
  <c r="G236" i="1"/>
  <c r="AJ236" i="1"/>
  <c r="AI236" i="1"/>
  <c r="AH236" i="1"/>
  <c r="AG236" i="1"/>
  <c r="AE236" i="1"/>
  <c r="W236" i="1"/>
  <c r="V236" i="1"/>
  <c r="F236" i="1"/>
  <c r="E236" i="1"/>
  <c r="D236" i="1"/>
  <c r="C236" i="1"/>
  <c r="B236" i="1"/>
  <c r="H235" i="1"/>
  <c r="G235" i="1"/>
  <c r="AJ235" i="1"/>
  <c r="AI235" i="1"/>
  <c r="AH235" i="1"/>
  <c r="AG235" i="1"/>
  <c r="AE235" i="1"/>
  <c r="W235" i="1"/>
  <c r="V235" i="1"/>
  <c r="F235" i="1"/>
  <c r="E235" i="1"/>
  <c r="D235" i="1"/>
  <c r="C235" i="1"/>
  <c r="B235" i="1"/>
  <c r="H234" i="1"/>
  <c r="G234" i="1"/>
  <c r="AJ234" i="1"/>
  <c r="AI234" i="1"/>
  <c r="AH234" i="1"/>
  <c r="AG234" i="1"/>
  <c r="AE234" i="1"/>
  <c r="W234" i="1"/>
  <c r="V234" i="1"/>
  <c r="F234" i="1"/>
  <c r="E234" i="1"/>
  <c r="D234" i="1"/>
  <c r="C234" i="1"/>
  <c r="B234" i="1"/>
  <c r="H233" i="1"/>
  <c r="G233" i="1"/>
  <c r="AJ233" i="1"/>
  <c r="AI233" i="1"/>
  <c r="AH233" i="1"/>
  <c r="AG233" i="1"/>
  <c r="AE233" i="1"/>
  <c r="W233" i="1"/>
  <c r="V233" i="1"/>
  <c r="F233" i="1"/>
  <c r="E233" i="1"/>
  <c r="D233" i="1"/>
  <c r="C233" i="1"/>
  <c r="B233" i="1"/>
  <c r="H232" i="1"/>
  <c r="G232" i="1"/>
  <c r="AJ232" i="1"/>
  <c r="AI232" i="1"/>
  <c r="AH232" i="1"/>
  <c r="AG232" i="1"/>
  <c r="AE232" i="1"/>
  <c r="W232" i="1"/>
  <c r="V232" i="1"/>
  <c r="F232" i="1"/>
  <c r="E232" i="1"/>
  <c r="D232" i="1"/>
  <c r="C232" i="1"/>
  <c r="B232" i="1"/>
  <c r="H231" i="1"/>
  <c r="G231" i="1"/>
  <c r="AJ231" i="1"/>
  <c r="AI231" i="1"/>
  <c r="AH231" i="1"/>
  <c r="AG231" i="1"/>
  <c r="AE231" i="1"/>
  <c r="W231" i="1"/>
  <c r="V231" i="1"/>
  <c r="F231" i="1"/>
  <c r="E231" i="1"/>
  <c r="D231" i="1"/>
  <c r="C231" i="1"/>
  <c r="B231" i="1"/>
  <c r="H230" i="1"/>
  <c r="G230" i="1"/>
  <c r="AJ230" i="1"/>
  <c r="AI230" i="1"/>
  <c r="AH230" i="1"/>
  <c r="AG230" i="1"/>
  <c r="AE230" i="1"/>
  <c r="W230" i="1"/>
  <c r="V230" i="1"/>
  <c r="F230" i="1"/>
  <c r="E230" i="1"/>
  <c r="D230" i="1"/>
  <c r="C230" i="1"/>
  <c r="B230" i="1"/>
  <c r="H229" i="1"/>
  <c r="G229" i="1"/>
  <c r="AJ229" i="1"/>
  <c r="AI229" i="1"/>
  <c r="AH229" i="1"/>
  <c r="AG229" i="1"/>
  <c r="AE229" i="1"/>
  <c r="W229" i="1"/>
  <c r="V229" i="1"/>
  <c r="F229" i="1"/>
  <c r="E229" i="1"/>
  <c r="D229" i="1"/>
  <c r="C229" i="1"/>
  <c r="B229" i="1"/>
  <c r="H228" i="1"/>
  <c r="G228" i="1"/>
  <c r="AJ228" i="1"/>
  <c r="AI228" i="1"/>
  <c r="AH228" i="1"/>
  <c r="AG228" i="1"/>
  <c r="AE228" i="1"/>
  <c r="W228" i="1"/>
  <c r="V228" i="1"/>
  <c r="F228" i="1"/>
  <c r="E228" i="1"/>
  <c r="D228" i="1"/>
  <c r="C228" i="1"/>
  <c r="B228" i="1"/>
  <c r="H227" i="1"/>
  <c r="G227" i="1"/>
  <c r="AJ227" i="1"/>
  <c r="AI227" i="1"/>
  <c r="AH227" i="1"/>
  <c r="AG227" i="1"/>
  <c r="AE227" i="1"/>
  <c r="W227" i="1"/>
  <c r="V227" i="1"/>
  <c r="F227" i="1"/>
  <c r="E227" i="1"/>
  <c r="D227" i="1"/>
  <c r="C227" i="1"/>
  <c r="B227" i="1"/>
  <c r="H226" i="1"/>
  <c r="G226" i="1"/>
  <c r="AJ226" i="1"/>
  <c r="AI226" i="1"/>
  <c r="AH226" i="1"/>
  <c r="AG226" i="1"/>
  <c r="AE226" i="1"/>
  <c r="W226" i="1"/>
  <c r="V226" i="1"/>
  <c r="F226" i="1"/>
  <c r="E226" i="1"/>
  <c r="D226" i="1"/>
  <c r="C226" i="1"/>
  <c r="B226" i="1"/>
  <c r="H225" i="1"/>
  <c r="G225" i="1"/>
  <c r="AJ225" i="1"/>
  <c r="AI225" i="1"/>
  <c r="AH225" i="1"/>
  <c r="AG225" i="1"/>
  <c r="AE225" i="1"/>
  <c r="W225" i="1"/>
  <c r="V225" i="1"/>
  <c r="F225" i="1"/>
  <c r="E225" i="1"/>
  <c r="D225" i="1"/>
  <c r="C225" i="1"/>
  <c r="B225" i="1"/>
  <c r="H224" i="1"/>
  <c r="G224" i="1"/>
  <c r="AJ224" i="1"/>
  <c r="AI224" i="1"/>
  <c r="AH224" i="1"/>
  <c r="AG224" i="1"/>
  <c r="AE224" i="1"/>
  <c r="W224" i="1"/>
  <c r="V224" i="1"/>
  <c r="F224" i="1"/>
  <c r="E224" i="1"/>
  <c r="D224" i="1"/>
  <c r="C224" i="1"/>
  <c r="B224" i="1"/>
  <c r="H223" i="1"/>
  <c r="G223" i="1"/>
  <c r="AJ223" i="1"/>
  <c r="AI223" i="1"/>
  <c r="AH223" i="1"/>
  <c r="AG223" i="1"/>
  <c r="AE223" i="1"/>
  <c r="W223" i="1"/>
  <c r="V223" i="1"/>
  <c r="F223" i="1"/>
  <c r="E223" i="1"/>
  <c r="D223" i="1"/>
  <c r="C223" i="1"/>
  <c r="B223" i="1"/>
  <c r="H222" i="1"/>
  <c r="G222" i="1"/>
  <c r="AJ222" i="1"/>
  <c r="AI222" i="1"/>
  <c r="AH222" i="1"/>
  <c r="AG222" i="1"/>
  <c r="AE222" i="1"/>
  <c r="W222" i="1"/>
  <c r="V222" i="1"/>
  <c r="F222" i="1"/>
  <c r="E222" i="1"/>
  <c r="D222" i="1"/>
  <c r="C222" i="1"/>
  <c r="B222" i="1"/>
  <c r="H221" i="1"/>
  <c r="G221" i="1"/>
  <c r="AJ221" i="1"/>
  <c r="AI221" i="1"/>
  <c r="AH221" i="1"/>
  <c r="AG221" i="1"/>
  <c r="AE221" i="1"/>
  <c r="W221" i="1"/>
  <c r="V221" i="1"/>
  <c r="F221" i="1"/>
  <c r="E221" i="1"/>
  <c r="D221" i="1"/>
  <c r="C221" i="1"/>
  <c r="B221" i="1"/>
  <c r="H220" i="1"/>
  <c r="G220" i="1"/>
  <c r="AJ220" i="1"/>
  <c r="AI220" i="1"/>
  <c r="AH220" i="1"/>
  <c r="AG220" i="1"/>
  <c r="AE220" i="1"/>
  <c r="W220" i="1"/>
  <c r="V220" i="1"/>
  <c r="F220" i="1"/>
  <c r="E220" i="1"/>
  <c r="D220" i="1"/>
  <c r="C220" i="1"/>
  <c r="B220" i="1"/>
  <c r="H219" i="1"/>
  <c r="G219" i="1"/>
  <c r="AJ219" i="1"/>
  <c r="AI219" i="1"/>
  <c r="AH219" i="1"/>
  <c r="AG219" i="1"/>
  <c r="AE219" i="1"/>
  <c r="W219" i="1"/>
  <c r="V219" i="1"/>
  <c r="F219" i="1"/>
  <c r="E219" i="1"/>
  <c r="D219" i="1"/>
  <c r="C219" i="1"/>
  <c r="B219" i="1"/>
  <c r="H218" i="1"/>
  <c r="G218" i="1"/>
  <c r="AJ218" i="1"/>
  <c r="AI218" i="1"/>
  <c r="AH218" i="1"/>
  <c r="AG218" i="1"/>
  <c r="AE218" i="1"/>
  <c r="W218" i="1"/>
  <c r="V218" i="1"/>
  <c r="F218" i="1"/>
  <c r="E218" i="1"/>
  <c r="D218" i="1"/>
  <c r="C218" i="1"/>
  <c r="B218" i="1"/>
  <c r="H217" i="1"/>
  <c r="G217" i="1"/>
  <c r="AJ217" i="1"/>
  <c r="AI217" i="1"/>
  <c r="AH217" i="1"/>
  <c r="AG217" i="1"/>
  <c r="AE217" i="1"/>
  <c r="W217" i="1"/>
  <c r="V217" i="1"/>
  <c r="F217" i="1"/>
  <c r="E217" i="1"/>
  <c r="D217" i="1"/>
  <c r="C217" i="1"/>
  <c r="B217" i="1"/>
  <c r="H216" i="1"/>
  <c r="G216" i="1"/>
  <c r="AJ216" i="1"/>
  <c r="AI216" i="1"/>
  <c r="AH216" i="1"/>
  <c r="AG216" i="1"/>
  <c r="AE216" i="1"/>
  <c r="W216" i="1"/>
  <c r="V216" i="1"/>
  <c r="F216" i="1"/>
  <c r="E216" i="1"/>
  <c r="D216" i="1"/>
  <c r="C216" i="1"/>
  <c r="B216" i="1"/>
  <c r="H215" i="1"/>
  <c r="G215" i="1"/>
  <c r="AJ215" i="1"/>
  <c r="AI215" i="1"/>
  <c r="AH215" i="1"/>
  <c r="AG215" i="1"/>
  <c r="AE215" i="1"/>
  <c r="W215" i="1"/>
  <c r="V215" i="1"/>
  <c r="F215" i="1"/>
  <c r="E215" i="1"/>
  <c r="D215" i="1"/>
  <c r="C215" i="1"/>
  <c r="B215" i="1"/>
  <c r="H214" i="1"/>
  <c r="G214" i="1"/>
  <c r="AJ214" i="1"/>
  <c r="AI214" i="1"/>
  <c r="AH214" i="1"/>
  <c r="AG214" i="1"/>
  <c r="AE214" i="1"/>
  <c r="W214" i="1"/>
  <c r="V214" i="1"/>
  <c r="F214" i="1"/>
  <c r="E214" i="1"/>
  <c r="D214" i="1"/>
  <c r="C214" i="1"/>
  <c r="B214" i="1"/>
  <c r="H213" i="1"/>
  <c r="G213" i="1"/>
  <c r="AJ213" i="1"/>
  <c r="AI213" i="1"/>
  <c r="AH213" i="1"/>
  <c r="AG213" i="1"/>
  <c r="AE213" i="1"/>
  <c r="W213" i="1"/>
  <c r="V213" i="1"/>
  <c r="F213" i="1"/>
  <c r="E213" i="1"/>
  <c r="D213" i="1"/>
  <c r="C213" i="1"/>
  <c r="B213" i="1"/>
  <c r="H212" i="1"/>
  <c r="G212" i="1"/>
  <c r="AJ212" i="1"/>
  <c r="AI212" i="1"/>
  <c r="AH212" i="1"/>
  <c r="AG212" i="1"/>
  <c r="AE212" i="1"/>
  <c r="W212" i="1"/>
  <c r="V212" i="1"/>
  <c r="F212" i="1"/>
  <c r="E212" i="1"/>
  <c r="D212" i="1"/>
  <c r="C212" i="1"/>
  <c r="B212" i="1"/>
  <c r="H211" i="1"/>
  <c r="G211" i="1"/>
  <c r="AJ211" i="1"/>
  <c r="AI211" i="1"/>
  <c r="AH211" i="1"/>
  <c r="AG211" i="1"/>
  <c r="AE211" i="1"/>
  <c r="W211" i="1"/>
  <c r="V211" i="1"/>
  <c r="F211" i="1"/>
  <c r="E211" i="1"/>
  <c r="D211" i="1"/>
  <c r="C211" i="1"/>
  <c r="B211" i="1"/>
  <c r="H210" i="1"/>
  <c r="G210" i="1"/>
  <c r="AJ210" i="1"/>
  <c r="AI210" i="1"/>
  <c r="AH210" i="1"/>
  <c r="AG210" i="1"/>
  <c r="AE210" i="1"/>
  <c r="W210" i="1"/>
  <c r="V210" i="1"/>
  <c r="F210" i="1"/>
  <c r="E210" i="1"/>
  <c r="D210" i="1"/>
  <c r="C210" i="1"/>
  <c r="B210" i="1"/>
  <c r="H209" i="1"/>
  <c r="G209" i="1"/>
  <c r="AJ209" i="1"/>
  <c r="AI209" i="1"/>
  <c r="AH209" i="1"/>
  <c r="AG209" i="1"/>
  <c r="AE209" i="1"/>
  <c r="W209" i="1"/>
  <c r="V209" i="1"/>
  <c r="F209" i="1"/>
  <c r="E209" i="1"/>
  <c r="D209" i="1"/>
  <c r="C209" i="1"/>
  <c r="B209" i="1"/>
  <c r="H208" i="1"/>
  <c r="G208" i="1"/>
  <c r="AJ208" i="1"/>
  <c r="AI208" i="1"/>
  <c r="AH208" i="1"/>
  <c r="AG208" i="1"/>
  <c r="AE208" i="1"/>
  <c r="W208" i="1"/>
  <c r="V208" i="1"/>
  <c r="F208" i="1"/>
  <c r="E208" i="1"/>
  <c r="D208" i="1"/>
  <c r="C208" i="1"/>
  <c r="B208" i="1"/>
  <c r="H207" i="1"/>
  <c r="G207" i="1"/>
  <c r="AJ207" i="1"/>
  <c r="AI207" i="1"/>
  <c r="AH207" i="1"/>
  <c r="AG207" i="1"/>
  <c r="AE207" i="1"/>
  <c r="W207" i="1"/>
  <c r="V207" i="1"/>
  <c r="F207" i="1"/>
  <c r="E207" i="1"/>
  <c r="D207" i="1"/>
  <c r="C207" i="1"/>
  <c r="B207" i="1"/>
  <c r="H206" i="1"/>
  <c r="G206" i="1"/>
  <c r="AJ206" i="1"/>
  <c r="AI206" i="1"/>
  <c r="AH206" i="1"/>
  <c r="AG206" i="1"/>
  <c r="AE206" i="1"/>
  <c r="W206" i="1"/>
  <c r="V206" i="1"/>
  <c r="F206" i="1"/>
  <c r="E206" i="1"/>
  <c r="D206" i="1"/>
  <c r="C206" i="1"/>
  <c r="B206" i="1"/>
  <c r="H205" i="1"/>
  <c r="G205" i="1"/>
  <c r="AJ205" i="1"/>
  <c r="AI205" i="1"/>
  <c r="AH205" i="1"/>
  <c r="AG205" i="1"/>
  <c r="AE205" i="1"/>
  <c r="W205" i="1"/>
  <c r="V205" i="1"/>
  <c r="F205" i="1"/>
  <c r="E205" i="1"/>
  <c r="D205" i="1"/>
  <c r="C205" i="1"/>
  <c r="B205" i="1"/>
  <c r="H204" i="1"/>
  <c r="G204" i="1"/>
  <c r="AJ204" i="1"/>
  <c r="AI204" i="1"/>
  <c r="AH204" i="1"/>
  <c r="AG204" i="1"/>
  <c r="AE204" i="1"/>
  <c r="W204" i="1"/>
  <c r="V204" i="1"/>
  <c r="F204" i="1"/>
  <c r="E204" i="1"/>
  <c r="D204" i="1"/>
  <c r="C204" i="1"/>
  <c r="B204" i="1"/>
  <c r="H203" i="1"/>
  <c r="G203" i="1"/>
  <c r="AJ203" i="1"/>
  <c r="AI203" i="1"/>
  <c r="AH203" i="1"/>
  <c r="AG203" i="1"/>
  <c r="AE203" i="1"/>
  <c r="W203" i="1"/>
  <c r="V203" i="1"/>
  <c r="F203" i="1"/>
  <c r="E203" i="1"/>
  <c r="D203" i="1"/>
  <c r="C203" i="1"/>
  <c r="B203" i="1"/>
  <c r="H202" i="1"/>
  <c r="G202" i="1"/>
  <c r="AJ202" i="1"/>
  <c r="AI202" i="1"/>
  <c r="AH202" i="1"/>
  <c r="AG202" i="1"/>
  <c r="AE202" i="1"/>
  <c r="W202" i="1"/>
  <c r="V202" i="1"/>
  <c r="F202" i="1"/>
  <c r="E202" i="1"/>
  <c r="D202" i="1"/>
  <c r="C202" i="1"/>
  <c r="B202" i="1"/>
  <c r="H201" i="1"/>
  <c r="G201" i="1"/>
  <c r="AJ201" i="1"/>
  <c r="AI201" i="1"/>
  <c r="AH201" i="1"/>
  <c r="AG201" i="1"/>
  <c r="AE201" i="1"/>
  <c r="W201" i="1"/>
  <c r="V201" i="1"/>
  <c r="F201" i="1"/>
  <c r="E201" i="1"/>
  <c r="D201" i="1"/>
  <c r="C201" i="1"/>
  <c r="B201" i="1"/>
  <c r="H200" i="1"/>
  <c r="G200" i="1"/>
  <c r="AJ200" i="1"/>
  <c r="AI200" i="1"/>
  <c r="AH200" i="1"/>
  <c r="AG200" i="1"/>
  <c r="AE200" i="1"/>
  <c r="W200" i="1"/>
  <c r="V200" i="1"/>
  <c r="F200" i="1"/>
  <c r="E200" i="1"/>
  <c r="D200" i="1"/>
  <c r="C200" i="1"/>
  <c r="B200" i="1"/>
  <c r="H199" i="1"/>
  <c r="G199" i="1"/>
  <c r="AJ199" i="1"/>
  <c r="AI199" i="1"/>
  <c r="AH199" i="1"/>
  <c r="AG199" i="1"/>
  <c r="AE199" i="1"/>
  <c r="W199" i="1"/>
  <c r="V199" i="1"/>
  <c r="F199" i="1"/>
  <c r="E199" i="1"/>
  <c r="D199" i="1"/>
  <c r="C199" i="1"/>
  <c r="B199" i="1"/>
  <c r="H198" i="1"/>
  <c r="G198" i="1"/>
  <c r="AJ198" i="1"/>
  <c r="AI198" i="1"/>
  <c r="AH198" i="1"/>
  <c r="AG198" i="1"/>
  <c r="AE198" i="1"/>
  <c r="W198" i="1"/>
  <c r="V198" i="1"/>
  <c r="F198" i="1"/>
  <c r="E198" i="1"/>
  <c r="D198" i="1"/>
  <c r="C198" i="1"/>
  <c r="B198" i="1"/>
  <c r="H197" i="1"/>
  <c r="G197" i="1"/>
  <c r="AJ197" i="1"/>
  <c r="AI197" i="1"/>
  <c r="AH197" i="1"/>
  <c r="AG197" i="1"/>
  <c r="AE197" i="1"/>
  <c r="W197" i="1"/>
  <c r="V197" i="1"/>
  <c r="F197" i="1"/>
  <c r="E197" i="1"/>
  <c r="D197" i="1"/>
  <c r="C197" i="1"/>
  <c r="B197" i="1"/>
  <c r="H196" i="1"/>
  <c r="G196" i="1"/>
  <c r="AJ196" i="1"/>
  <c r="AI196" i="1"/>
  <c r="AH196" i="1"/>
  <c r="AG196" i="1"/>
  <c r="AE196" i="1"/>
  <c r="W196" i="1"/>
  <c r="V196" i="1"/>
  <c r="F196" i="1"/>
  <c r="E196" i="1"/>
  <c r="D196" i="1"/>
  <c r="C196" i="1"/>
  <c r="B196" i="1"/>
  <c r="H195" i="1"/>
  <c r="G195" i="1"/>
  <c r="AJ195" i="1"/>
  <c r="AI195" i="1"/>
  <c r="AH195" i="1"/>
  <c r="AG195" i="1"/>
  <c r="AE195" i="1"/>
  <c r="W195" i="1"/>
  <c r="V195" i="1"/>
  <c r="F195" i="1"/>
  <c r="E195" i="1"/>
  <c r="D195" i="1"/>
  <c r="C195" i="1"/>
  <c r="B195" i="1"/>
  <c r="H194" i="1"/>
  <c r="G194" i="1"/>
  <c r="AJ194" i="1"/>
  <c r="AI194" i="1"/>
  <c r="AH194" i="1"/>
  <c r="AG194" i="1"/>
  <c r="AE194" i="1"/>
  <c r="W194" i="1"/>
  <c r="V194" i="1"/>
  <c r="F194" i="1"/>
  <c r="E194" i="1"/>
  <c r="D194" i="1"/>
  <c r="C194" i="1"/>
  <c r="B194" i="1"/>
  <c r="H193" i="1"/>
  <c r="G193" i="1"/>
  <c r="AJ193" i="1"/>
  <c r="AI193" i="1"/>
  <c r="AH193" i="1"/>
  <c r="AG193" i="1"/>
  <c r="AE193" i="1"/>
  <c r="W193" i="1"/>
  <c r="V193" i="1"/>
  <c r="F193" i="1"/>
  <c r="E193" i="1"/>
  <c r="D193" i="1"/>
  <c r="C193" i="1"/>
  <c r="B193" i="1"/>
  <c r="H192" i="1"/>
  <c r="G192" i="1"/>
  <c r="AJ192" i="1"/>
  <c r="AI192" i="1"/>
  <c r="AH192" i="1"/>
  <c r="AG192" i="1"/>
  <c r="AE192" i="1"/>
  <c r="W192" i="1"/>
  <c r="V192" i="1"/>
  <c r="F192" i="1"/>
  <c r="E192" i="1"/>
  <c r="D192" i="1"/>
  <c r="C192" i="1"/>
  <c r="B192" i="1"/>
  <c r="H191" i="1"/>
  <c r="G191" i="1"/>
  <c r="AJ191" i="1"/>
  <c r="AI191" i="1"/>
  <c r="AH191" i="1"/>
  <c r="AG191" i="1"/>
  <c r="AE191" i="1"/>
  <c r="W191" i="1"/>
  <c r="V191" i="1"/>
  <c r="F191" i="1"/>
  <c r="E191" i="1"/>
  <c r="D191" i="1"/>
  <c r="C191" i="1"/>
  <c r="B191" i="1"/>
  <c r="H190" i="1"/>
  <c r="G190" i="1"/>
  <c r="AJ190" i="1"/>
  <c r="AI190" i="1"/>
  <c r="AH190" i="1"/>
  <c r="AG190" i="1"/>
  <c r="AE190" i="1"/>
  <c r="W190" i="1"/>
  <c r="V190" i="1"/>
  <c r="F190" i="1"/>
  <c r="E190" i="1"/>
  <c r="D190" i="1"/>
  <c r="C190" i="1"/>
  <c r="B190" i="1"/>
  <c r="H189" i="1"/>
  <c r="G189" i="1"/>
  <c r="AJ189" i="1"/>
  <c r="AI189" i="1"/>
  <c r="AH189" i="1"/>
  <c r="AG189" i="1"/>
  <c r="AE189" i="1"/>
  <c r="W189" i="1"/>
  <c r="V189" i="1"/>
  <c r="F189" i="1"/>
  <c r="E189" i="1"/>
  <c r="D189" i="1"/>
  <c r="C189" i="1"/>
  <c r="B189" i="1"/>
  <c r="H188" i="1"/>
  <c r="G188" i="1"/>
  <c r="AJ188" i="1"/>
  <c r="AI188" i="1"/>
  <c r="AH188" i="1"/>
  <c r="AG188" i="1"/>
  <c r="AE188" i="1"/>
  <c r="W188" i="1"/>
  <c r="V188" i="1"/>
  <c r="F188" i="1"/>
  <c r="E188" i="1"/>
  <c r="D188" i="1"/>
  <c r="C188" i="1"/>
  <c r="B188" i="1"/>
  <c r="H187" i="1"/>
  <c r="G187" i="1"/>
  <c r="AJ187" i="1"/>
  <c r="AI187" i="1"/>
  <c r="AH187" i="1"/>
  <c r="AG187" i="1"/>
  <c r="AE187" i="1"/>
  <c r="W187" i="1"/>
  <c r="V187" i="1"/>
  <c r="F187" i="1"/>
  <c r="E187" i="1"/>
  <c r="D187" i="1"/>
  <c r="C187" i="1"/>
  <c r="B187" i="1"/>
  <c r="H186" i="1"/>
  <c r="G186" i="1"/>
  <c r="AJ186" i="1"/>
  <c r="AI186" i="1"/>
  <c r="AH186" i="1"/>
  <c r="AG186" i="1"/>
  <c r="AE186" i="1"/>
  <c r="W186" i="1"/>
  <c r="V186" i="1"/>
  <c r="F186" i="1"/>
  <c r="E186" i="1"/>
  <c r="D186" i="1"/>
  <c r="C186" i="1"/>
  <c r="B186" i="1"/>
  <c r="H185" i="1"/>
  <c r="G185" i="1"/>
  <c r="AJ185" i="1"/>
  <c r="AI185" i="1"/>
  <c r="AH185" i="1"/>
  <c r="AG185" i="1"/>
  <c r="AE185" i="1"/>
  <c r="W185" i="1"/>
  <c r="V185" i="1"/>
  <c r="F185" i="1"/>
  <c r="E185" i="1"/>
  <c r="D185" i="1"/>
  <c r="C185" i="1"/>
  <c r="B185" i="1"/>
  <c r="H184" i="1"/>
  <c r="G184" i="1"/>
  <c r="AJ184" i="1"/>
  <c r="AI184" i="1"/>
  <c r="AH184" i="1"/>
  <c r="AG184" i="1"/>
  <c r="AE184" i="1"/>
  <c r="W184" i="1"/>
  <c r="V184" i="1"/>
  <c r="F184" i="1"/>
  <c r="E184" i="1"/>
  <c r="D184" i="1"/>
  <c r="C184" i="1"/>
  <c r="B184" i="1"/>
  <c r="H183" i="1"/>
  <c r="G183" i="1"/>
  <c r="AJ183" i="1"/>
  <c r="AI183" i="1"/>
  <c r="AH183" i="1"/>
  <c r="AG183" i="1"/>
  <c r="AE183" i="1"/>
  <c r="W183" i="1"/>
  <c r="V183" i="1"/>
  <c r="F183" i="1"/>
  <c r="E183" i="1"/>
  <c r="D183" i="1"/>
  <c r="C183" i="1"/>
  <c r="B183" i="1"/>
  <c r="H182" i="1"/>
  <c r="G182" i="1"/>
  <c r="AJ182" i="1"/>
  <c r="AI182" i="1"/>
  <c r="AH182" i="1"/>
  <c r="AG182" i="1"/>
  <c r="AE182" i="1"/>
  <c r="W182" i="1"/>
  <c r="V182" i="1"/>
  <c r="F182" i="1"/>
  <c r="E182" i="1"/>
  <c r="D182" i="1"/>
  <c r="C182" i="1"/>
  <c r="B182" i="1"/>
  <c r="H181" i="1"/>
  <c r="G181" i="1"/>
  <c r="AJ181" i="1"/>
  <c r="AI181" i="1"/>
  <c r="AH181" i="1"/>
  <c r="AG181" i="1"/>
  <c r="AE181" i="1"/>
  <c r="W181" i="1"/>
  <c r="V181" i="1"/>
  <c r="F181" i="1"/>
  <c r="E181" i="1"/>
  <c r="D181" i="1"/>
  <c r="C181" i="1"/>
  <c r="B181" i="1"/>
  <c r="H180" i="1"/>
  <c r="G180" i="1"/>
  <c r="AJ180" i="1"/>
  <c r="AI180" i="1"/>
  <c r="AH180" i="1"/>
  <c r="AG180" i="1"/>
  <c r="AE180" i="1"/>
  <c r="W180" i="1"/>
  <c r="V180" i="1"/>
  <c r="F180" i="1"/>
  <c r="E180" i="1"/>
  <c r="D180" i="1"/>
  <c r="C180" i="1"/>
  <c r="B180" i="1"/>
  <c r="H179" i="1"/>
  <c r="G179" i="1"/>
  <c r="AJ179" i="1"/>
  <c r="AI179" i="1"/>
  <c r="AH179" i="1"/>
  <c r="AG179" i="1"/>
  <c r="AE179" i="1"/>
  <c r="W179" i="1"/>
  <c r="V179" i="1"/>
  <c r="F179" i="1"/>
  <c r="E179" i="1"/>
  <c r="D179" i="1"/>
  <c r="C179" i="1"/>
  <c r="B179" i="1"/>
  <c r="H178" i="1"/>
  <c r="G178" i="1"/>
  <c r="AJ178" i="1"/>
  <c r="AI178" i="1"/>
  <c r="AH178" i="1"/>
  <c r="AG178" i="1"/>
  <c r="AE178" i="1"/>
  <c r="W178" i="1"/>
  <c r="V178" i="1"/>
  <c r="F178" i="1"/>
  <c r="E178" i="1"/>
  <c r="D178" i="1"/>
  <c r="C178" i="1"/>
  <c r="B178" i="1"/>
  <c r="H177" i="1"/>
  <c r="G177" i="1"/>
  <c r="AJ177" i="1"/>
  <c r="AI177" i="1"/>
  <c r="AH177" i="1"/>
  <c r="AG177" i="1"/>
  <c r="AE177" i="1"/>
  <c r="W177" i="1"/>
  <c r="V177" i="1"/>
  <c r="F177" i="1"/>
  <c r="E177" i="1"/>
  <c r="D177" i="1"/>
  <c r="C177" i="1"/>
  <c r="B177" i="1"/>
  <c r="H176" i="1"/>
  <c r="G176" i="1"/>
  <c r="AJ176" i="1"/>
  <c r="AI176" i="1"/>
  <c r="AH176" i="1"/>
  <c r="AG176" i="1"/>
  <c r="AE176" i="1"/>
  <c r="W176" i="1"/>
  <c r="V176" i="1"/>
  <c r="F176" i="1"/>
  <c r="E176" i="1"/>
  <c r="D176" i="1"/>
  <c r="C176" i="1"/>
  <c r="B176" i="1"/>
  <c r="H175" i="1"/>
  <c r="G175" i="1"/>
  <c r="AJ175" i="1"/>
  <c r="AI175" i="1"/>
  <c r="AH175" i="1"/>
  <c r="AG175" i="1"/>
  <c r="AE175" i="1"/>
  <c r="W175" i="1"/>
  <c r="V175" i="1"/>
  <c r="F175" i="1"/>
  <c r="E175" i="1"/>
  <c r="D175" i="1"/>
  <c r="C175" i="1"/>
  <c r="B175" i="1"/>
  <c r="H174" i="1"/>
  <c r="G174" i="1"/>
  <c r="AJ174" i="1"/>
  <c r="AI174" i="1"/>
  <c r="AH174" i="1"/>
  <c r="AG174" i="1"/>
  <c r="AE174" i="1"/>
  <c r="W174" i="1"/>
  <c r="V174" i="1"/>
  <c r="F174" i="1"/>
  <c r="E174" i="1"/>
  <c r="D174" i="1"/>
  <c r="C174" i="1"/>
  <c r="B174" i="1"/>
  <c r="Y4" i="1" a="1"/>
  <c r="Y4" i="1" s="1"/>
  <c r="H173" i="1"/>
  <c r="G173" i="1"/>
  <c r="AJ173" i="1"/>
  <c r="AI173" i="1"/>
  <c r="AH173" i="1"/>
  <c r="AG173" i="1"/>
  <c r="AE173" i="1"/>
  <c r="W173" i="1"/>
  <c r="V173" i="1"/>
  <c r="F173" i="1"/>
  <c r="E173" i="1"/>
  <c r="D173" i="1"/>
  <c r="C173" i="1"/>
  <c r="B173" i="1"/>
  <c r="H172" i="1"/>
  <c r="G172" i="1"/>
  <c r="AJ172" i="1"/>
  <c r="AI172" i="1"/>
  <c r="AH172" i="1"/>
  <c r="AG172" i="1"/>
  <c r="AE172" i="1"/>
  <c r="W172" i="1"/>
  <c r="V172" i="1"/>
  <c r="F172" i="1"/>
  <c r="E172" i="1"/>
  <c r="D172" i="1"/>
  <c r="C172" i="1"/>
  <c r="B172" i="1"/>
  <c r="H171" i="1"/>
  <c r="G171" i="1"/>
  <c r="AJ171" i="1"/>
  <c r="AI171" i="1"/>
  <c r="AH171" i="1"/>
  <c r="AG171" i="1"/>
  <c r="AE171" i="1"/>
  <c r="W171" i="1"/>
  <c r="V171" i="1"/>
  <c r="F171" i="1"/>
  <c r="E171" i="1"/>
  <c r="D171" i="1"/>
  <c r="C171" i="1"/>
  <c r="B171" i="1"/>
  <c r="H170" i="1"/>
  <c r="G170" i="1"/>
  <c r="AJ170" i="1"/>
  <c r="AI170" i="1"/>
  <c r="AH170" i="1"/>
  <c r="AG170" i="1"/>
  <c r="AE170" i="1"/>
  <c r="W170" i="1"/>
  <c r="V170" i="1"/>
  <c r="F170" i="1"/>
  <c r="E170" i="1"/>
  <c r="D170" i="1"/>
  <c r="C170" i="1"/>
  <c r="B170" i="1"/>
  <c r="H169" i="1"/>
  <c r="G169" i="1"/>
  <c r="AJ169" i="1"/>
  <c r="AI169" i="1"/>
  <c r="AH169" i="1"/>
  <c r="AG169" i="1"/>
  <c r="AE169" i="1"/>
  <c r="W169" i="1"/>
  <c r="V169" i="1"/>
  <c r="F169" i="1"/>
  <c r="E169" i="1"/>
  <c r="D169" i="1"/>
  <c r="C169" i="1"/>
  <c r="B169" i="1"/>
  <c r="H168" i="1"/>
  <c r="G168" i="1"/>
  <c r="AJ168" i="1"/>
  <c r="AI168" i="1"/>
  <c r="AH168" i="1"/>
  <c r="AG168" i="1"/>
  <c r="AE168" i="1"/>
  <c r="W168" i="1"/>
  <c r="V168" i="1"/>
  <c r="F168" i="1"/>
  <c r="E168" i="1"/>
  <c r="D168" i="1"/>
  <c r="C168" i="1"/>
  <c r="B168" i="1"/>
  <c r="H167" i="1"/>
  <c r="G167" i="1"/>
  <c r="AJ167" i="1"/>
  <c r="AI167" i="1"/>
  <c r="AH167" i="1"/>
  <c r="AG167" i="1"/>
  <c r="AE167" i="1"/>
  <c r="W167" i="1"/>
  <c r="V167" i="1"/>
  <c r="F167" i="1"/>
  <c r="E167" i="1"/>
  <c r="D167" i="1"/>
  <c r="C167" i="1"/>
  <c r="B167" i="1"/>
  <c r="H166" i="1"/>
  <c r="G166" i="1"/>
  <c r="AJ166" i="1"/>
  <c r="AI166" i="1"/>
  <c r="AH166" i="1"/>
  <c r="AG166" i="1"/>
  <c r="AE166" i="1"/>
  <c r="W166" i="1"/>
  <c r="V166" i="1"/>
  <c r="F166" i="1"/>
  <c r="E166" i="1"/>
  <c r="D166" i="1"/>
  <c r="C166" i="1"/>
  <c r="B166" i="1"/>
  <c r="H165" i="1"/>
  <c r="G165" i="1"/>
  <c r="AJ165" i="1"/>
  <c r="AI165" i="1"/>
  <c r="AH165" i="1"/>
  <c r="AG165" i="1"/>
  <c r="AE165" i="1"/>
  <c r="W165" i="1"/>
  <c r="V165" i="1"/>
  <c r="F165" i="1"/>
  <c r="E165" i="1"/>
  <c r="D165" i="1"/>
  <c r="C165" i="1"/>
  <c r="B165" i="1"/>
  <c r="H164" i="1"/>
  <c r="G164" i="1"/>
  <c r="AJ164" i="1"/>
  <c r="AI164" i="1"/>
  <c r="AH164" i="1"/>
  <c r="AG164" i="1"/>
  <c r="AE164" i="1"/>
  <c r="W164" i="1"/>
  <c r="V164" i="1"/>
  <c r="F164" i="1"/>
  <c r="E164" i="1"/>
  <c r="D164" i="1"/>
  <c r="C164" i="1"/>
  <c r="B164" i="1"/>
  <c r="H163" i="1"/>
  <c r="G163" i="1"/>
  <c r="AJ163" i="1"/>
  <c r="AI163" i="1"/>
  <c r="AH163" i="1"/>
  <c r="AG163" i="1"/>
  <c r="AE163" i="1"/>
  <c r="W163" i="1"/>
  <c r="V163" i="1"/>
  <c r="F163" i="1"/>
  <c r="E163" i="1"/>
  <c r="D163" i="1"/>
  <c r="C163" i="1"/>
  <c r="B163" i="1"/>
  <c r="H162" i="1"/>
  <c r="G162" i="1"/>
  <c r="AJ162" i="1"/>
  <c r="AI162" i="1"/>
  <c r="AH162" i="1"/>
  <c r="AG162" i="1"/>
  <c r="AE162" i="1"/>
  <c r="W162" i="1"/>
  <c r="V162" i="1"/>
  <c r="F162" i="1"/>
  <c r="E162" i="1"/>
  <c r="D162" i="1"/>
  <c r="C162" i="1"/>
  <c r="B162" i="1"/>
  <c r="H161" i="1"/>
  <c r="G161" i="1"/>
  <c r="AJ161" i="1"/>
  <c r="AI161" i="1"/>
  <c r="AH161" i="1"/>
  <c r="AG161" i="1"/>
  <c r="AE161" i="1"/>
  <c r="W161" i="1"/>
  <c r="V161" i="1"/>
  <c r="F161" i="1"/>
  <c r="E161" i="1"/>
  <c r="L6" i="1" s="1"/>
  <c r="D161" i="1"/>
  <c r="C161" i="1"/>
  <c r="B161" i="1"/>
  <c r="AJ160" i="1"/>
  <c r="T25" i="1" s="1"/>
  <c r="AI160" i="1"/>
  <c r="AH160" i="1"/>
  <c r="AG160" i="1"/>
  <c r="AE160" i="1"/>
  <c r="Y3" i="1" a="1"/>
  <c r="Y3" i="1" s="1"/>
  <c r="Y2" i="1" a="1"/>
  <c r="Y2" i="1" s="1"/>
  <c r="AF323" i="1" a="1"/>
  <c r="AF323" i="1" s="1"/>
  <c r="H38" i="1"/>
  <c r="V2" i="1" a="1"/>
  <c r="V2" i="1" s="1"/>
  <c r="U2" i="1" a="1"/>
  <c r="U2" i="1" s="1"/>
  <c r="T2" i="1" a="1"/>
  <c r="T2" i="1" s="1"/>
  <c r="F2" i="1"/>
  <c r="G2" i="1"/>
  <c r="H2" i="1"/>
  <c r="N8" i="1"/>
  <c r="B38" i="1"/>
  <c r="C38" i="1"/>
  <c r="D38" i="1"/>
  <c r="F38" i="1"/>
  <c r="G38" i="1"/>
  <c r="V38" i="1"/>
  <c r="W38" i="1"/>
  <c r="AE38" i="1"/>
  <c r="AG38" i="1"/>
  <c r="AH38" i="1"/>
  <c r="AI38" i="1"/>
  <c r="AK38" i="1"/>
  <c r="B39" i="1"/>
  <c r="C39" i="1"/>
  <c r="D39" i="1"/>
  <c r="F39" i="1"/>
  <c r="G39" i="1"/>
  <c r="V39" i="1"/>
  <c r="W39" i="1"/>
  <c r="AE39" i="1"/>
  <c r="AG39" i="1"/>
  <c r="AH39" i="1"/>
  <c r="AI39" i="1"/>
  <c r="B40" i="1"/>
  <c r="C40" i="1"/>
  <c r="D40" i="1"/>
  <c r="F40" i="1"/>
  <c r="G40" i="1"/>
  <c r="V40" i="1"/>
  <c r="W40" i="1"/>
  <c r="AE40" i="1"/>
  <c r="AG40" i="1"/>
  <c r="AH40" i="1"/>
  <c r="AI40" i="1"/>
  <c r="B41" i="1"/>
  <c r="C41" i="1"/>
  <c r="D41" i="1"/>
  <c r="F41" i="1"/>
  <c r="G41" i="1"/>
  <c r="V41" i="1"/>
  <c r="W41" i="1"/>
  <c r="AE41" i="1"/>
  <c r="AG41" i="1"/>
  <c r="AH41" i="1"/>
  <c r="AI41" i="1"/>
  <c r="B42" i="1"/>
  <c r="C42" i="1"/>
  <c r="D42" i="1"/>
  <c r="F42" i="1"/>
  <c r="G42" i="1"/>
  <c r="V42" i="1"/>
  <c r="W42" i="1"/>
  <c r="AE42" i="1"/>
  <c r="AG42" i="1"/>
  <c r="AH42" i="1"/>
  <c r="AI42" i="1"/>
  <c r="B43" i="1"/>
  <c r="C43" i="1"/>
  <c r="D43" i="1"/>
  <c r="F43" i="1"/>
  <c r="G43" i="1"/>
  <c r="V43" i="1"/>
  <c r="W43" i="1"/>
  <c r="AE43" i="1"/>
  <c r="AG43" i="1"/>
  <c r="AH43" i="1"/>
  <c r="AI43" i="1"/>
  <c r="B44" i="1"/>
  <c r="C44" i="1"/>
  <c r="D44" i="1"/>
  <c r="F44" i="1"/>
  <c r="G44" i="1"/>
  <c r="V44" i="1"/>
  <c r="W44" i="1"/>
  <c r="AE44" i="1"/>
  <c r="AG44" i="1"/>
  <c r="AH44" i="1"/>
  <c r="AI44" i="1"/>
  <c r="B45" i="1"/>
  <c r="C45" i="1"/>
  <c r="D45" i="1"/>
  <c r="F45" i="1"/>
  <c r="G45" i="1"/>
  <c r="V45" i="1"/>
  <c r="W45" i="1"/>
  <c r="AE45" i="1"/>
  <c r="AG45" i="1"/>
  <c r="AH45" i="1"/>
  <c r="AI45" i="1"/>
  <c r="B46" i="1"/>
  <c r="C46" i="1"/>
  <c r="D46" i="1"/>
  <c r="F46" i="1"/>
  <c r="G46" i="1"/>
  <c r="V46" i="1"/>
  <c r="W46" i="1"/>
  <c r="AE46" i="1"/>
  <c r="AG46" i="1"/>
  <c r="AH46" i="1"/>
  <c r="AI46" i="1"/>
  <c r="B47" i="1"/>
  <c r="C47" i="1"/>
  <c r="D47" i="1"/>
  <c r="F47" i="1"/>
  <c r="G47" i="1"/>
  <c r="V47" i="1"/>
  <c r="W47" i="1"/>
  <c r="AE47" i="1"/>
  <c r="AG47" i="1"/>
  <c r="AH47" i="1"/>
  <c r="AI47" i="1"/>
  <c r="B48" i="1"/>
  <c r="C48" i="1"/>
  <c r="D48" i="1"/>
  <c r="F48" i="1"/>
  <c r="G48" i="1"/>
  <c r="V48" i="1"/>
  <c r="W48" i="1"/>
  <c r="AE48" i="1"/>
  <c r="AG48" i="1"/>
  <c r="AH48" i="1"/>
  <c r="AI48" i="1"/>
  <c r="B49" i="1"/>
  <c r="C49" i="1"/>
  <c r="D49" i="1"/>
  <c r="F49" i="1"/>
  <c r="G49" i="1"/>
  <c r="V49" i="1"/>
  <c r="W49" i="1"/>
  <c r="AE49" i="1"/>
  <c r="AG49" i="1"/>
  <c r="AH49" i="1"/>
  <c r="AI49" i="1"/>
  <c r="B50" i="1"/>
  <c r="C50" i="1"/>
  <c r="D50" i="1"/>
  <c r="F50" i="1"/>
  <c r="G50" i="1"/>
  <c r="V50" i="1"/>
  <c r="W50" i="1"/>
  <c r="AE50" i="1"/>
  <c r="AG50" i="1"/>
  <c r="AH50" i="1"/>
  <c r="AI50" i="1"/>
  <c r="B51" i="1"/>
  <c r="C51" i="1"/>
  <c r="D51" i="1"/>
  <c r="F51" i="1"/>
  <c r="G51" i="1"/>
  <c r="V51" i="1"/>
  <c r="W51" i="1"/>
  <c r="AE51" i="1"/>
  <c r="AG51" i="1"/>
  <c r="AH51" i="1"/>
  <c r="AI51" i="1"/>
  <c r="B52" i="1"/>
  <c r="C52" i="1"/>
  <c r="D52" i="1"/>
  <c r="F52" i="1"/>
  <c r="G52" i="1"/>
  <c r="V52" i="1"/>
  <c r="W52" i="1"/>
  <c r="AE52" i="1"/>
  <c r="AG52" i="1"/>
  <c r="AH52" i="1"/>
  <c r="AI52" i="1"/>
  <c r="B53" i="1"/>
  <c r="C53" i="1"/>
  <c r="D53" i="1"/>
  <c r="F53" i="1"/>
  <c r="G53" i="1"/>
  <c r="V53" i="1"/>
  <c r="W53" i="1"/>
  <c r="AE53" i="1"/>
  <c r="AG53" i="1"/>
  <c r="AH53" i="1"/>
  <c r="AI53" i="1"/>
  <c r="B54" i="1"/>
  <c r="C54" i="1"/>
  <c r="D54" i="1"/>
  <c r="F54" i="1"/>
  <c r="G54" i="1"/>
  <c r="V54" i="1"/>
  <c r="W54" i="1"/>
  <c r="AE54" i="1"/>
  <c r="AG54" i="1"/>
  <c r="AH54" i="1"/>
  <c r="AI54" i="1"/>
  <c r="B55" i="1"/>
  <c r="C55" i="1"/>
  <c r="D55" i="1"/>
  <c r="F55" i="1"/>
  <c r="G55" i="1"/>
  <c r="V55" i="1"/>
  <c r="W55" i="1"/>
  <c r="AE55" i="1"/>
  <c r="AG55" i="1"/>
  <c r="AH55" i="1"/>
  <c r="AI55" i="1"/>
  <c r="B56" i="1"/>
  <c r="C56" i="1"/>
  <c r="D56" i="1"/>
  <c r="F56" i="1"/>
  <c r="G56" i="1"/>
  <c r="V56" i="1"/>
  <c r="W56" i="1"/>
  <c r="AE56" i="1"/>
  <c r="AG56" i="1"/>
  <c r="AH56" i="1"/>
  <c r="AI56" i="1"/>
  <c r="B57" i="1"/>
  <c r="C57" i="1"/>
  <c r="D57" i="1"/>
  <c r="F57" i="1"/>
  <c r="G57" i="1"/>
  <c r="V57" i="1"/>
  <c r="W57" i="1"/>
  <c r="AE57" i="1"/>
  <c r="AG57" i="1"/>
  <c r="AH57" i="1"/>
  <c r="AI57" i="1"/>
  <c r="B58" i="1"/>
  <c r="C58" i="1"/>
  <c r="D58" i="1"/>
  <c r="F58" i="1"/>
  <c r="G58" i="1"/>
  <c r="V58" i="1"/>
  <c r="W58" i="1"/>
  <c r="AE58" i="1"/>
  <c r="AG58" i="1"/>
  <c r="AH58" i="1"/>
  <c r="AI58" i="1"/>
  <c r="B59" i="1"/>
  <c r="C59" i="1"/>
  <c r="D59" i="1"/>
  <c r="F59" i="1"/>
  <c r="G59" i="1"/>
  <c r="V59" i="1"/>
  <c r="W59" i="1"/>
  <c r="AE59" i="1"/>
  <c r="AG59" i="1"/>
  <c r="AH59" i="1"/>
  <c r="AI59" i="1"/>
  <c r="B60" i="1"/>
  <c r="C60" i="1"/>
  <c r="D60" i="1"/>
  <c r="F60" i="1"/>
  <c r="G60" i="1"/>
  <c r="V60" i="1"/>
  <c r="W60" i="1"/>
  <c r="AE60" i="1"/>
  <c r="AG60" i="1"/>
  <c r="AH60" i="1"/>
  <c r="AI60" i="1"/>
  <c r="B61" i="1"/>
  <c r="C61" i="1"/>
  <c r="D61" i="1"/>
  <c r="F61" i="1"/>
  <c r="G61" i="1"/>
  <c r="V61" i="1"/>
  <c r="W61" i="1"/>
  <c r="AE61" i="1"/>
  <c r="AG61" i="1"/>
  <c r="AH61" i="1"/>
  <c r="AI61" i="1"/>
  <c r="B62" i="1"/>
  <c r="C62" i="1"/>
  <c r="D62" i="1"/>
  <c r="F62" i="1"/>
  <c r="G62" i="1"/>
  <c r="V62" i="1"/>
  <c r="W62" i="1"/>
  <c r="AE62" i="1"/>
  <c r="AG62" i="1"/>
  <c r="AH62" i="1"/>
  <c r="AI62" i="1"/>
  <c r="B63" i="1"/>
  <c r="C63" i="1"/>
  <c r="D63" i="1"/>
  <c r="F63" i="1"/>
  <c r="G63" i="1"/>
  <c r="V63" i="1"/>
  <c r="W63" i="1"/>
  <c r="AE63" i="1"/>
  <c r="AG63" i="1"/>
  <c r="AH63" i="1"/>
  <c r="AI63" i="1"/>
  <c r="B64" i="1"/>
  <c r="C64" i="1"/>
  <c r="D64" i="1"/>
  <c r="F64" i="1"/>
  <c r="G64" i="1"/>
  <c r="V64" i="1"/>
  <c r="W64" i="1"/>
  <c r="AE64" i="1"/>
  <c r="AG64" i="1"/>
  <c r="AH64" i="1"/>
  <c r="AI64" i="1"/>
  <c r="B65" i="1"/>
  <c r="C65" i="1"/>
  <c r="D65" i="1"/>
  <c r="F65" i="1"/>
  <c r="G65" i="1"/>
  <c r="V65" i="1"/>
  <c r="W65" i="1"/>
  <c r="AE65" i="1"/>
  <c r="AG65" i="1"/>
  <c r="AH65" i="1"/>
  <c r="AI65" i="1"/>
  <c r="B66" i="1"/>
  <c r="C66" i="1"/>
  <c r="D66" i="1"/>
  <c r="F66" i="1"/>
  <c r="G66" i="1"/>
  <c r="V66" i="1"/>
  <c r="W66" i="1"/>
  <c r="AE66" i="1"/>
  <c r="AG66" i="1"/>
  <c r="AH66" i="1"/>
  <c r="AI66" i="1"/>
  <c r="B67" i="1"/>
  <c r="C67" i="1"/>
  <c r="D67" i="1"/>
  <c r="F67" i="1"/>
  <c r="G67" i="1"/>
  <c r="V67" i="1"/>
  <c r="W67" i="1"/>
  <c r="AE67" i="1"/>
  <c r="AG67" i="1"/>
  <c r="AH67" i="1"/>
  <c r="AI67" i="1"/>
  <c r="B68" i="1"/>
  <c r="C68" i="1"/>
  <c r="D68" i="1"/>
  <c r="F68" i="1"/>
  <c r="G68" i="1"/>
  <c r="V68" i="1"/>
  <c r="W68" i="1"/>
  <c r="AE68" i="1"/>
  <c r="AG68" i="1"/>
  <c r="AH68" i="1"/>
  <c r="AI68" i="1"/>
  <c r="B69" i="1"/>
  <c r="C69" i="1"/>
  <c r="D69" i="1"/>
  <c r="F69" i="1"/>
  <c r="G69" i="1"/>
  <c r="V69" i="1"/>
  <c r="W69" i="1"/>
  <c r="AE69" i="1"/>
  <c r="AG69" i="1"/>
  <c r="AH69" i="1"/>
  <c r="AI69" i="1"/>
  <c r="B70" i="1"/>
  <c r="C70" i="1"/>
  <c r="D70" i="1"/>
  <c r="F70" i="1"/>
  <c r="G70" i="1"/>
  <c r="V70" i="1"/>
  <c r="W70" i="1"/>
  <c r="AE70" i="1"/>
  <c r="AG70" i="1"/>
  <c r="AH70" i="1"/>
  <c r="AI70" i="1"/>
  <c r="B71" i="1"/>
  <c r="C71" i="1"/>
  <c r="D71" i="1"/>
  <c r="F71" i="1"/>
  <c r="G71" i="1"/>
  <c r="V71" i="1"/>
  <c r="W71" i="1"/>
  <c r="AE71" i="1"/>
  <c r="AG71" i="1"/>
  <c r="AH71" i="1"/>
  <c r="AI71" i="1"/>
  <c r="B72" i="1"/>
  <c r="C72" i="1"/>
  <c r="D72" i="1"/>
  <c r="F72" i="1"/>
  <c r="G72" i="1"/>
  <c r="V72" i="1"/>
  <c r="W72" i="1"/>
  <c r="AE72" i="1"/>
  <c r="AG72" i="1"/>
  <c r="AH72" i="1"/>
  <c r="AI72" i="1"/>
  <c r="B73" i="1"/>
  <c r="C73" i="1"/>
  <c r="D73" i="1"/>
  <c r="F73" i="1"/>
  <c r="G73" i="1"/>
  <c r="V73" i="1"/>
  <c r="W73" i="1"/>
  <c r="AE73" i="1"/>
  <c r="AG73" i="1"/>
  <c r="AH73" i="1"/>
  <c r="AI73" i="1"/>
  <c r="B74" i="1"/>
  <c r="C74" i="1"/>
  <c r="D74" i="1"/>
  <c r="F74" i="1"/>
  <c r="G74" i="1"/>
  <c r="V74" i="1"/>
  <c r="W74" i="1"/>
  <c r="AE74" i="1"/>
  <c r="AG74" i="1"/>
  <c r="AH74" i="1"/>
  <c r="AI74" i="1"/>
  <c r="B75" i="1"/>
  <c r="C75" i="1"/>
  <c r="D75" i="1"/>
  <c r="F75" i="1"/>
  <c r="G75" i="1"/>
  <c r="V75" i="1"/>
  <c r="W75" i="1"/>
  <c r="AE75" i="1"/>
  <c r="AG75" i="1"/>
  <c r="AH75" i="1"/>
  <c r="AI75" i="1"/>
  <c r="B76" i="1"/>
  <c r="C76" i="1"/>
  <c r="D76" i="1"/>
  <c r="F76" i="1"/>
  <c r="G76" i="1"/>
  <c r="V76" i="1"/>
  <c r="W76" i="1"/>
  <c r="AE76" i="1"/>
  <c r="AG76" i="1"/>
  <c r="AH76" i="1"/>
  <c r="AI76" i="1"/>
  <c r="B77" i="1"/>
  <c r="C77" i="1"/>
  <c r="D77" i="1"/>
  <c r="F77" i="1"/>
  <c r="G77" i="1"/>
  <c r="V77" i="1"/>
  <c r="W77" i="1"/>
  <c r="AE77" i="1"/>
  <c r="AG77" i="1"/>
  <c r="AH77" i="1"/>
  <c r="AI77" i="1"/>
  <c r="B78" i="1"/>
  <c r="C78" i="1"/>
  <c r="D78" i="1"/>
  <c r="F78" i="1"/>
  <c r="G78" i="1"/>
  <c r="V78" i="1"/>
  <c r="W78" i="1"/>
  <c r="AE78" i="1"/>
  <c r="AG78" i="1"/>
  <c r="AH78" i="1"/>
  <c r="AI78" i="1"/>
  <c r="B79" i="1"/>
  <c r="C79" i="1"/>
  <c r="D79" i="1"/>
  <c r="F79" i="1"/>
  <c r="G79" i="1"/>
  <c r="V79" i="1"/>
  <c r="W79" i="1"/>
  <c r="AE79" i="1"/>
  <c r="AG79" i="1"/>
  <c r="AH79" i="1"/>
  <c r="AI79" i="1"/>
  <c r="B80" i="1"/>
  <c r="C80" i="1"/>
  <c r="D80" i="1"/>
  <c r="F80" i="1"/>
  <c r="G80" i="1"/>
  <c r="V80" i="1"/>
  <c r="W80" i="1"/>
  <c r="AE80" i="1"/>
  <c r="AG80" i="1"/>
  <c r="AH80" i="1"/>
  <c r="AI80" i="1"/>
  <c r="B81" i="1"/>
  <c r="C81" i="1"/>
  <c r="D81" i="1"/>
  <c r="F81" i="1"/>
  <c r="G81" i="1"/>
  <c r="V81" i="1"/>
  <c r="W81" i="1"/>
  <c r="AE81" i="1"/>
  <c r="AG81" i="1"/>
  <c r="AH81" i="1"/>
  <c r="AI81" i="1"/>
  <c r="B82" i="1"/>
  <c r="C82" i="1"/>
  <c r="D82" i="1"/>
  <c r="F82" i="1"/>
  <c r="G82" i="1"/>
  <c r="V82" i="1"/>
  <c r="W82" i="1"/>
  <c r="AE82" i="1"/>
  <c r="AG82" i="1"/>
  <c r="AH82" i="1"/>
  <c r="AI82" i="1"/>
  <c r="B83" i="1"/>
  <c r="C83" i="1"/>
  <c r="D83" i="1"/>
  <c r="F83" i="1"/>
  <c r="G83" i="1"/>
  <c r="V83" i="1"/>
  <c r="W83" i="1"/>
  <c r="AE83" i="1"/>
  <c r="AG83" i="1"/>
  <c r="AH83" i="1"/>
  <c r="AI83" i="1"/>
  <c r="B84" i="1"/>
  <c r="C84" i="1"/>
  <c r="D84" i="1"/>
  <c r="F84" i="1"/>
  <c r="G84" i="1"/>
  <c r="V84" i="1"/>
  <c r="W84" i="1"/>
  <c r="AE84" i="1"/>
  <c r="AG84" i="1"/>
  <c r="AH84" i="1"/>
  <c r="AI84" i="1"/>
  <c r="B85" i="1"/>
  <c r="C85" i="1"/>
  <c r="D85" i="1"/>
  <c r="F85" i="1"/>
  <c r="G85" i="1"/>
  <c r="V85" i="1"/>
  <c r="W85" i="1"/>
  <c r="AE85" i="1"/>
  <c r="AG85" i="1"/>
  <c r="AH85" i="1"/>
  <c r="AI85" i="1"/>
  <c r="B86" i="1"/>
  <c r="C86" i="1"/>
  <c r="D86" i="1"/>
  <c r="F86" i="1"/>
  <c r="G86" i="1"/>
  <c r="V86" i="1"/>
  <c r="W86" i="1"/>
  <c r="AE86" i="1"/>
  <c r="AG86" i="1"/>
  <c r="AH86" i="1"/>
  <c r="AI86" i="1"/>
  <c r="B87" i="1"/>
  <c r="C87" i="1"/>
  <c r="D87" i="1"/>
  <c r="F87" i="1"/>
  <c r="G87" i="1"/>
  <c r="V87" i="1"/>
  <c r="W87" i="1"/>
  <c r="AE87" i="1"/>
  <c r="AG87" i="1"/>
  <c r="AH87" i="1"/>
  <c r="AI87" i="1"/>
  <c r="B88" i="1"/>
  <c r="C88" i="1"/>
  <c r="D88" i="1"/>
  <c r="F88" i="1"/>
  <c r="G88" i="1"/>
  <c r="V88" i="1"/>
  <c r="W88" i="1"/>
  <c r="AE88" i="1"/>
  <c r="AG88" i="1"/>
  <c r="AH88" i="1"/>
  <c r="AI88" i="1"/>
  <c r="B89" i="1"/>
  <c r="C89" i="1"/>
  <c r="D89" i="1"/>
  <c r="F89" i="1"/>
  <c r="G89" i="1"/>
  <c r="V89" i="1"/>
  <c r="W89" i="1"/>
  <c r="AE89" i="1"/>
  <c r="AG89" i="1"/>
  <c r="AH89" i="1"/>
  <c r="AI89" i="1"/>
  <c r="B90" i="1"/>
  <c r="C90" i="1"/>
  <c r="D90" i="1"/>
  <c r="F90" i="1"/>
  <c r="G90" i="1"/>
  <c r="V90" i="1"/>
  <c r="W90" i="1"/>
  <c r="AE90" i="1"/>
  <c r="AG90" i="1"/>
  <c r="AH90" i="1"/>
  <c r="AI90" i="1"/>
  <c r="B91" i="1"/>
  <c r="C91" i="1"/>
  <c r="D91" i="1"/>
  <c r="F91" i="1"/>
  <c r="G91" i="1"/>
  <c r="V91" i="1"/>
  <c r="W91" i="1"/>
  <c r="AE91" i="1"/>
  <c r="AG91" i="1"/>
  <c r="AH91" i="1"/>
  <c r="AI91" i="1"/>
  <c r="B92" i="1"/>
  <c r="C92" i="1"/>
  <c r="D92" i="1"/>
  <c r="F92" i="1"/>
  <c r="G92" i="1"/>
  <c r="V92" i="1"/>
  <c r="W92" i="1"/>
  <c r="AE92" i="1"/>
  <c r="AG92" i="1"/>
  <c r="AH92" i="1"/>
  <c r="AI92" i="1"/>
  <c r="B93" i="1"/>
  <c r="C93" i="1"/>
  <c r="D93" i="1"/>
  <c r="F93" i="1"/>
  <c r="G93" i="1"/>
  <c r="V93" i="1"/>
  <c r="W93" i="1"/>
  <c r="AE93" i="1"/>
  <c r="AG93" i="1"/>
  <c r="AH93" i="1"/>
  <c r="AI93" i="1"/>
  <c r="B94" i="1"/>
  <c r="C94" i="1"/>
  <c r="D94" i="1"/>
  <c r="F94" i="1"/>
  <c r="G94" i="1"/>
  <c r="V94" i="1"/>
  <c r="W94" i="1"/>
  <c r="AE94" i="1"/>
  <c r="AG94" i="1"/>
  <c r="AH94" i="1"/>
  <c r="AI94" i="1"/>
  <c r="B95" i="1"/>
  <c r="C95" i="1"/>
  <c r="D95" i="1"/>
  <c r="F95" i="1"/>
  <c r="G95" i="1"/>
  <c r="V95" i="1"/>
  <c r="W95" i="1"/>
  <c r="AE95" i="1"/>
  <c r="AG95" i="1"/>
  <c r="AH95" i="1"/>
  <c r="AI95" i="1"/>
  <c r="B96" i="1"/>
  <c r="C96" i="1"/>
  <c r="D96" i="1"/>
  <c r="F96" i="1"/>
  <c r="G96" i="1"/>
  <c r="V96" i="1"/>
  <c r="W96" i="1"/>
  <c r="AE96" i="1"/>
  <c r="AG96" i="1"/>
  <c r="AH96" i="1"/>
  <c r="AI96" i="1"/>
  <c r="B97" i="1"/>
  <c r="C97" i="1"/>
  <c r="D97" i="1"/>
  <c r="F97" i="1"/>
  <c r="G97" i="1"/>
  <c r="V97" i="1"/>
  <c r="W97" i="1"/>
  <c r="AE97" i="1"/>
  <c r="AG97" i="1"/>
  <c r="AH97" i="1"/>
  <c r="AI97" i="1"/>
  <c r="B98" i="1"/>
  <c r="C98" i="1"/>
  <c r="D98" i="1"/>
  <c r="F98" i="1"/>
  <c r="G98" i="1"/>
  <c r="V98" i="1"/>
  <c r="W98" i="1"/>
  <c r="AE98" i="1"/>
  <c r="AG98" i="1"/>
  <c r="AH98" i="1"/>
  <c r="AI98" i="1"/>
  <c r="B99" i="1"/>
  <c r="C99" i="1"/>
  <c r="D99" i="1"/>
  <c r="F99" i="1"/>
  <c r="G99" i="1"/>
  <c r="V99" i="1"/>
  <c r="W99" i="1"/>
  <c r="AE99" i="1"/>
  <c r="AG99" i="1"/>
  <c r="AH99" i="1"/>
  <c r="AI99" i="1"/>
  <c r="B100" i="1"/>
  <c r="C100" i="1"/>
  <c r="D100" i="1"/>
  <c r="F100" i="1"/>
  <c r="G100" i="1"/>
  <c r="V100" i="1"/>
  <c r="W100" i="1"/>
  <c r="AE100" i="1"/>
  <c r="AG100" i="1"/>
  <c r="AH100" i="1"/>
  <c r="AI100" i="1"/>
  <c r="B101" i="1"/>
  <c r="C101" i="1"/>
  <c r="D101" i="1"/>
  <c r="F101" i="1"/>
  <c r="G101" i="1"/>
  <c r="V101" i="1"/>
  <c r="W101" i="1"/>
  <c r="AE101" i="1"/>
  <c r="AG101" i="1"/>
  <c r="AH101" i="1"/>
  <c r="AI101" i="1"/>
  <c r="B102" i="1"/>
  <c r="C102" i="1"/>
  <c r="D102" i="1"/>
  <c r="F102" i="1"/>
  <c r="G102" i="1"/>
  <c r="V102" i="1"/>
  <c r="W102" i="1"/>
  <c r="AE102" i="1"/>
  <c r="AG102" i="1"/>
  <c r="AH102" i="1"/>
  <c r="AI102" i="1"/>
  <c r="B103" i="1"/>
  <c r="C103" i="1"/>
  <c r="D103" i="1"/>
  <c r="F103" i="1"/>
  <c r="G103" i="1"/>
  <c r="V103" i="1"/>
  <c r="W103" i="1"/>
  <c r="AE103" i="1"/>
  <c r="AG103" i="1"/>
  <c r="AH103" i="1"/>
  <c r="AI103" i="1"/>
  <c r="B104" i="1"/>
  <c r="C104" i="1"/>
  <c r="D104" i="1"/>
  <c r="F104" i="1"/>
  <c r="G104" i="1"/>
  <c r="V104" i="1"/>
  <c r="W104" i="1"/>
  <c r="AE104" i="1"/>
  <c r="AG104" i="1"/>
  <c r="AH104" i="1"/>
  <c r="AI104" i="1"/>
  <c r="B105" i="1"/>
  <c r="C105" i="1"/>
  <c r="D105" i="1"/>
  <c r="F105" i="1"/>
  <c r="G105" i="1"/>
  <c r="V105" i="1"/>
  <c r="W105" i="1"/>
  <c r="AE105" i="1"/>
  <c r="AG105" i="1"/>
  <c r="AH105" i="1"/>
  <c r="AI105" i="1"/>
  <c r="B106" i="1"/>
  <c r="C106" i="1"/>
  <c r="D106" i="1"/>
  <c r="F106" i="1"/>
  <c r="G106" i="1"/>
  <c r="V106" i="1"/>
  <c r="W106" i="1"/>
  <c r="AE106" i="1"/>
  <c r="AG106" i="1"/>
  <c r="AH106" i="1"/>
  <c r="AI106" i="1"/>
  <c r="B107" i="1"/>
  <c r="C107" i="1"/>
  <c r="D107" i="1"/>
  <c r="F107" i="1"/>
  <c r="G107" i="1"/>
  <c r="V107" i="1"/>
  <c r="W107" i="1"/>
  <c r="AE107" i="1"/>
  <c r="AG107" i="1"/>
  <c r="AH107" i="1"/>
  <c r="AI107" i="1"/>
  <c r="B108" i="1"/>
  <c r="C108" i="1"/>
  <c r="D108" i="1"/>
  <c r="F108" i="1"/>
  <c r="G108" i="1"/>
  <c r="V108" i="1"/>
  <c r="W108" i="1"/>
  <c r="AE108" i="1"/>
  <c r="AG108" i="1"/>
  <c r="AH108" i="1"/>
  <c r="AI108" i="1"/>
  <c r="B109" i="1"/>
  <c r="C109" i="1"/>
  <c r="D109" i="1"/>
  <c r="F109" i="1"/>
  <c r="G109" i="1"/>
  <c r="V109" i="1"/>
  <c r="W109" i="1"/>
  <c r="AE109" i="1"/>
  <c r="AG109" i="1"/>
  <c r="AH109" i="1"/>
  <c r="AI109" i="1"/>
  <c r="B110" i="1"/>
  <c r="C110" i="1"/>
  <c r="D110" i="1"/>
  <c r="F110" i="1"/>
  <c r="G110" i="1"/>
  <c r="V110" i="1"/>
  <c r="W110" i="1"/>
  <c r="AE110" i="1"/>
  <c r="AG110" i="1"/>
  <c r="AH110" i="1"/>
  <c r="AI110" i="1"/>
  <c r="B111" i="1"/>
  <c r="C111" i="1"/>
  <c r="D111" i="1"/>
  <c r="F111" i="1"/>
  <c r="G111" i="1"/>
  <c r="V111" i="1"/>
  <c r="W111" i="1"/>
  <c r="AE111" i="1"/>
  <c r="AG111" i="1"/>
  <c r="AH111" i="1"/>
  <c r="AI111" i="1"/>
  <c r="B112" i="1"/>
  <c r="C112" i="1"/>
  <c r="D112" i="1"/>
  <c r="F112" i="1"/>
  <c r="G112" i="1"/>
  <c r="V112" i="1"/>
  <c r="W112" i="1"/>
  <c r="AE112" i="1"/>
  <c r="AG112" i="1"/>
  <c r="AH112" i="1"/>
  <c r="AI112" i="1"/>
  <c r="B113" i="1"/>
  <c r="C113" i="1"/>
  <c r="D113" i="1"/>
  <c r="F113" i="1"/>
  <c r="G113" i="1"/>
  <c r="V113" i="1"/>
  <c r="W113" i="1"/>
  <c r="AE113" i="1"/>
  <c r="AG113" i="1"/>
  <c r="AH113" i="1"/>
  <c r="AI113" i="1"/>
  <c r="B114" i="1"/>
  <c r="C114" i="1"/>
  <c r="D114" i="1"/>
  <c r="F114" i="1"/>
  <c r="G114" i="1"/>
  <c r="V114" i="1"/>
  <c r="W114" i="1"/>
  <c r="AE114" i="1"/>
  <c r="AG114" i="1"/>
  <c r="AH114" i="1"/>
  <c r="AI114" i="1"/>
  <c r="B115" i="1"/>
  <c r="C115" i="1"/>
  <c r="D115" i="1"/>
  <c r="F115" i="1"/>
  <c r="G115" i="1"/>
  <c r="V115" i="1"/>
  <c r="W115" i="1"/>
  <c r="AE115" i="1"/>
  <c r="AG115" i="1"/>
  <c r="AH115" i="1"/>
  <c r="AI115" i="1"/>
  <c r="B116" i="1"/>
  <c r="C116" i="1"/>
  <c r="D116" i="1"/>
  <c r="F116" i="1"/>
  <c r="G116" i="1"/>
  <c r="V116" i="1"/>
  <c r="W116" i="1"/>
  <c r="AE116" i="1"/>
  <c r="AG116" i="1"/>
  <c r="AH116" i="1"/>
  <c r="AI116" i="1"/>
  <c r="B117" i="1"/>
  <c r="C117" i="1"/>
  <c r="D117" i="1"/>
  <c r="F117" i="1"/>
  <c r="G117" i="1"/>
  <c r="V117" i="1"/>
  <c r="W117" i="1"/>
  <c r="AE117" i="1"/>
  <c r="AG117" i="1"/>
  <c r="AH117" i="1"/>
  <c r="AI117" i="1"/>
  <c r="B118" i="1"/>
  <c r="C118" i="1"/>
  <c r="D118" i="1"/>
  <c r="F118" i="1"/>
  <c r="G118" i="1"/>
  <c r="V118" i="1"/>
  <c r="W118" i="1"/>
  <c r="AE118" i="1"/>
  <c r="AG118" i="1"/>
  <c r="AH118" i="1"/>
  <c r="AI118" i="1"/>
  <c r="B119" i="1"/>
  <c r="C119" i="1"/>
  <c r="D119" i="1"/>
  <c r="F119" i="1"/>
  <c r="G119" i="1"/>
  <c r="V119" i="1"/>
  <c r="W119" i="1"/>
  <c r="AE119" i="1"/>
  <c r="AG119" i="1"/>
  <c r="AH119" i="1"/>
  <c r="AI119" i="1"/>
  <c r="B120" i="1"/>
  <c r="C120" i="1"/>
  <c r="D120" i="1"/>
  <c r="F120" i="1"/>
  <c r="G120" i="1"/>
  <c r="V120" i="1"/>
  <c r="W120" i="1"/>
  <c r="AE120" i="1"/>
  <c r="AG120" i="1"/>
  <c r="AH120" i="1"/>
  <c r="AI120" i="1"/>
  <c r="B121" i="1"/>
  <c r="C121" i="1"/>
  <c r="D121" i="1"/>
  <c r="F121" i="1"/>
  <c r="G121" i="1"/>
  <c r="V121" i="1"/>
  <c r="W121" i="1"/>
  <c r="AE121" i="1"/>
  <c r="AG121" i="1"/>
  <c r="AH121" i="1"/>
  <c r="AI121" i="1"/>
  <c r="B122" i="1"/>
  <c r="C122" i="1"/>
  <c r="D122" i="1"/>
  <c r="F122" i="1"/>
  <c r="G122" i="1"/>
  <c r="V122" i="1"/>
  <c r="W122" i="1"/>
  <c r="AE122" i="1"/>
  <c r="AG122" i="1"/>
  <c r="AH122" i="1"/>
  <c r="AI122" i="1"/>
  <c r="B123" i="1"/>
  <c r="C123" i="1"/>
  <c r="D123" i="1"/>
  <c r="F123" i="1"/>
  <c r="G123" i="1"/>
  <c r="V123" i="1"/>
  <c r="W123" i="1"/>
  <c r="AE123" i="1"/>
  <c r="AG123" i="1"/>
  <c r="AH123" i="1"/>
  <c r="AI123" i="1"/>
  <c r="B124" i="1"/>
  <c r="C124" i="1"/>
  <c r="D124" i="1"/>
  <c r="F124" i="1"/>
  <c r="G124" i="1"/>
  <c r="V124" i="1"/>
  <c r="W124" i="1"/>
  <c r="AE124" i="1"/>
  <c r="AG124" i="1"/>
  <c r="AH124" i="1"/>
  <c r="AI124" i="1"/>
  <c r="B125" i="1"/>
  <c r="C125" i="1"/>
  <c r="D125" i="1"/>
  <c r="F125" i="1"/>
  <c r="G125" i="1"/>
  <c r="V125" i="1"/>
  <c r="W125" i="1"/>
  <c r="AE125" i="1"/>
  <c r="AG125" i="1"/>
  <c r="AH125" i="1"/>
  <c r="AI125" i="1"/>
  <c r="B126" i="1"/>
  <c r="C126" i="1"/>
  <c r="D126" i="1"/>
  <c r="F126" i="1"/>
  <c r="G126" i="1"/>
  <c r="V126" i="1"/>
  <c r="W126" i="1"/>
  <c r="AE126" i="1"/>
  <c r="AG126" i="1"/>
  <c r="AH126" i="1"/>
  <c r="AI126" i="1"/>
  <c r="B127" i="1"/>
  <c r="C127" i="1"/>
  <c r="D127" i="1"/>
  <c r="F127" i="1"/>
  <c r="G127" i="1"/>
  <c r="V127" i="1"/>
  <c r="W127" i="1"/>
  <c r="AE127" i="1"/>
  <c r="AG127" i="1"/>
  <c r="AH127" i="1"/>
  <c r="AI127" i="1"/>
  <c r="B128" i="1"/>
  <c r="C128" i="1"/>
  <c r="D128" i="1"/>
  <c r="F128" i="1"/>
  <c r="G128" i="1"/>
  <c r="V128" i="1"/>
  <c r="W128" i="1"/>
  <c r="AE128" i="1"/>
  <c r="AG128" i="1"/>
  <c r="AH128" i="1"/>
  <c r="AI128" i="1"/>
  <c r="B129" i="1"/>
  <c r="C129" i="1"/>
  <c r="D129" i="1"/>
  <c r="F129" i="1"/>
  <c r="G129" i="1"/>
  <c r="V129" i="1"/>
  <c r="W129" i="1"/>
  <c r="AE129" i="1"/>
  <c r="AG129" i="1"/>
  <c r="AH129" i="1"/>
  <c r="AI129" i="1"/>
  <c r="B130" i="1"/>
  <c r="C130" i="1"/>
  <c r="D130" i="1"/>
  <c r="F130" i="1"/>
  <c r="G130" i="1"/>
  <c r="V130" i="1"/>
  <c r="W130" i="1"/>
  <c r="AE130" i="1"/>
  <c r="AG130" i="1"/>
  <c r="AH130" i="1"/>
  <c r="AI130" i="1"/>
  <c r="B131" i="1"/>
  <c r="C131" i="1"/>
  <c r="D131" i="1"/>
  <c r="F131" i="1"/>
  <c r="G131" i="1"/>
  <c r="V131" i="1"/>
  <c r="W131" i="1"/>
  <c r="AE131" i="1"/>
  <c r="AG131" i="1"/>
  <c r="AH131" i="1"/>
  <c r="AI131" i="1"/>
  <c r="B132" i="1"/>
  <c r="C132" i="1"/>
  <c r="D132" i="1"/>
  <c r="F132" i="1"/>
  <c r="G132" i="1"/>
  <c r="V132" i="1"/>
  <c r="W132" i="1"/>
  <c r="AE132" i="1"/>
  <c r="AG132" i="1"/>
  <c r="AH132" i="1"/>
  <c r="AI132" i="1"/>
  <c r="B133" i="1"/>
  <c r="C133" i="1"/>
  <c r="D133" i="1"/>
  <c r="F133" i="1"/>
  <c r="G133" i="1"/>
  <c r="V133" i="1"/>
  <c r="W133" i="1"/>
  <c r="AE133" i="1"/>
  <c r="AG133" i="1"/>
  <c r="AH133" i="1"/>
  <c r="AI133" i="1"/>
  <c r="B134" i="1"/>
  <c r="C134" i="1"/>
  <c r="D134" i="1"/>
  <c r="F134" i="1"/>
  <c r="G134" i="1"/>
  <c r="V134" i="1"/>
  <c r="W134" i="1"/>
  <c r="AE134" i="1"/>
  <c r="AG134" i="1"/>
  <c r="AH134" i="1"/>
  <c r="AI134" i="1"/>
  <c r="B135" i="1"/>
  <c r="C135" i="1"/>
  <c r="D135" i="1"/>
  <c r="F135" i="1"/>
  <c r="G135" i="1"/>
  <c r="V135" i="1"/>
  <c r="W135" i="1"/>
  <c r="AE135" i="1"/>
  <c r="AG135" i="1"/>
  <c r="AH135" i="1"/>
  <c r="AI135" i="1"/>
  <c r="B136" i="1"/>
  <c r="C136" i="1"/>
  <c r="D136" i="1"/>
  <c r="F136" i="1"/>
  <c r="G136" i="1"/>
  <c r="V136" i="1"/>
  <c r="W136" i="1"/>
  <c r="AE136" i="1"/>
  <c r="AG136" i="1"/>
  <c r="AH136" i="1"/>
  <c r="AI136" i="1"/>
  <c r="B137" i="1"/>
  <c r="C137" i="1"/>
  <c r="D137" i="1"/>
  <c r="F137" i="1"/>
  <c r="G137" i="1"/>
  <c r="V137" i="1"/>
  <c r="W137" i="1"/>
  <c r="AE137" i="1"/>
  <c r="AG137" i="1"/>
  <c r="AH137" i="1"/>
  <c r="AI137" i="1"/>
  <c r="B138" i="1"/>
  <c r="C138" i="1"/>
  <c r="D138" i="1"/>
  <c r="F138" i="1"/>
  <c r="G138" i="1"/>
  <c r="V138" i="1"/>
  <c r="W138" i="1"/>
  <c r="AE138" i="1"/>
  <c r="AG138" i="1"/>
  <c r="AH138" i="1"/>
  <c r="AI138" i="1"/>
  <c r="B139" i="1"/>
  <c r="C139" i="1"/>
  <c r="D139" i="1"/>
  <c r="F139" i="1"/>
  <c r="G139" i="1"/>
  <c r="V139" i="1"/>
  <c r="W139" i="1"/>
  <c r="AE139" i="1"/>
  <c r="AG139" i="1"/>
  <c r="AH139" i="1"/>
  <c r="AI139" i="1"/>
  <c r="B140" i="1"/>
  <c r="C140" i="1"/>
  <c r="D140" i="1"/>
  <c r="F140" i="1"/>
  <c r="G140" i="1"/>
  <c r="V140" i="1"/>
  <c r="W140" i="1"/>
  <c r="AE140" i="1"/>
  <c r="AG140" i="1"/>
  <c r="AH140" i="1"/>
  <c r="AI140" i="1"/>
  <c r="B141" i="1"/>
  <c r="C141" i="1"/>
  <c r="D141" i="1"/>
  <c r="F141" i="1"/>
  <c r="G141" i="1"/>
  <c r="V141" i="1"/>
  <c r="W141" i="1"/>
  <c r="AE141" i="1"/>
  <c r="AG141" i="1"/>
  <c r="AH141" i="1"/>
  <c r="AI141" i="1"/>
  <c r="B142" i="1"/>
  <c r="C142" i="1"/>
  <c r="D142" i="1"/>
  <c r="F142" i="1"/>
  <c r="G142" i="1"/>
  <c r="V142" i="1"/>
  <c r="W142" i="1"/>
  <c r="AE142" i="1"/>
  <c r="AG142" i="1"/>
  <c r="AH142" i="1"/>
  <c r="AI142" i="1"/>
  <c r="B143" i="1"/>
  <c r="C143" i="1"/>
  <c r="D143" i="1"/>
  <c r="F143" i="1"/>
  <c r="G143" i="1"/>
  <c r="V143" i="1"/>
  <c r="W143" i="1"/>
  <c r="AE143" i="1"/>
  <c r="AG143" i="1"/>
  <c r="AH143" i="1"/>
  <c r="AI143" i="1"/>
  <c r="B144" i="1"/>
  <c r="C144" i="1"/>
  <c r="D144" i="1"/>
  <c r="F144" i="1"/>
  <c r="G144" i="1"/>
  <c r="V144" i="1"/>
  <c r="W144" i="1"/>
  <c r="AE144" i="1"/>
  <c r="AG144" i="1"/>
  <c r="AH144" i="1"/>
  <c r="AI144" i="1"/>
  <c r="B145" i="1"/>
  <c r="C145" i="1"/>
  <c r="D145" i="1"/>
  <c r="F145" i="1"/>
  <c r="G145" i="1"/>
  <c r="V145" i="1"/>
  <c r="W145" i="1"/>
  <c r="AE145" i="1"/>
  <c r="AG145" i="1"/>
  <c r="AH145" i="1"/>
  <c r="AI145" i="1"/>
  <c r="B146" i="1"/>
  <c r="C146" i="1"/>
  <c r="D146" i="1"/>
  <c r="F146" i="1"/>
  <c r="G146" i="1"/>
  <c r="V146" i="1"/>
  <c r="W146" i="1"/>
  <c r="AE146" i="1"/>
  <c r="AG146" i="1"/>
  <c r="AH146" i="1"/>
  <c r="AI146" i="1"/>
  <c r="B147" i="1"/>
  <c r="C147" i="1"/>
  <c r="D147" i="1"/>
  <c r="F147" i="1"/>
  <c r="G147" i="1"/>
  <c r="V147" i="1"/>
  <c r="W147" i="1"/>
  <c r="AE147" i="1"/>
  <c r="AG147" i="1"/>
  <c r="AH147" i="1"/>
  <c r="AI147" i="1"/>
  <c r="B148" i="1"/>
  <c r="C148" i="1"/>
  <c r="D148" i="1"/>
  <c r="F148" i="1"/>
  <c r="G148" i="1"/>
  <c r="V148" i="1"/>
  <c r="W148" i="1"/>
  <c r="AE148" i="1"/>
  <c r="AG148" i="1"/>
  <c r="AH148" i="1"/>
  <c r="AI148" i="1"/>
  <c r="B149" i="1"/>
  <c r="C149" i="1"/>
  <c r="D149" i="1"/>
  <c r="F149" i="1"/>
  <c r="G149" i="1"/>
  <c r="V149" i="1"/>
  <c r="W149" i="1"/>
  <c r="AE149" i="1"/>
  <c r="AG149" i="1"/>
  <c r="AH149" i="1"/>
  <c r="AI149" i="1"/>
  <c r="B150" i="1"/>
  <c r="C150" i="1"/>
  <c r="D150" i="1"/>
  <c r="F150" i="1"/>
  <c r="G150" i="1"/>
  <c r="V150" i="1"/>
  <c r="W150" i="1"/>
  <c r="AE150" i="1"/>
  <c r="AG150" i="1"/>
  <c r="AH150" i="1"/>
  <c r="AI150" i="1"/>
  <c r="B151" i="1"/>
  <c r="C151" i="1"/>
  <c r="D151" i="1"/>
  <c r="F151" i="1"/>
  <c r="G151" i="1"/>
  <c r="V151" i="1"/>
  <c r="W151" i="1"/>
  <c r="AE151" i="1"/>
  <c r="AG151" i="1"/>
  <c r="AH151" i="1"/>
  <c r="AI151" i="1"/>
  <c r="B152" i="1"/>
  <c r="C152" i="1"/>
  <c r="D152" i="1"/>
  <c r="F152" i="1"/>
  <c r="G152" i="1"/>
  <c r="V152" i="1"/>
  <c r="W152" i="1"/>
  <c r="AE152" i="1"/>
  <c r="AG152" i="1"/>
  <c r="AH152" i="1"/>
  <c r="AI152" i="1"/>
  <c r="B153" i="1"/>
  <c r="C153" i="1"/>
  <c r="D153" i="1"/>
  <c r="F153" i="1"/>
  <c r="G153" i="1"/>
  <c r="V153" i="1"/>
  <c r="W153" i="1"/>
  <c r="AE153" i="1"/>
  <c r="AG153" i="1"/>
  <c r="AH153" i="1"/>
  <c r="AI153" i="1"/>
  <c r="B154" i="1"/>
  <c r="C154" i="1"/>
  <c r="D154" i="1"/>
  <c r="F154" i="1"/>
  <c r="G154" i="1"/>
  <c r="V154" i="1"/>
  <c r="W154" i="1"/>
  <c r="AE154" i="1"/>
  <c r="AG154" i="1"/>
  <c r="AH154" i="1"/>
  <c r="AI154" i="1"/>
  <c r="B155" i="1"/>
  <c r="C155" i="1"/>
  <c r="D155" i="1"/>
  <c r="F155" i="1"/>
  <c r="G155" i="1"/>
  <c r="V155" i="1"/>
  <c r="W155" i="1"/>
  <c r="AE155" i="1"/>
  <c r="AG155" i="1"/>
  <c r="AH155" i="1"/>
  <c r="AI155" i="1"/>
  <c r="B156" i="1"/>
  <c r="C156" i="1"/>
  <c r="D156" i="1"/>
  <c r="F156" i="1"/>
  <c r="G156" i="1"/>
  <c r="V156" i="1"/>
  <c r="W156" i="1"/>
  <c r="AE156" i="1"/>
  <c r="AG156" i="1"/>
  <c r="AH156" i="1"/>
  <c r="AI156" i="1"/>
  <c r="B157" i="1"/>
  <c r="C157" i="1"/>
  <c r="D157" i="1"/>
  <c r="F157" i="1"/>
  <c r="G157" i="1"/>
  <c r="V157" i="1"/>
  <c r="W157" i="1"/>
  <c r="AE157" i="1"/>
  <c r="AG157" i="1"/>
  <c r="AH157" i="1"/>
  <c r="AI157" i="1"/>
  <c r="B158" i="1"/>
  <c r="C158" i="1"/>
  <c r="D158" i="1"/>
  <c r="F158" i="1"/>
  <c r="G158" i="1"/>
  <c r="V158" i="1"/>
  <c r="W158" i="1"/>
  <c r="AE158" i="1"/>
  <c r="AG158" i="1"/>
  <c r="AH158" i="1"/>
  <c r="AI158" i="1"/>
  <c r="B159" i="1"/>
  <c r="C159" i="1"/>
  <c r="D159" i="1"/>
  <c r="F159" i="1"/>
  <c r="G159" i="1"/>
  <c r="V159" i="1"/>
  <c r="W159" i="1"/>
  <c r="AE159" i="1"/>
  <c r="AG159" i="1"/>
  <c r="AH159" i="1"/>
  <c r="AI159" i="1"/>
  <c r="B160" i="1"/>
  <c r="C160" i="1"/>
  <c r="D160" i="1"/>
  <c r="F160" i="1"/>
  <c r="G160" i="1"/>
  <c r="V160" i="1"/>
  <c r="W160" i="1"/>
  <c r="T27" i="1" l="1"/>
  <c r="R27" i="1"/>
  <c r="P27" i="1"/>
  <c r="N27" i="1"/>
  <c r="L27" i="1"/>
  <c r="J27" i="1"/>
  <c r="H27" i="1"/>
  <c r="F27" i="1"/>
  <c r="D27" i="1"/>
  <c r="B27" i="1"/>
  <c r="J25" i="1"/>
  <c r="H25" i="1"/>
  <c r="F25" i="1"/>
  <c r="D25" i="1"/>
  <c r="B25" i="1"/>
  <c r="G8" i="1"/>
  <c r="F8" i="1"/>
  <c r="C8" i="1"/>
  <c r="B8" i="1"/>
  <c r="T20" i="1"/>
  <c r="R20" i="1"/>
  <c r="P20" i="1"/>
  <c r="N20" i="1"/>
  <c r="L20" i="1"/>
  <c r="T13" i="1"/>
  <c r="R13" i="1"/>
  <c r="P13" i="1"/>
  <c r="N13" i="1"/>
  <c r="L13" i="1"/>
  <c r="J20" i="1"/>
  <c r="H20" i="1"/>
  <c r="F20" i="1"/>
  <c r="D20" i="1"/>
  <c r="B20" i="1"/>
  <c r="J13" i="1"/>
  <c r="H13" i="1"/>
  <c r="F13" i="1"/>
  <c r="D13" i="1"/>
  <c r="B13" i="1"/>
  <c r="J18" i="1"/>
  <c r="H18" i="1"/>
  <c r="F18" i="1"/>
  <c r="D18" i="1"/>
  <c r="B18" i="1"/>
  <c r="J11" i="1"/>
  <c r="H11" i="1"/>
  <c r="F11" i="1"/>
  <c r="D11" i="1"/>
  <c r="B11" i="1"/>
  <c r="AE323" i="1" a="1"/>
  <c r="AE323" i="1" s="1"/>
  <c r="AB38" i="1"/>
  <c r="W323" i="1" a="1"/>
  <c r="W323" i="1" s="1"/>
  <c r="H6" i="1"/>
  <c r="V323" i="1" a="1"/>
  <c r="V323" i="1" s="1"/>
  <c r="G6" i="1"/>
  <c r="H4" i="1"/>
  <c r="G4" i="1"/>
  <c r="F4" i="1"/>
  <c r="L4" i="1"/>
  <c r="K4" i="1"/>
  <c r="J4" i="1"/>
  <c r="I4" i="1"/>
  <c r="L2" i="1"/>
  <c r="K2" i="1"/>
  <c r="J2" i="1"/>
  <c r="I2" i="1"/>
  <c r="W1" i="1"/>
  <c r="C2" i="1" s="1"/>
  <c r="X1" i="1"/>
  <c r="Y1" i="1"/>
  <c r="W2" i="1"/>
  <c r="X2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W3" i="1"/>
  <c r="R2" i="1" s="1"/>
  <c r="X3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J32" i="1"/>
  <c r="H32" i="1"/>
  <c r="F32" i="1"/>
  <c r="D32" i="1"/>
  <c r="B32" i="1"/>
  <c r="J34" i="1"/>
  <c r="H34" i="1"/>
  <c r="F34" i="1"/>
  <c r="D34" i="1"/>
  <c r="B34" i="1"/>
  <c r="T34" i="1"/>
  <c r="R34" i="1"/>
  <c r="P34" i="1"/>
  <c r="N34" i="1"/>
  <c r="L34" i="1"/>
  <c r="T32" i="1"/>
  <c r="R32" i="1"/>
  <c r="P32" i="1"/>
  <c r="N32" i="1"/>
  <c r="L32" i="1"/>
  <c r="W4" i="1"/>
  <c r="S2" i="1" s="1"/>
  <c r="X4" i="1"/>
  <c r="AC173" i="1"/>
  <c r="AB174" i="1"/>
  <c r="AC174" i="1"/>
  <c r="AB175" i="1"/>
  <c r="AC175" i="1"/>
  <c r="AB176" i="1"/>
  <c r="AC176" i="1"/>
  <c r="AB177" i="1"/>
  <c r="AC177" i="1"/>
  <c r="AB178" i="1"/>
  <c r="AC178" i="1"/>
  <c r="AB179" i="1"/>
  <c r="AC179" i="1"/>
  <c r="AB180" i="1"/>
  <c r="AC180" i="1"/>
  <c r="AB181" i="1"/>
  <c r="AC181" i="1"/>
  <c r="AB182" i="1"/>
  <c r="AC182" i="1"/>
  <c r="AB183" i="1"/>
  <c r="AC183" i="1"/>
  <c r="AB184" i="1"/>
  <c r="AC184" i="1"/>
  <c r="AB185" i="1"/>
  <c r="AC185" i="1"/>
  <c r="AB186" i="1"/>
  <c r="AC186" i="1"/>
  <c r="AB187" i="1"/>
  <c r="AC187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6" i="1"/>
  <c r="AC196" i="1"/>
  <c r="AB197" i="1"/>
  <c r="AC197" i="1"/>
  <c r="AB198" i="1"/>
  <c r="AC198" i="1"/>
  <c r="AB199" i="1"/>
  <c r="AC199" i="1"/>
  <c r="AB200" i="1"/>
  <c r="AC200" i="1"/>
  <c r="AB201" i="1"/>
  <c r="AC201" i="1"/>
  <c r="AB202" i="1"/>
  <c r="AC202" i="1"/>
  <c r="AB203" i="1"/>
  <c r="AC203" i="1"/>
  <c r="AB204" i="1"/>
  <c r="AC204" i="1"/>
  <c r="AB205" i="1"/>
  <c r="AC205" i="1"/>
  <c r="AB206" i="1"/>
  <c r="AC206" i="1"/>
  <c r="AB207" i="1"/>
  <c r="AC207" i="1"/>
  <c r="AB208" i="1"/>
  <c r="AC208" i="1"/>
  <c r="AB209" i="1"/>
  <c r="AC209" i="1"/>
  <c r="AB210" i="1"/>
  <c r="AC210" i="1"/>
  <c r="AB211" i="1"/>
  <c r="AC211" i="1"/>
  <c r="AB212" i="1"/>
  <c r="AC212" i="1"/>
  <c r="AB213" i="1"/>
  <c r="AC213" i="1"/>
  <c r="AB214" i="1"/>
  <c r="AC214" i="1"/>
  <c r="AB215" i="1"/>
  <c r="AC215" i="1"/>
  <c r="AB216" i="1"/>
  <c r="AC216" i="1"/>
  <c r="AB217" i="1"/>
  <c r="AC217" i="1"/>
  <c r="AB218" i="1"/>
  <c r="AC218" i="1"/>
  <c r="AB219" i="1"/>
  <c r="AC219" i="1"/>
  <c r="AB220" i="1"/>
  <c r="AC220" i="1"/>
  <c r="AB221" i="1"/>
  <c r="AC221" i="1"/>
  <c r="AB222" i="1"/>
  <c r="AC222" i="1"/>
  <c r="AB223" i="1"/>
  <c r="AC223" i="1"/>
  <c r="AB224" i="1"/>
  <c r="AC224" i="1"/>
  <c r="AB225" i="1"/>
  <c r="AC225" i="1"/>
  <c r="AB226" i="1"/>
  <c r="AC226" i="1"/>
  <c r="AB227" i="1"/>
  <c r="AC227" i="1"/>
  <c r="AB228" i="1"/>
  <c r="AC228" i="1"/>
  <c r="AB229" i="1"/>
  <c r="AC229" i="1"/>
  <c r="AB230" i="1"/>
  <c r="AC230" i="1"/>
  <c r="AB231" i="1"/>
  <c r="AC231" i="1"/>
  <c r="AB232" i="1"/>
  <c r="AC232" i="1"/>
  <c r="AB233" i="1"/>
  <c r="AC233" i="1"/>
  <c r="AB234" i="1"/>
  <c r="AC234" i="1"/>
  <c r="AB235" i="1"/>
  <c r="AC235" i="1"/>
  <c r="AB236" i="1"/>
  <c r="AC236" i="1"/>
  <c r="AB237" i="1"/>
  <c r="AC237" i="1"/>
  <c r="AB238" i="1"/>
  <c r="AC238" i="1"/>
  <c r="AB239" i="1"/>
  <c r="AC239" i="1"/>
  <c r="AB240" i="1"/>
  <c r="AC240" i="1"/>
  <c r="AB241" i="1"/>
  <c r="AC241" i="1"/>
  <c r="AB242" i="1"/>
  <c r="AC242" i="1"/>
  <c r="AB243" i="1"/>
  <c r="AC243" i="1"/>
  <c r="AB244" i="1"/>
  <c r="AC244" i="1"/>
  <c r="AB245" i="1"/>
  <c r="AC245" i="1"/>
  <c r="AB246" i="1"/>
  <c r="AC246" i="1"/>
  <c r="AB247" i="1"/>
  <c r="AC247" i="1"/>
  <c r="AB248" i="1"/>
  <c r="AC248" i="1"/>
  <c r="AB249" i="1"/>
  <c r="AC249" i="1"/>
  <c r="AB250" i="1"/>
  <c r="AC250" i="1"/>
  <c r="AB251" i="1"/>
  <c r="AC251" i="1"/>
  <c r="AB252" i="1"/>
  <c r="AC252" i="1"/>
  <c r="AB253" i="1"/>
  <c r="AC253" i="1"/>
  <c r="AB254" i="1"/>
  <c r="AC254" i="1"/>
  <c r="AB255" i="1"/>
  <c r="AC255" i="1"/>
  <c r="AB256" i="1"/>
  <c r="AC256" i="1"/>
  <c r="AB257" i="1"/>
  <c r="AC257" i="1"/>
  <c r="AB258" i="1"/>
  <c r="AC258" i="1"/>
  <c r="AB259" i="1"/>
  <c r="AC259" i="1"/>
  <c r="AB260" i="1"/>
  <c r="AC260" i="1"/>
  <c r="AB261" i="1"/>
  <c r="AC261" i="1"/>
  <c r="AB262" i="1"/>
  <c r="AC262" i="1"/>
  <c r="AB263" i="1"/>
  <c r="AC263" i="1"/>
  <c r="AB264" i="1"/>
  <c r="AC264" i="1"/>
  <c r="AB265" i="1"/>
  <c r="AC265" i="1"/>
  <c r="AB266" i="1"/>
  <c r="AC266" i="1"/>
  <c r="AB267" i="1"/>
  <c r="AC267" i="1"/>
  <c r="AB268" i="1"/>
  <c r="AC268" i="1"/>
  <c r="AB269" i="1"/>
  <c r="AC269" i="1"/>
  <c r="AB270" i="1"/>
  <c r="AC270" i="1"/>
  <c r="AB271" i="1"/>
  <c r="AC271" i="1"/>
  <c r="AB272" i="1"/>
  <c r="AC272" i="1"/>
  <c r="AB273" i="1"/>
  <c r="AC273" i="1"/>
  <c r="AB274" i="1"/>
  <c r="AC274" i="1"/>
  <c r="AB275" i="1"/>
  <c r="AC275" i="1"/>
  <c r="AB276" i="1"/>
  <c r="AC276" i="1"/>
  <c r="AB277" i="1"/>
  <c r="AC277" i="1"/>
  <c r="AB278" i="1"/>
  <c r="AC278" i="1"/>
  <c r="AB279" i="1"/>
  <c r="AC279" i="1"/>
  <c r="AB280" i="1"/>
  <c r="AC280" i="1"/>
  <c r="AB281" i="1"/>
  <c r="AC281" i="1"/>
  <c r="AB282" i="1"/>
  <c r="AC282" i="1"/>
  <c r="AB283" i="1"/>
  <c r="AC283" i="1"/>
  <c r="AB284" i="1"/>
  <c r="AC284" i="1"/>
  <c r="AB285" i="1"/>
  <c r="AC285" i="1"/>
  <c r="AB286" i="1"/>
  <c r="AC286" i="1"/>
  <c r="AB287" i="1"/>
  <c r="AC287" i="1"/>
  <c r="AB288" i="1"/>
  <c r="AC288" i="1"/>
  <c r="AB289" i="1"/>
  <c r="AC289" i="1"/>
  <c r="AB290" i="1"/>
  <c r="AC290" i="1"/>
  <c r="AB291" i="1"/>
  <c r="AC291" i="1"/>
  <c r="AB292" i="1"/>
  <c r="AC292" i="1"/>
  <c r="AB293" i="1"/>
  <c r="AC293" i="1"/>
  <c r="AB294" i="1"/>
  <c r="AC294" i="1"/>
  <c r="AB295" i="1"/>
  <c r="AC295" i="1"/>
  <c r="AB296" i="1"/>
  <c r="AC296" i="1"/>
  <c r="AB297" i="1"/>
  <c r="AC297" i="1"/>
  <c r="AB298" i="1"/>
  <c r="AC298" i="1"/>
  <c r="AB299" i="1"/>
  <c r="AC299" i="1"/>
  <c r="AB300" i="1"/>
  <c r="AC300" i="1"/>
  <c r="AB301" i="1"/>
  <c r="AC301" i="1"/>
  <c r="AB302" i="1"/>
  <c r="AC302" i="1"/>
  <c r="AB303" i="1"/>
  <c r="AC303" i="1"/>
  <c r="AB304" i="1"/>
  <c r="AC304" i="1"/>
  <c r="AB305" i="1"/>
  <c r="AC305" i="1"/>
  <c r="AB306" i="1"/>
  <c r="AC306" i="1"/>
  <c r="AB307" i="1"/>
  <c r="AC307" i="1"/>
  <c r="AB308" i="1"/>
  <c r="AC308" i="1"/>
  <c r="AB309" i="1"/>
  <c r="AC309" i="1"/>
  <c r="AB310" i="1"/>
  <c r="AC310" i="1"/>
  <c r="AB311" i="1"/>
  <c r="AC311" i="1"/>
  <c r="AB312" i="1"/>
  <c r="AC312" i="1"/>
  <c r="AB313" i="1"/>
  <c r="AC313" i="1"/>
  <c r="AB314" i="1"/>
  <c r="AC314" i="1"/>
  <c r="AB315" i="1"/>
  <c r="AC315" i="1"/>
  <c r="AB316" i="1"/>
  <c r="AC316" i="1"/>
  <c r="AB317" i="1"/>
  <c r="AC317" i="1"/>
  <c r="AB318" i="1"/>
  <c r="AC318" i="1"/>
  <c r="AB319" i="1"/>
  <c r="AC319" i="1"/>
  <c r="AB320" i="1"/>
  <c r="AC320" i="1"/>
  <c r="AB321" i="1"/>
  <c r="AC321" i="1"/>
  <c r="B4" i="1"/>
  <c r="I6" i="1"/>
  <c r="J6" i="1"/>
  <c r="K6" i="1"/>
  <c r="L11" i="1"/>
  <c r="N11" i="1"/>
  <c r="P11" i="1"/>
  <c r="R11" i="1"/>
  <c r="T11" i="1"/>
  <c r="L25" i="1"/>
  <c r="N25" i="1"/>
  <c r="P25" i="1"/>
  <c r="R25" i="1"/>
  <c r="AB322" i="1"/>
  <c r="AC322" i="1"/>
  <c r="U322" i="1" l="1"/>
  <c r="AA322" i="1"/>
  <c r="Z322" i="1"/>
  <c r="B2" i="1"/>
  <c r="U6" i="1"/>
  <c r="V6" i="1" s="1"/>
  <c r="U321" i="1"/>
  <c r="AA321" i="1"/>
  <c r="Z321" i="1"/>
  <c r="U320" i="1"/>
  <c r="AA320" i="1"/>
  <c r="Z320" i="1"/>
  <c r="U319" i="1"/>
  <c r="AA319" i="1"/>
  <c r="Z319" i="1"/>
  <c r="U318" i="1"/>
  <c r="AA318" i="1"/>
  <c r="Z318" i="1"/>
  <c r="U317" i="1"/>
  <c r="AA317" i="1"/>
  <c r="Z317" i="1"/>
  <c r="U316" i="1"/>
  <c r="AA316" i="1"/>
  <c r="Z316" i="1"/>
  <c r="U315" i="1"/>
  <c r="AA315" i="1"/>
  <c r="Z315" i="1"/>
  <c r="U314" i="1"/>
  <c r="AA314" i="1"/>
  <c r="Z314" i="1"/>
  <c r="U313" i="1"/>
  <c r="AA313" i="1"/>
  <c r="Z313" i="1"/>
  <c r="U312" i="1"/>
  <c r="AA312" i="1"/>
  <c r="Z312" i="1"/>
  <c r="U311" i="1"/>
  <c r="AA311" i="1"/>
  <c r="Z311" i="1"/>
  <c r="U310" i="1"/>
  <c r="AA310" i="1"/>
  <c r="Z310" i="1"/>
  <c r="U309" i="1"/>
  <c r="AA309" i="1"/>
  <c r="Z309" i="1"/>
  <c r="U308" i="1"/>
  <c r="AA308" i="1"/>
  <c r="Z308" i="1"/>
  <c r="U307" i="1"/>
  <c r="AA307" i="1"/>
  <c r="Z307" i="1"/>
  <c r="U306" i="1"/>
  <c r="AA306" i="1"/>
  <c r="Z306" i="1"/>
  <c r="U305" i="1"/>
  <c r="AA305" i="1"/>
  <c r="Z305" i="1"/>
  <c r="U304" i="1"/>
  <c r="AA304" i="1"/>
  <c r="Z304" i="1"/>
  <c r="U303" i="1"/>
  <c r="AA303" i="1"/>
  <c r="Z303" i="1"/>
  <c r="U302" i="1"/>
  <c r="AA302" i="1"/>
  <c r="Z302" i="1"/>
  <c r="U301" i="1"/>
  <c r="AA301" i="1"/>
  <c r="Z301" i="1"/>
  <c r="U300" i="1"/>
  <c r="AA300" i="1"/>
  <c r="Z300" i="1"/>
  <c r="U299" i="1"/>
  <c r="AA299" i="1"/>
  <c r="Z299" i="1"/>
  <c r="U298" i="1"/>
  <c r="AA298" i="1"/>
  <c r="Z298" i="1"/>
  <c r="U297" i="1"/>
  <c r="AA297" i="1"/>
  <c r="Z297" i="1"/>
  <c r="U296" i="1"/>
  <c r="AA296" i="1"/>
  <c r="Z296" i="1"/>
  <c r="U295" i="1"/>
  <c r="AA295" i="1"/>
  <c r="Z295" i="1"/>
  <c r="U294" i="1"/>
  <c r="AA294" i="1"/>
  <c r="Z294" i="1"/>
  <c r="U293" i="1"/>
  <c r="Z293" i="1"/>
  <c r="AA293" i="1"/>
  <c r="U292" i="1"/>
  <c r="AA292" i="1"/>
  <c r="Z292" i="1"/>
  <c r="U291" i="1"/>
  <c r="AA291" i="1"/>
  <c r="Z291" i="1"/>
  <c r="U290" i="1"/>
  <c r="AA290" i="1"/>
  <c r="Z290" i="1"/>
  <c r="U289" i="1"/>
  <c r="AA289" i="1"/>
  <c r="Z289" i="1"/>
  <c r="U288" i="1"/>
  <c r="AA288" i="1"/>
  <c r="Z288" i="1"/>
  <c r="U287" i="1"/>
  <c r="AA287" i="1"/>
  <c r="Z287" i="1"/>
  <c r="U286" i="1"/>
  <c r="AA286" i="1"/>
  <c r="Z286" i="1"/>
  <c r="U285" i="1"/>
  <c r="AA285" i="1"/>
  <c r="Z285" i="1"/>
  <c r="U284" i="1"/>
  <c r="AA284" i="1"/>
  <c r="Z284" i="1"/>
  <c r="U283" i="1"/>
  <c r="AA283" i="1"/>
  <c r="Z283" i="1"/>
  <c r="U282" i="1"/>
  <c r="AA282" i="1"/>
  <c r="Z282" i="1"/>
  <c r="U281" i="1"/>
  <c r="AA281" i="1"/>
  <c r="Z281" i="1"/>
  <c r="U280" i="1"/>
  <c r="AA280" i="1"/>
  <c r="Z280" i="1"/>
  <c r="U279" i="1"/>
  <c r="AA279" i="1"/>
  <c r="Z279" i="1"/>
  <c r="U278" i="1"/>
  <c r="AA278" i="1"/>
  <c r="Z278" i="1"/>
  <c r="U277" i="1"/>
  <c r="AA277" i="1"/>
  <c r="Z277" i="1"/>
  <c r="U276" i="1"/>
  <c r="AA276" i="1"/>
  <c r="Z276" i="1"/>
  <c r="U275" i="1"/>
  <c r="AA275" i="1"/>
  <c r="Z275" i="1"/>
  <c r="U274" i="1"/>
  <c r="AA274" i="1"/>
  <c r="Z274" i="1"/>
  <c r="U273" i="1"/>
  <c r="AA273" i="1"/>
  <c r="Z273" i="1"/>
  <c r="U272" i="1"/>
  <c r="AA272" i="1"/>
  <c r="Z272" i="1"/>
  <c r="U271" i="1"/>
  <c r="AA271" i="1"/>
  <c r="Z271" i="1"/>
  <c r="U270" i="1"/>
  <c r="AA270" i="1"/>
  <c r="Z270" i="1"/>
  <c r="U269" i="1"/>
  <c r="AA269" i="1"/>
  <c r="Z269" i="1"/>
  <c r="U268" i="1"/>
  <c r="AA268" i="1"/>
  <c r="Z268" i="1"/>
  <c r="U267" i="1"/>
  <c r="AA267" i="1"/>
  <c r="Z267" i="1"/>
  <c r="U266" i="1"/>
  <c r="AA266" i="1"/>
  <c r="Z266" i="1"/>
  <c r="U265" i="1"/>
  <c r="AA265" i="1"/>
  <c r="Z265" i="1"/>
  <c r="U264" i="1"/>
  <c r="AA264" i="1"/>
  <c r="Z264" i="1"/>
  <c r="U263" i="1"/>
  <c r="AA263" i="1"/>
  <c r="Z263" i="1"/>
  <c r="U262" i="1"/>
  <c r="AA262" i="1"/>
  <c r="Z262" i="1"/>
  <c r="U261" i="1"/>
  <c r="AA261" i="1"/>
  <c r="Z261" i="1"/>
  <c r="U260" i="1"/>
  <c r="AA260" i="1"/>
  <c r="Z260" i="1"/>
  <c r="U259" i="1"/>
  <c r="AA259" i="1"/>
  <c r="Z259" i="1"/>
  <c r="U258" i="1"/>
  <c r="AA258" i="1"/>
  <c r="Z258" i="1"/>
  <c r="U257" i="1"/>
  <c r="AA257" i="1"/>
  <c r="Z257" i="1"/>
  <c r="U256" i="1"/>
  <c r="AA256" i="1"/>
  <c r="Z256" i="1"/>
  <c r="U255" i="1"/>
  <c r="AA255" i="1"/>
  <c r="Z255" i="1"/>
  <c r="U254" i="1"/>
  <c r="AA254" i="1"/>
  <c r="Z254" i="1"/>
  <c r="U253" i="1"/>
  <c r="AA253" i="1"/>
  <c r="Z253" i="1"/>
  <c r="U252" i="1"/>
  <c r="AA252" i="1"/>
  <c r="Z252" i="1"/>
  <c r="U251" i="1"/>
  <c r="AA251" i="1"/>
  <c r="Z251" i="1"/>
  <c r="U250" i="1"/>
  <c r="AA250" i="1"/>
  <c r="Z250" i="1"/>
  <c r="U249" i="1"/>
  <c r="AA249" i="1"/>
  <c r="Z249" i="1"/>
  <c r="U248" i="1"/>
  <c r="AA248" i="1"/>
  <c r="Z248" i="1"/>
  <c r="U247" i="1"/>
  <c r="AA247" i="1"/>
  <c r="Z247" i="1"/>
  <c r="U246" i="1"/>
  <c r="AA246" i="1"/>
  <c r="Z246" i="1"/>
  <c r="U245" i="1"/>
  <c r="AA245" i="1"/>
  <c r="Z245" i="1"/>
  <c r="U244" i="1"/>
  <c r="AA244" i="1"/>
  <c r="Z244" i="1"/>
  <c r="U243" i="1"/>
  <c r="AA243" i="1"/>
  <c r="Z243" i="1"/>
  <c r="U242" i="1"/>
  <c r="AA242" i="1"/>
  <c r="Z242" i="1"/>
  <c r="U241" i="1"/>
  <c r="AA241" i="1"/>
  <c r="Z241" i="1"/>
  <c r="U240" i="1"/>
  <c r="AA240" i="1"/>
  <c r="Z240" i="1"/>
  <c r="U239" i="1"/>
  <c r="AA239" i="1"/>
  <c r="Z239" i="1"/>
  <c r="U238" i="1"/>
  <c r="AA238" i="1"/>
  <c r="Z238" i="1"/>
  <c r="U237" i="1"/>
  <c r="AA237" i="1"/>
  <c r="Z237" i="1"/>
  <c r="U236" i="1"/>
  <c r="AA236" i="1"/>
  <c r="Z236" i="1"/>
  <c r="U235" i="1"/>
  <c r="AA235" i="1"/>
  <c r="Z235" i="1"/>
  <c r="U234" i="1"/>
  <c r="AA234" i="1"/>
  <c r="Z234" i="1"/>
  <c r="U233" i="1"/>
  <c r="AA233" i="1"/>
  <c r="Z233" i="1"/>
  <c r="U232" i="1"/>
  <c r="AA232" i="1"/>
  <c r="Z232" i="1"/>
  <c r="U231" i="1"/>
  <c r="AA231" i="1"/>
  <c r="Z231" i="1"/>
  <c r="U230" i="1"/>
  <c r="AA230" i="1"/>
  <c r="Z230" i="1"/>
  <c r="U229" i="1"/>
  <c r="AA229" i="1"/>
  <c r="Z229" i="1"/>
  <c r="U228" i="1"/>
  <c r="AA228" i="1"/>
  <c r="Z228" i="1"/>
  <c r="U227" i="1"/>
  <c r="AA227" i="1"/>
  <c r="Z227" i="1"/>
  <c r="U226" i="1"/>
  <c r="AA226" i="1"/>
  <c r="Z226" i="1"/>
  <c r="U225" i="1"/>
  <c r="AA225" i="1"/>
  <c r="Z225" i="1"/>
  <c r="U224" i="1"/>
  <c r="AA224" i="1"/>
  <c r="Z224" i="1"/>
  <c r="U223" i="1"/>
  <c r="AA223" i="1"/>
  <c r="Z223" i="1"/>
  <c r="U222" i="1"/>
  <c r="AA222" i="1"/>
  <c r="Z222" i="1"/>
  <c r="U221" i="1"/>
  <c r="AA221" i="1"/>
  <c r="Z221" i="1"/>
  <c r="U220" i="1"/>
  <c r="AA220" i="1"/>
  <c r="Z220" i="1"/>
  <c r="U219" i="1"/>
  <c r="AA219" i="1"/>
  <c r="Z219" i="1"/>
  <c r="U218" i="1"/>
  <c r="AA218" i="1"/>
  <c r="Z218" i="1"/>
  <c r="U217" i="1"/>
  <c r="AA217" i="1"/>
  <c r="Z217" i="1"/>
  <c r="U216" i="1"/>
  <c r="AA216" i="1"/>
  <c r="Z216" i="1"/>
  <c r="U215" i="1"/>
  <c r="AA215" i="1"/>
  <c r="Z215" i="1"/>
  <c r="U214" i="1"/>
  <c r="AA214" i="1"/>
  <c r="Z214" i="1"/>
  <c r="U213" i="1"/>
  <c r="AA213" i="1"/>
  <c r="Z213" i="1"/>
  <c r="U212" i="1"/>
  <c r="AA212" i="1"/>
  <c r="Z212" i="1"/>
  <c r="U211" i="1"/>
  <c r="AA211" i="1"/>
  <c r="Z211" i="1"/>
  <c r="U210" i="1"/>
  <c r="AA210" i="1"/>
  <c r="Z210" i="1"/>
  <c r="U209" i="1"/>
  <c r="AA209" i="1"/>
  <c r="Z209" i="1"/>
  <c r="U208" i="1"/>
  <c r="AA208" i="1"/>
  <c r="Z208" i="1"/>
  <c r="U207" i="1"/>
  <c r="AA207" i="1"/>
  <c r="Z207" i="1"/>
  <c r="U206" i="1"/>
  <c r="AA206" i="1"/>
  <c r="Z206" i="1"/>
  <c r="U205" i="1"/>
  <c r="AA205" i="1"/>
  <c r="Z205" i="1"/>
  <c r="U204" i="1"/>
  <c r="AA204" i="1"/>
  <c r="Z204" i="1"/>
  <c r="U203" i="1"/>
  <c r="AA203" i="1"/>
  <c r="Z203" i="1"/>
  <c r="U202" i="1"/>
  <c r="AA202" i="1"/>
  <c r="Z202" i="1"/>
  <c r="U201" i="1"/>
  <c r="AA201" i="1"/>
  <c r="Z201" i="1"/>
  <c r="U200" i="1"/>
  <c r="AA200" i="1"/>
  <c r="Z200" i="1"/>
  <c r="U199" i="1"/>
  <c r="AA199" i="1"/>
  <c r="Z199" i="1"/>
  <c r="U198" i="1"/>
  <c r="AA198" i="1"/>
  <c r="Z198" i="1"/>
  <c r="U197" i="1"/>
  <c r="AA197" i="1"/>
  <c r="Z197" i="1"/>
  <c r="U196" i="1"/>
  <c r="AA196" i="1"/>
  <c r="Z196" i="1"/>
  <c r="U195" i="1"/>
  <c r="AA195" i="1"/>
  <c r="Z195" i="1"/>
  <c r="U194" i="1"/>
  <c r="AA194" i="1"/>
  <c r="Z194" i="1"/>
  <c r="U193" i="1"/>
  <c r="AA193" i="1"/>
  <c r="Z193" i="1"/>
  <c r="U192" i="1"/>
  <c r="AA192" i="1"/>
  <c r="Z192" i="1"/>
  <c r="U191" i="1"/>
  <c r="AA191" i="1"/>
  <c r="Z191" i="1"/>
  <c r="U190" i="1"/>
  <c r="AA190" i="1"/>
  <c r="Z190" i="1"/>
  <c r="U189" i="1"/>
  <c r="AA189" i="1"/>
  <c r="Z189" i="1"/>
  <c r="U188" i="1"/>
  <c r="AA188" i="1"/>
  <c r="Z188" i="1"/>
  <c r="U187" i="1"/>
  <c r="AA187" i="1"/>
  <c r="Z187" i="1"/>
  <c r="U186" i="1"/>
  <c r="AA186" i="1"/>
  <c r="Z186" i="1"/>
  <c r="U185" i="1"/>
  <c r="AA185" i="1"/>
  <c r="Z185" i="1"/>
  <c r="U184" i="1"/>
  <c r="AA184" i="1"/>
  <c r="Z184" i="1"/>
  <c r="U183" i="1"/>
  <c r="AA183" i="1"/>
  <c r="Z183" i="1"/>
  <c r="U182" i="1"/>
  <c r="AA182" i="1"/>
  <c r="Z182" i="1"/>
  <c r="U181" i="1"/>
  <c r="AA181" i="1"/>
  <c r="Z181" i="1"/>
  <c r="U180" i="1"/>
  <c r="AA180" i="1"/>
  <c r="Z180" i="1"/>
  <c r="U179" i="1"/>
  <c r="AA179" i="1"/>
  <c r="Z179" i="1"/>
  <c r="U178" i="1"/>
  <c r="AA178" i="1"/>
  <c r="Z178" i="1"/>
  <c r="U177" i="1"/>
  <c r="AA177" i="1"/>
  <c r="Z177" i="1"/>
  <c r="U176" i="1"/>
  <c r="AA176" i="1"/>
  <c r="Z176" i="1"/>
  <c r="U175" i="1"/>
  <c r="AA175" i="1"/>
  <c r="Z175" i="1"/>
  <c r="U174" i="1"/>
  <c r="AA174" i="1"/>
  <c r="Z174" i="1"/>
  <c r="U173" i="1"/>
  <c r="AA173" i="1"/>
  <c r="Z173" i="1"/>
  <c r="S4" i="1" a="1"/>
  <c r="S4" i="1" s="1"/>
  <c r="S6" i="1" s="1"/>
  <c r="U172" i="1"/>
  <c r="AA172" i="1"/>
  <c r="Z172" i="1"/>
  <c r="U171" i="1"/>
  <c r="AA171" i="1"/>
  <c r="Z171" i="1"/>
  <c r="U170" i="1"/>
  <c r="AA170" i="1"/>
  <c r="Z170" i="1"/>
  <c r="U169" i="1"/>
  <c r="AA169" i="1"/>
  <c r="Z169" i="1"/>
  <c r="U168" i="1"/>
  <c r="AA168" i="1"/>
  <c r="Z168" i="1"/>
  <c r="U167" i="1"/>
  <c r="AA167" i="1"/>
  <c r="Z167" i="1"/>
  <c r="U166" i="1"/>
  <c r="AA166" i="1"/>
  <c r="Z166" i="1"/>
  <c r="U165" i="1"/>
  <c r="Q25" i="1" s="1"/>
  <c r="AA165" i="1"/>
  <c r="Z165" i="1"/>
  <c r="U164" i="1"/>
  <c r="AA164" i="1"/>
  <c r="Z164" i="1"/>
  <c r="U163" i="1"/>
  <c r="AA163" i="1"/>
  <c r="Z163" i="1"/>
  <c r="U162" i="1"/>
  <c r="AA162" i="1"/>
  <c r="Z162" i="1"/>
  <c r="U161" i="1"/>
  <c r="AA161" i="1"/>
  <c r="Z161" i="1"/>
  <c r="U160" i="1"/>
  <c r="AA160" i="1"/>
  <c r="Z160" i="1"/>
  <c r="Q2" i="1"/>
  <c r="W5" i="1"/>
  <c r="F6" i="1"/>
  <c r="U38" i="1"/>
  <c r="AA38" i="1"/>
  <c r="Z38" i="1"/>
  <c r="C4" i="1"/>
  <c r="C6" i="1" s="1"/>
  <c r="Q4" i="1" a="1"/>
  <c r="Q4" i="1" s="1"/>
  <c r="Q6" i="1" s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R4" i="1" a="1"/>
  <c r="R4" i="1" s="1"/>
  <c r="R6" i="1" s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G34" i="1" l="1"/>
  <c r="S25" i="1"/>
  <c r="E34" i="1"/>
  <c r="I34" i="1"/>
  <c r="G32" i="1"/>
  <c r="C34" i="1"/>
  <c r="O27" i="1"/>
  <c r="E32" i="1"/>
  <c r="Q34" i="1"/>
  <c r="Q32" i="1"/>
  <c r="M34" i="1"/>
  <c r="K32" i="1"/>
  <c r="C32" i="1"/>
  <c r="Q27" i="1"/>
  <c r="O34" i="1"/>
  <c r="I27" i="1"/>
  <c r="K34" i="1"/>
  <c r="M32" i="1"/>
  <c r="A34" i="1"/>
  <c r="O32" i="1"/>
  <c r="S32" i="1"/>
  <c r="A32" i="1"/>
  <c r="I32" i="1"/>
  <c r="T6" i="1"/>
  <c r="U159" i="1"/>
  <c r="AA159" i="1"/>
  <c r="Z159" i="1"/>
  <c r="U158" i="1"/>
  <c r="AA158" i="1"/>
  <c r="Z158" i="1"/>
  <c r="U157" i="1"/>
  <c r="AA157" i="1"/>
  <c r="Z157" i="1"/>
  <c r="U156" i="1"/>
  <c r="AA156" i="1"/>
  <c r="Z156" i="1"/>
  <c r="U155" i="1"/>
  <c r="AA155" i="1"/>
  <c r="Z155" i="1"/>
  <c r="U154" i="1"/>
  <c r="AA154" i="1"/>
  <c r="Z154" i="1"/>
  <c r="U153" i="1"/>
  <c r="AA153" i="1"/>
  <c r="Z153" i="1"/>
  <c r="U152" i="1"/>
  <c r="AA152" i="1"/>
  <c r="Z152" i="1"/>
  <c r="U151" i="1"/>
  <c r="AA151" i="1"/>
  <c r="Z151" i="1"/>
  <c r="U150" i="1"/>
  <c r="AA150" i="1"/>
  <c r="Z150" i="1"/>
  <c r="U149" i="1"/>
  <c r="AA149" i="1"/>
  <c r="Z149" i="1"/>
  <c r="U148" i="1"/>
  <c r="AA148" i="1"/>
  <c r="Z148" i="1"/>
  <c r="U147" i="1"/>
  <c r="AA147" i="1"/>
  <c r="Z147" i="1"/>
  <c r="U146" i="1"/>
  <c r="AA146" i="1"/>
  <c r="Z146" i="1"/>
  <c r="U145" i="1"/>
  <c r="AA145" i="1"/>
  <c r="Z145" i="1"/>
  <c r="U144" i="1"/>
  <c r="AA144" i="1"/>
  <c r="Z144" i="1"/>
  <c r="U143" i="1"/>
  <c r="AA143" i="1"/>
  <c r="Z143" i="1"/>
  <c r="U142" i="1"/>
  <c r="AA142" i="1"/>
  <c r="Z142" i="1"/>
  <c r="U141" i="1"/>
  <c r="AA141" i="1"/>
  <c r="Z141" i="1"/>
  <c r="U140" i="1"/>
  <c r="G25" i="1" s="1"/>
  <c r="AA140" i="1"/>
  <c r="Z140" i="1"/>
  <c r="U139" i="1"/>
  <c r="AA139" i="1"/>
  <c r="Z139" i="1"/>
  <c r="U138" i="1"/>
  <c r="AA138" i="1"/>
  <c r="Z138" i="1"/>
  <c r="U137" i="1"/>
  <c r="AA137" i="1"/>
  <c r="Z137" i="1"/>
  <c r="U136" i="1"/>
  <c r="AA136" i="1"/>
  <c r="Z136" i="1"/>
  <c r="U135" i="1"/>
  <c r="AA135" i="1"/>
  <c r="Z135" i="1"/>
  <c r="U134" i="1"/>
  <c r="AA134" i="1"/>
  <c r="Z134" i="1"/>
  <c r="U133" i="1"/>
  <c r="AA133" i="1"/>
  <c r="Z133" i="1"/>
  <c r="U132" i="1"/>
  <c r="AA132" i="1"/>
  <c r="Z132" i="1"/>
  <c r="U131" i="1"/>
  <c r="AA131" i="1"/>
  <c r="Z131" i="1"/>
  <c r="U130" i="1"/>
  <c r="AA130" i="1"/>
  <c r="Z130" i="1"/>
  <c r="U129" i="1"/>
  <c r="AA129" i="1"/>
  <c r="Z129" i="1"/>
  <c r="U128" i="1"/>
  <c r="AA128" i="1"/>
  <c r="Z128" i="1"/>
  <c r="U127" i="1"/>
  <c r="AA127" i="1"/>
  <c r="Z127" i="1"/>
  <c r="U126" i="1"/>
  <c r="AA126" i="1"/>
  <c r="Z126" i="1"/>
  <c r="U125" i="1"/>
  <c r="AA125" i="1"/>
  <c r="Z125" i="1"/>
  <c r="U124" i="1"/>
  <c r="AA124" i="1"/>
  <c r="Z124" i="1"/>
  <c r="U123" i="1"/>
  <c r="AA123" i="1"/>
  <c r="Z123" i="1"/>
  <c r="U122" i="1"/>
  <c r="AA122" i="1"/>
  <c r="Z122" i="1"/>
  <c r="U121" i="1"/>
  <c r="AA121" i="1"/>
  <c r="Z121" i="1"/>
  <c r="U120" i="1"/>
  <c r="AA120" i="1"/>
  <c r="Z120" i="1"/>
  <c r="U119" i="1"/>
  <c r="AA119" i="1"/>
  <c r="Z119" i="1"/>
  <c r="U118" i="1"/>
  <c r="AA118" i="1"/>
  <c r="Z118" i="1"/>
  <c r="U117" i="1"/>
  <c r="AA117" i="1"/>
  <c r="Z117" i="1"/>
  <c r="U116" i="1"/>
  <c r="AA116" i="1"/>
  <c r="Z116" i="1"/>
  <c r="U115" i="1"/>
  <c r="AA115" i="1"/>
  <c r="Z115" i="1"/>
  <c r="U114" i="1"/>
  <c r="AA114" i="1"/>
  <c r="Z114" i="1"/>
  <c r="U113" i="1"/>
  <c r="AA113" i="1"/>
  <c r="Z113" i="1"/>
  <c r="U112" i="1"/>
  <c r="AA112" i="1"/>
  <c r="Z112" i="1"/>
  <c r="U111" i="1"/>
  <c r="AA111" i="1"/>
  <c r="Z111" i="1"/>
  <c r="U110" i="1"/>
  <c r="AA110" i="1"/>
  <c r="Z110" i="1"/>
  <c r="U109" i="1"/>
  <c r="AA109" i="1"/>
  <c r="Z109" i="1"/>
  <c r="U108" i="1"/>
  <c r="AA108" i="1"/>
  <c r="Z108" i="1"/>
  <c r="U107" i="1"/>
  <c r="AA107" i="1"/>
  <c r="Z107" i="1"/>
  <c r="U106" i="1"/>
  <c r="AA106" i="1"/>
  <c r="Z106" i="1"/>
  <c r="U105" i="1"/>
  <c r="AA105" i="1"/>
  <c r="Z105" i="1"/>
  <c r="U104" i="1"/>
  <c r="AA104" i="1"/>
  <c r="Z104" i="1"/>
  <c r="U103" i="1"/>
  <c r="AA103" i="1"/>
  <c r="Z103" i="1"/>
  <c r="U102" i="1"/>
  <c r="AA102" i="1"/>
  <c r="Z102" i="1"/>
  <c r="U101" i="1"/>
  <c r="AA101" i="1"/>
  <c r="Z101" i="1"/>
  <c r="U100" i="1"/>
  <c r="AA100" i="1"/>
  <c r="Z100" i="1"/>
  <c r="U99" i="1"/>
  <c r="AA99" i="1"/>
  <c r="Z99" i="1"/>
  <c r="U98" i="1"/>
  <c r="AA98" i="1"/>
  <c r="Z98" i="1"/>
  <c r="U97" i="1"/>
  <c r="AA97" i="1"/>
  <c r="Z97" i="1"/>
  <c r="U96" i="1"/>
  <c r="AA96" i="1"/>
  <c r="Z96" i="1"/>
  <c r="U95" i="1"/>
  <c r="AA95" i="1"/>
  <c r="Z95" i="1"/>
  <c r="U94" i="1"/>
  <c r="AA94" i="1"/>
  <c r="Z94" i="1"/>
  <c r="U93" i="1"/>
  <c r="AA93" i="1"/>
  <c r="Z93" i="1"/>
  <c r="U92" i="1"/>
  <c r="AA92" i="1"/>
  <c r="Z92" i="1"/>
  <c r="U91" i="1"/>
  <c r="AA91" i="1"/>
  <c r="Z91" i="1"/>
  <c r="U90" i="1"/>
  <c r="AA90" i="1"/>
  <c r="Z90" i="1"/>
  <c r="U89" i="1"/>
  <c r="AA89" i="1"/>
  <c r="Z89" i="1"/>
  <c r="U88" i="1"/>
  <c r="AA88" i="1"/>
  <c r="Z88" i="1"/>
  <c r="U87" i="1"/>
  <c r="AA87" i="1"/>
  <c r="Z87" i="1"/>
  <c r="U86" i="1"/>
  <c r="AA86" i="1"/>
  <c r="Z86" i="1"/>
  <c r="U85" i="1"/>
  <c r="AA85" i="1"/>
  <c r="Z85" i="1"/>
  <c r="U84" i="1"/>
  <c r="AA84" i="1"/>
  <c r="Z84" i="1"/>
  <c r="U83" i="1"/>
  <c r="AA83" i="1"/>
  <c r="Z83" i="1"/>
  <c r="U82" i="1"/>
  <c r="AA82" i="1"/>
  <c r="Z82" i="1"/>
  <c r="U81" i="1"/>
  <c r="AA81" i="1"/>
  <c r="Z81" i="1"/>
  <c r="U80" i="1"/>
  <c r="AA80" i="1"/>
  <c r="Z80" i="1"/>
  <c r="U79" i="1"/>
  <c r="AA79" i="1"/>
  <c r="Z79" i="1"/>
  <c r="U78" i="1"/>
  <c r="AA78" i="1"/>
  <c r="Z78" i="1"/>
  <c r="U77" i="1"/>
  <c r="AA77" i="1"/>
  <c r="Z77" i="1"/>
  <c r="U76" i="1"/>
  <c r="AA76" i="1"/>
  <c r="Z76" i="1"/>
  <c r="U75" i="1"/>
  <c r="AA75" i="1"/>
  <c r="Z75" i="1"/>
  <c r="U74" i="1"/>
  <c r="AA74" i="1"/>
  <c r="Z74" i="1"/>
  <c r="U73" i="1"/>
  <c r="AA73" i="1"/>
  <c r="Z73" i="1"/>
  <c r="U72" i="1"/>
  <c r="AA72" i="1"/>
  <c r="Z72" i="1"/>
  <c r="U71" i="1"/>
  <c r="AA71" i="1"/>
  <c r="Z71" i="1"/>
  <c r="U70" i="1"/>
  <c r="AA70" i="1"/>
  <c r="Z70" i="1"/>
  <c r="U69" i="1"/>
  <c r="AA69" i="1"/>
  <c r="Z69" i="1"/>
  <c r="U68" i="1"/>
  <c r="AA68" i="1"/>
  <c r="Z68" i="1"/>
  <c r="U67" i="1"/>
  <c r="AA67" i="1"/>
  <c r="Z67" i="1"/>
  <c r="U66" i="1"/>
  <c r="AA66" i="1"/>
  <c r="Z66" i="1"/>
  <c r="U65" i="1"/>
  <c r="AA65" i="1"/>
  <c r="Z65" i="1"/>
  <c r="U64" i="1"/>
  <c r="AA64" i="1"/>
  <c r="Z64" i="1"/>
  <c r="U63" i="1"/>
  <c r="AA63" i="1"/>
  <c r="Z63" i="1"/>
  <c r="U62" i="1"/>
  <c r="AA62" i="1"/>
  <c r="Z62" i="1"/>
  <c r="U61" i="1"/>
  <c r="AA61" i="1"/>
  <c r="Z61" i="1"/>
  <c r="U60" i="1"/>
  <c r="AA60" i="1"/>
  <c r="Z60" i="1"/>
  <c r="U59" i="1"/>
  <c r="AA59" i="1"/>
  <c r="Z59" i="1"/>
  <c r="U58" i="1"/>
  <c r="AA58" i="1"/>
  <c r="Z58" i="1"/>
  <c r="U57" i="1"/>
  <c r="AA57" i="1"/>
  <c r="Z57" i="1"/>
  <c r="U56" i="1"/>
  <c r="AA56" i="1"/>
  <c r="Z56" i="1"/>
  <c r="U55" i="1"/>
  <c r="AA55" i="1"/>
  <c r="Z55" i="1"/>
  <c r="U54" i="1"/>
  <c r="AA54" i="1"/>
  <c r="Z54" i="1"/>
  <c r="U53" i="1"/>
  <c r="AA53" i="1"/>
  <c r="Z53" i="1"/>
  <c r="U52" i="1"/>
  <c r="AA52" i="1"/>
  <c r="Z52" i="1"/>
  <c r="U51" i="1"/>
  <c r="AA51" i="1"/>
  <c r="Z51" i="1"/>
  <c r="U50" i="1"/>
  <c r="AA50" i="1"/>
  <c r="Z50" i="1"/>
  <c r="U49" i="1"/>
  <c r="AA49" i="1"/>
  <c r="Z49" i="1"/>
  <c r="U48" i="1"/>
  <c r="AA48" i="1"/>
  <c r="Z48" i="1"/>
  <c r="U47" i="1"/>
  <c r="AA47" i="1"/>
  <c r="Z47" i="1"/>
  <c r="U46" i="1"/>
  <c r="AA46" i="1"/>
  <c r="Z46" i="1"/>
  <c r="U45" i="1"/>
  <c r="AA45" i="1"/>
  <c r="Z45" i="1"/>
  <c r="U44" i="1"/>
  <c r="AA44" i="1"/>
  <c r="Z44" i="1"/>
  <c r="U43" i="1"/>
  <c r="AA43" i="1"/>
  <c r="Z43" i="1"/>
  <c r="U42" i="1"/>
  <c r="AA42" i="1"/>
  <c r="Z42" i="1"/>
  <c r="U41" i="1"/>
  <c r="AA41" i="1"/>
  <c r="Z41" i="1"/>
  <c r="U40" i="1"/>
  <c r="AA40" i="1"/>
  <c r="Z40" i="1"/>
  <c r="U39" i="1"/>
  <c r="AA39" i="1"/>
  <c r="Z39" i="1"/>
  <c r="B6" i="1" a="1"/>
  <c r="B6" i="1" s="1"/>
  <c r="I9" i="1" a="1"/>
  <c r="I9" i="1" s="1"/>
  <c r="T22" i="1" a="1"/>
  <c r="T22" i="1" s="1"/>
  <c r="S22" i="1" a="1"/>
  <c r="S22" i="1" s="1"/>
  <c r="R22" i="1" a="1"/>
  <c r="R22" i="1" s="1"/>
  <c r="Q22" i="1" a="1"/>
  <c r="Q22" i="1" s="1"/>
  <c r="P22" i="1" a="1"/>
  <c r="P22" i="1" s="1"/>
  <c r="O22" i="1" a="1"/>
  <c r="O22" i="1" s="1"/>
  <c r="N22" i="1" a="1"/>
  <c r="N22" i="1" s="1"/>
  <c r="M22" i="1" a="1"/>
  <c r="M22" i="1" s="1"/>
  <c r="L22" i="1" a="1"/>
  <c r="L22" i="1" s="1"/>
  <c r="K22" i="1" a="1"/>
  <c r="K22" i="1" s="1"/>
  <c r="J22" i="1" a="1"/>
  <c r="J22" i="1" s="1"/>
  <c r="I22" i="1" a="1"/>
  <c r="I22" i="1" s="1"/>
  <c r="H22" i="1" a="1"/>
  <c r="H22" i="1" s="1"/>
  <c r="G22" i="1" a="1"/>
  <c r="G22" i="1" s="1"/>
  <c r="F22" i="1" a="1"/>
  <c r="F22" i="1" s="1"/>
  <c r="E22" i="1" a="1"/>
  <c r="E22" i="1" s="1"/>
  <c r="D22" i="1" a="1"/>
  <c r="D22" i="1" s="1"/>
  <c r="C22" i="1" a="1"/>
  <c r="C22" i="1" s="1"/>
  <c r="B22" i="1" a="1"/>
  <c r="B22" i="1" s="1"/>
  <c r="A22" i="1" a="1"/>
  <c r="A22" i="1" s="1"/>
  <c r="T15" i="1" a="1"/>
  <c r="T15" i="1" s="1"/>
  <c r="S15" i="1" a="1"/>
  <c r="S15" i="1" s="1"/>
  <c r="R15" i="1" a="1"/>
  <c r="R15" i="1" s="1"/>
  <c r="Q15" i="1" a="1"/>
  <c r="Q15" i="1" s="1"/>
  <c r="P15" i="1" a="1"/>
  <c r="P15" i="1" s="1"/>
  <c r="O15" i="1" a="1"/>
  <c r="O15" i="1" s="1"/>
  <c r="N15" i="1" a="1"/>
  <c r="N15" i="1" s="1"/>
  <c r="M15" i="1" a="1"/>
  <c r="M15" i="1" s="1"/>
  <c r="L15" i="1" a="1"/>
  <c r="L15" i="1" s="1"/>
  <c r="K15" i="1" a="1"/>
  <c r="K15" i="1" s="1"/>
  <c r="J15" i="1" a="1"/>
  <c r="J15" i="1" s="1"/>
  <c r="I15" i="1" a="1"/>
  <c r="I15" i="1" s="1"/>
  <c r="H15" i="1" a="1"/>
  <c r="H15" i="1" s="1"/>
  <c r="G15" i="1" a="1"/>
  <c r="G15" i="1" s="1"/>
  <c r="F15" i="1" a="1"/>
  <c r="F15" i="1" s="1"/>
  <c r="E15" i="1" a="1"/>
  <c r="E15" i="1" s="1"/>
  <c r="D15" i="1" a="1"/>
  <c r="D15" i="1" s="1"/>
  <c r="C15" i="1" a="1"/>
  <c r="C15" i="1" s="1"/>
  <c r="B15" i="1" a="1"/>
  <c r="B15" i="1" s="1"/>
  <c r="A15" i="1" a="1"/>
  <c r="A15" i="1" s="1"/>
  <c r="D16" i="1" a="1"/>
  <c r="D16" i="1" s="1"/>
  <c r="D9" i="1" a="1"/>
  <c r="D9" i="1" s="1"/>
  <c r="A6" i="1" a="1"/>
  <c r="A6" i="1" s="1"/>
  <c r="G9" i="1"/>
  <c r="H9" i="1"/>
  <c r="M11" i="1"/>
  <c r="B16" i="1"/>
  <c r="C16" i="1"/>
  <c r="M18" i="1"/>
  <c r="C9" i="1"/>
  <c r="B9" i="1"/>
  <c r="E25" i="1"/>
  <c r="E11" i="1"/>
  <c r="S9" i="1" a="1"/>
  <c r="S9" i="1" s="1"/>
  <c r="T36" i="1" a="1"/>
  <c r="T36" i="1" s="1"/>
  <c r="S36" i="1" a="1"/>
  <c r="S36" i="1" s="1"/>
  <c r="R36" i="1" a="1"/>
  <c r="R36" i="1" s="1"/>
  <c r="Q36" i="1" a="1"/>
  <c r="Q36" i="1" s="1"/>
  <c r="P36" i="1" a="1"/>
  <c r="P36" i="1" s="1"/>
  <c r="O36" i="1" a="1"/>
  <c r="O36" i="1" s="1"/>
  <c r="N36" i="1" a="1"/>
  <c r="N36" i="1" s="1"/>
  <c r="M36" i="1" a="1"/>
  <c r="M36" i="1" s="1"/>
  <c r="L36" i="1" a="1"/>
  <c r="L36" i="1" s="1"/>
  <c r="K36" i="1" a="1"/>
  <c r="K36" i="1" s="1"/>
  <c r="J36" i="1" a="1"/>
  <c r="J36" i="1" s="1"/>
  <c r="I36" i="1" a="1"/>
  <c r="I36" i="1" s="1"/>
  <c r="H36" i="1" a="1"/>
  <c r="H36" i="1" s="1"/>
  <c r="G36" i="1" a="1"/>
  <c r="G36" i="1" s="1"/>
  <c r="F36" i="1" a="1"/>
  <c r="F36" i="1" s="1"/>
  <c r="E36" i="1" a="1"/>
  <c r="E36" i="1" s="1"/>
  <c r="D36" i="1" a="1"/>
  <c r="D36" i="1" s="1"/>
  <c r="C36" i="1" a="1"/>
  <c r="C36" i="1" s="1"/>
  <c r="B36" i="1" a="1"/>
  <c r="B36" i="1" s="1"/>
  <c r="A36" i="1" a="1"/>
  <c r="A36" i="1" s="1"/>
  <c r="D30" i="1" a="1"/>
  <c r="D30" i="1" s="1"/>
  <c r="S13" i="1"/>
  <c r="S34" i="1"/>
  <c r="C30" i="1"/>
  <c r="B30" i="1"/>
  <c r="R9" i="1"/>
  <c r="Q9" i="1"/>
  <c r="E27" i="1" l="1"/>
  <c r="I25" i="1"/>
  <c r="M27" i="1"/>
  <c r="G27" i="1"/>
  <c r="I20" i="1"/>
  <c r="C27" i="1"/>
  <c r="E18" i="1"/>
  <c r="G20" i="1"/>
  <c r="G13" i="1"/>
  <c r="E20" i="1"/>
  <c r="I13" i="1"/>
  <c r="E13" i="1"/>
  <c r="Q20" i="1"/>
  <c r="Q13" i="1"/>
  <c r="K27" i="1"/>
  <c r="A27" i="1"/>
  <c r="C25" i="1"/>
  <c r="O25" i="1"/>
  <c r="K25" i="1"/>
  <c r="S20" i="1"/>
  <c r="M25" i="1"/>
  <c r="S27" i="1"/>
  <c r="S18" i="1"/>
  <c r="S11" i="1"/>
  <c r="K18" i="1"/>
  <c r="K11" i="1"/>
  <c r="O18" i="1"/>
  <c r="O11" i="1"/>
  <c r="A18" i="1"/>
  <c r="A11" i="1"/>
  <c r="I18" i="1"/>
  <c r="I11" i="1"/>
  <c r="A20" i="1"/>
  <c r="A13" i="1"/>
  <c r="C20" i="1"/>
  <c r="C13" i="1"/>
  <c r="M20" i="1"/>
  <c r="M13" i="1"/>
  <c r="K20" i="1"/>
  <c r="K13" i="1"/>
  <c r="O20" i="1"/>
  <c r="O13" i="1"/>
  <c r="C18" i="1"/>
  <c r="C11" i="1"/>
  <c r="Q18" i="1"/>
  <c r="Q11" i="1"/>
  <c r="G18" i="1"/>
  <c r="G11" i="1"/>
  <c r="N9" i="1" a="1"/>
  <c r="N9" i="1" s="1"/>
  <c r="T29" i="1" a="1"/>
  <c r="T29" i="1" s="1"/>
  <c r="S29" i="1" a="1"/>
  <c r="S29" i="1" s="1"/>
  <c r="R29" i="1" a="1"/>
  <c r="R29" i="1" s="1"/>
  <c r="Q29" i="1" a="1"/>
  <c r="Q29" i="1" s="1"/>
  <c r="P29" i="1" a="1"/>
  <c r="P29" i="1" s="1"/>
  <c r="O29" i="1" a="1"/>
  <c r="O29" i="1" s="1"/>
  <c r="N29" i="1" a="1"/>
  <c r="N29" i="1" s="1"/>
  <c r="M29" i="1" a="1"/>
  <c r="M29" i="1" s="1"/>
  <c r="L29" i="1" a="1"/>
  <c r="L29" i="1" s="1"/>
  <c r="K29" i="1" a="1"/>
  <c r="K29" i="1" s="1"/>
  <c r="J29" i="1" a="1"/>
  <c r="J29" i="1" s="1"/>
  <c r="I29" i="1" a="1"/>
  <c r="I29" i="1" s="1"/>
  <c r="H29" i="1" a="1"/>
  <c r="H29" i="1" s="1"/>
  <c r="G29" i="1" a="1"/>
  <c r="G29" i="1" s="1"/>
  <c r="F29" i="1" a="1"/>
  <c r="F29" i="1" s="1"/>
  <c r="E29" i="1" a="1"/>
  <c r="E29" i="1" s="1"/>
  <c r="D29" i="1" a="1"/>
  <c r="D29" i="1" s="1"/>
  <c r="C29" i="1" a="1"/>
  <c r="C29" i="1" s="1"/>
  <c r="B29" i="1" a="1"/>
  <c r="B29" i="1" s="1"/>
  <c r="A29" i="1" a="1"/>
  <c r="A29" i="1" s="1"/>
  <c r="D23" i="1" a="1"/>
  <c r="D23" i="1" s="1"/>
  <c r="L9" i="1"/>
  <c r="M9" i="1"/>
  <c r="B23" i="1"/>
  <c r="C23" i="1"/>
  <c r="A25" i="1"/>
</calcChain>
</file>

<file path=xl/sharedStrings.xml><?xml version="1.0" encoding="utf-8"?>
<sst xmlns="http://schemas.openxmlformats.org/spreadsheetml/2006/main" count="409" uniqueCount="142">
  <si>
    <t>Time</t>
  </si>
  <si>
    <t>TWTPreOPen</t>
  </si>
  <si>
    <t>PreviousTW285</t>
  </si>
  <si>
    <t>TWTPreviousPrice</t>
  </si>
  <si>
    <t>MXF1PreviousPrice</t>
  </si>
  <si>
    <t>PriceDOWN</t>
  </si>
  <si>
    <t>Unchanged</t>
  </si>
  <si>
    <t>PriceUP</t>
  </si>
  <si>
    <t>NowPDown</t>
  </si>
  <si>
    <t>NowPlow</t>
  </si>
  <si>
    <t>NowPhigh</t>
  </si>
  <si>
    <t>NowPUp</t>
  </si>
  <si>
    <t>TXF1PreviousPrice</t>
  </si>
  <si>
    <t>EXF1PreviousPrice</t>
  </si>
  <si>
    <t>FXF1PreviousPrice</t>
  </si>
  <si>
    <t>XIF1PreviousPrice</t>
  </si>
  <si>
    <t>EXF100Pre</t>
  </si>
  <si>
    <t>FXF35Pre</t>
  </si>
  <si>
    <t>XIF100Pre</t>
  </si>
  <si>
    <t>MaxChangePercent</t>
  </si>
  <si>
    <t>MaxVolume</t>
  </si>
  <si>
    <t>MaxCumulativeVolume</t>
  </si>
  <si>
    <t>PDate</t>
  </si>
  <si>
    <t>PreOpenTW285</t>
  </si>
  <si>
    <t>TW285</t>
  </si>
  <si>
    <t>TWTPrice</t>
  </si>
  <si>
    <t>MXF1Price</t>
  </si>
  <si>
    <t>PVP-UP</t>
  </si>
  <si>
    <t>PVP-DOWN</t>
  </si>
  <si>
    <t>PVV-UP</t>
  </si>
  <si>
    <t>WeekPDown</t>
  </si>
  <si>
    <t>WeekPlow</t>
  </si>
  <si>
    <t>WeekPhigh</t>
  </si>
  <si>
    <t>WeekPUp</t>
  </si>
  <si>
    <t>TXF1Price</t>
  </si>
  <si>
    <t>EXF1Price</t>
  </si>
  <si>
    <t>FXF1Price</t>
  </si>
  <si>
    <t>XIF1Price</t>
  </si>
  <si>
    <t>EXF100</t>
  </si>
  <si>
    <t>FXF35</t>
  </si>
  <si>
    <t>XIF100</t>
  </si>
  <si>
    <t>--</t>
  </si>
  <si>
    <t>TW285Change</t>
  </si>
  <si>
    <t>TWTChange</t>
  </si>
  <si>
    <t>MXF1Change</t>
  </si>
  <si>
    <t>AskAMT/BidAMT</t>
  </si>
  <si>
    <t>Bid</t>
  </si>
  <si>
    <t>Ask</t>
  </si>
  <si>
    <t>MonthPDown</t>
  </si>
  <si>
    <t>MonthPlow</t>
  </si>
  <si>
    <t>MonthPhigh</t>
  </si>
  <si>
    <t>MonthPUp</t>
  </si>
  <si>
    <t>TXF1Change</t>
  </si>
  <si>
    <t>EXF1Change</t>
  </si>
  <si>
    <t>FXF1Change</t>
  </si>
  <si>
    <t>XIF1Change</t>
  </si>
  <si>
    <t>EXF100Change</t>
  </si>
  <si>
    <t>FXF35Change</t>
  </si>
  <si>
    <t>XIF100Change</t>
  </si>
  <si>
    <t>TW285change</t>
  </si>
  <si>
    <t>PreOpenchange</t>
  </si>
  <si>
    <t>PreTWTopen</t>
  </si>
  <si>
    <t>TWSE</t>
  </si>
  <si>
    <t>up</t>
  </si>
  <si>
    <t>down</t>
  </si>
  <si>
    <t>TE</t>
  </si>
  <si>
    <t>TF</t>
  </si>
  <si>
    <t>XIF</t>
  </si>
  <si>
    <t>OpenV</t>
  </si>
  <si>
    <t>DBM10-50</t>
  </si>
  <si>
    <t>DBM50</t>
  </si>
  <si>
    <t>DBM100</t>
  </si>
  <si>
    <t>DBM150</t>
  </si>
  <si>
    <t>DBM200</t>
  </si>
  <si>
    <t>UBM10-50</t>
  </si>
  <si>
    <t>UBM50</t>
  </si>
  <si>
    <t>UBM100</t>
  </si>
  <si>
    <t>UBM150</t>
  </si>
  <si>
    <t>UBM200</t>
  </si>
  <si>
    <t>DAM10-50</t>
  </si>
  <si>
    <t>DAM50</t>
  </si>
  <si>
    <t>DAM100</t>
  </si>
  <si>
    <t>DAM150</t>
  </si>
  <si>
    <t>DAM200</t>
  </si>
  <si>
    <t>UAM10-50</t>
  </si>
  <si>
    <t>UAM50</t>
  </si>
  <si>
    <t>UAM100</t>
  </si>
  <si>
    <t>UAM150</t>
  </si>
  <si>
    <t>UAM200</t>
  </si>
  <si>
    <t>Max</t>
  </si>
  <si>
    <t>Maxpoint</t>
  </si>
  <si>
    <t>L2</t>
  </si>
  <si>
    <t>L2p</t>
  </si>
  <si>
    <t>L3</t>
  </si>
  <si>
    <t>L3p</t>
  </si>
  <si>
    <t>L4</t>
  </si>
  <si>
    <t>L4p</t>
  </si>
  <si>
    <t>L5</t>
  </si>
  <si>
    <t>L5p</t>
  </si>
  <si>
    <t>Min</t>
  </si>
  <si>
    <t>Minpoint</t>
  </si>
  <si>
    <t>S2</t>
  </si>
  <si>
    <t>S2p</t>
  </si>
  <si>
    <t>S3</t>
  </si>
  <si>
    <t>S3p</t>
  </si>
  <si>
    <t>S4</t>
  </si>
  <si>
    <t>S4p</t>
  </si>
  <si>
    <t>S5</t>
  </si>
  <si>
    <t>S5p</t>
  </si>
  <si>
    <t>Code</t>
  </si>
  <si>
    <t>OpenStatus</t>
  </si>
  <si>
    <t>PriceStatus</t>
  </si>
  <si>
    <t>Week</t>
  </si>
  <si>
    <t>Month</t>
  </si>
  <si>
    <t>PV-P</t>
  </si>
  <si>
    <t>PV-V</t>
  </si>
  <si>
    <t>Turnover</t>
  </si>
  <si>
    <t>PreviousPrice</t>
  </si>
  <si>
    <t>PreOpenPrice</t>
  </si>
  <si>
    <t>Open</t>
  </si>
  <si>
    <t>Change</t>
  </si>
  <si>
    <t>ChangePercent</t>
  </si>
  <si>
    <t>Price</t>
  </si>
  <si>
    <t>Volume</t>
  </si>
  <si>
    <t>CumulativeVolume</t>
  </si>
  <si>
    <t>PreviousVolume</t>
  </si>
  <si>
    <t>TodayChangePercent</t>
  </si>
  <si>
    <t>Change-Effect</t>
  </si>
  <si>
    <t>BidAMT</t>
  </si>
  <si>
    <t>AskAMT</t>
  </si>
  <si>
    <t>Capital</t>
  </si>
  <si>
    <t>Price-Effect</t>
  </si>
  <si>
    <t>MarketPercentage</t>
  </si>
  <si>
    <t>PreviousMarketPercentage</t>
  </si>
  <si>
    <t>PreOpenMarketvalue</t>
  </si>
  <si>
    <t>Marketvalue</t>
  </si>
  <si>
    <t>PreviousMarketvalue</t>
  </si>
  <si>
    <t>DB</t>
  </si>
  <si>
    <t>DA</t>
  </si>
  <si>
    <t>UA</t>
  </si>
  <si>
    <t>UB</t>
  </si>
  <si>
    <t>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</si>
</sst>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9]h:mm\ AM/PM;@"/>
    <numFmt numFmtId="177" formatCode="0.000000_ "/>
    <numFmt numFmtId="178" formatCode="0.00_ "/>
    <numFmt numFmtId="179" formatCode="&quot;$&quot;#,##0.00"/>
  </numFmts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33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YES" ddeTopic="DQ">
    <ddeItems>
      <ddeItem name="$TWT.PreviousPrice" advise="1">
        <values>
          <value>
            <val>12894</val>
          </value>
        </values>
      </ddeItem>
      <ddeItem name="$TWT.Price" advise="1">
        <values>
          <value>
            <val>12780.19</val>
          </value>
        </values>
      </ddeItem>
      <ddeItem name="1101.AskPrice" advise="1">
        <values>
          <value>
            <val>46.55</val>
          </value>
        </values>
      </ddeItem>
      <ddeItem name="1101.BidPrice" advise="1">
        <values>
          <value>
            <val>46.5</val>
          </value>
        </values>
      </ddeItem>
      <ddeItem name="1101.Change" advise="1">
        <values>
          <value>
            <val>-0.1</val>
          </value>
        </values>
      </ddeItem>
      <ddeItem name="1101.ChangePercent" advise="1">
        <values>
          <value>
            <val>-2.0999999999999999E-3</val>
          </value>
        </values>
      </ddeItem>
      <ddeItem name="1101.CumulativeVolume" advise="1">
        <values>
          <value>
            <val>32034</val>
          </value>
        </values>
      </ddeItem>
      <ddeItem name="1101.Open" advise="1">
        <values>
          <value>
            <val>46.55</val>
          </value>
        </values>
      </ddeItem>
      <ddeItem name="1101.PreOpenPrice" advise="1">
        <values>
          <value>
            <val>46.5</val>
          </value>
        </values>
      </ddeItem>
      <ddeItem name="1101.PreviousPrice" advise="1">
        <values>
          <value>
            <val>46.6</val>
          </value>
        </values>
      </ddeItem>
      <ddeItem name="1101.PreviousVolume" advise="1">
        <values>
          <value>
            <val>27017</val>
          </value>
        </values>
      </ddeItem>
      <ddeItem name="1101.Price" advise="1">
        <values>
          <value>
            <val>46.5</val>
          </value>
        </values>
      </ddeItem>
      <ddeItem name="1101.Volume" advise="1">
        <values>
          <value>
            <val>1800</val>
          </value>
        </values>
      </ddeItem>
      <ddeItem name="1102.AskPrice" advise="1">
        <values>
          <value>
            <val>41</val>
          </value>
        </values>
      </ddeItem>
      <ddeItem name="1102.BidPrice" advise="1">
        <values>
          <value>
            <val>40.950000000000003</val>
          </value>
        </values>
      </ddeItem>
      <ddeItem name="1102.Change" advise="1">
        <values>
          <value>
            <val>-0.25</val>
          </value>
        </values>
      </ddeItem>
      <ddeItem name="1102.ChangePercent" advise="1">
        <values>
          <value>
            <val>-6.1000000000000004E-3</val>
          </value>
        </values>
      </ddeItem>
      <ddeItem name="1102.CumulativeVolume" advise="1">
        <values>
          <value>
            <val>4338</val>
          </value>
        </values>
      </ddeItem>
      <ddeItem name="1102.Open" advise="1">
        <values>
          <value>
            <val>41.2</val>
          </value>
        </values>
      </ddeItem>
      <ddeItem name="1102.PreOpenPrice" advise="1">
        <values>
          <value>
            <val>40.950000000000003</val>
          </value>
        </values>
      </ddeItem>
      <ddeItem name="1102.PreviousPrice" advise="1">
        <values>
          <value>
            <val>41.2</val>
          </value>
        </values>
      </ddeItem>
      <ddeItem name="1102.PreviousVolume" advise="1">
        <values>
          <value>
            <val>5731</val>
          </value>
        </values>
      </ddeItem>
      <ddeItem name="1102.Price" advise="1">
        <values>
          <value>
            <val>40.950000000000003</val>
          </value>
        </values>
      </ddeItem>
      <ddeItem name="1102.Volume" advise="1">
        <values>
          <value>
            <val>551</val>
          </value>
        </values>
      </ddeItem>
      <ddeItem name="1210.AskPrice" advise="1">
        <values>
          <value>
            <val>46.25</val>
          </value>
        </values>
      </ddeItem>
      <ddeItem name="1210.BidPrice" advise="1">
        <values>
          <value>
            <val>46.2</val>
          </value>
        </values>
      </ddeItem>
      <ddeItem name="1210.Change" advise="1">
        <values>
          <value>
            <val>-0.75</val>
          </value>
        </values>
      </ddeItem>
      <ddeItem name="1210.ChangePercent" advise="1">
        <values>
          <value>
            <val>-1.6E-2</val>
          </value>
        </values>
      </ddeItem>
      <ddeItem name="1210.CumulativeVolume" advise="1">
        <values>
          <value>
            <val>2239</val>
          </value>
        </values>
      </ddeItem>
      <ddeItem name="1210.Open" advise="1">
        <values>
          <value>
            <val>46.85</val>
          </value>
        </values>
      </ddeItem>
      <ddeItem name="1210.PreOpenPrice" advise="1">
        <values>
          <value>
            <val>46.25</val>
          </value>
        </values>
      </ddeItem>
      <ddeItem name="1210.PreviousPrice" advise="1">
        <values>
          <value>
            <val>47</val>
          </value>
        </values>
      </ddeItem>
      <ddeItem name="1210.PreviousVolume" advise="1">
        <values>
          <value>
            <val>2954</val>
          </value>
        </values>
      </ddeItem>
      <ddeItem name="1210.Price" advise="1">
        <values>
          <value>
            <val>46.25</val>
          </value>
        </values>
      </ddeItem>
      <ddeItem name="1210.Volume" advise="1">
        <values>
          <value>
            <val>54</val>
          </value>
        </values>
      </ddeItem>
      <ddeItem name="1215.AskPrice" advise="1">
        <values>
          <value>
            <val>70.400000000000006</val>
          </value>
        </values>
      </ddeItem>
      <ddeItem name="1215.BidPrice" advise="1">
        <values>
          <value>
            <val>70.3</val>
          </value>
        </values>
      </ddeItem>
      <ddeItem name="1215.Change" advise="1">
        <values>
          <value>
            <val>-2</val>
          </value>
        </values>
      </ddeItem>
      <ddeItem name="1215.ChangePercent" advise="1">
        <values>
          <value>
            <val>-2.7699999999999999E-2</val>
          </value>
        </values>
      </ddeItem>
      <ddeItem name="1215.CumulativeVolume" advise="1">
        <values>
          <value>
            <val>2739</val>
          </value>
        </values>
      </ddeItem>
      <ddeItem name="1215.Open" advise="1">
        <values>
          <value>
            <val>72.3</val>
          </value>
        </values>
      </ddeItem>
      <ddeItem name="1215.PreOpenPrice" advise="1">
        <values>
          <value>
            <val>70.3</val>
          </value>
        </values>
      </ddeItem>
      <ddeItem name="1215.PreviousPrice" advise="1">
        <values>
          <value>
            <val>72.3</val>
          </value>
        </values>
      </ddeItem>
      <ddeItem name="1215.PreviousVolume" advise="1">
        <values>
          <value>
            <val>3946</val>
          </value>
        </values>
      </ddeItem>
      <ddeItem name="1215.Price" advise="1">
        <values>
          <value>
            <val>70.3</val>
          </value>
        </values>
      </ddeItem>
      <ddeItem name="1215.Volume" advise="1">
        <values>
          <value>
            <val>86</val>
          </value>
        </values>
      </ddeItem>
      <ddeItem name="1216.AskPrice" advise="1">
        <values>
          <value>
            <val>68.8</val>
          </value>
        </values>
      </ddeItem>
      <ddeItem name="1216.BidPrice" advise="1">
        <values>
          <value>
            <val>68.599999999999994</val>
          </value>
        </values>
      </ddeItem>
      <ddeItem name="1216.Change" advise="1">
        <values>
          <value>
            <val>-0.4</val>
          </value>
        </values>
      </ddeItem>
      <ddeItem name="1216.ChangePercent" advise="1">
        <values>
          <value>
            <val>-5.7999999999999996E-3</val>
          </value>
        </values>
      </ddeItem>
      <ddeItem name="1216.CumulativeVolume" advise="1">
        <values>
          <value>
            <val>8096</val>
          </value>
        </values>
      </ddeItem>
      <ddeItem name="1216.Open" advise="1">
        <values>
          <value>
            <val>69.099999999999994</val>
          </value>
        </values>
      </ddeItem>
      <ddeItem name="1216.PreOpenPrice" advise="1">
        <values>
          <value>
            <val>68.599999999999994</val>
          </value>
        </values>
      </ddeItem>
      <ddeItem name="1216.PreviousPrice" advise="1">
        <values>
          <value>
            <val>69</val>
          </value>
        </values>
      </ddeItem>
      <ddeItem name="1216.PreviousVolume" advise="1">
        <values>
          <value>
            <val>7478</val>
          </value>
        </values>
      </ddeItem>
      <ddeItem name="1216.Price" advise="1">
        <values>
          <value>
            <val>68.599999999999994</val>
          </value>
        </values>
      </ddeItem>
      <ddeItem name="1216.Volume" advise="1">
        <values>
          <value>
            <val>1287</val>
          </value>
        </values>
      </ddeItem>
      <ddeItem name="1227.AskPrice" advise="1">
        <values>
          <value>
            <val>62</val>
          </value>
        </values>
      </ddeItem>
      <ddeItem name="1227.BidPrice" advise="1">
        <values>
          <value>
            <val>61.9</val>
          </value>
        </values>
      </ddeItem>
      <ddeItem name="1227.Change" advise="1">
        <values>
          <value>
            <val>-0.1</val>
          </value>
        </values>
      </ddeItem>
      <ddeItem name="1227.ChangePercent" advise="1">
        <values>
          <value>
            <val>-1.6000000000000001E-3</val>
          </value>
        </values>
      </ddeItem>
      <ddeItem name="1227.CumulativeVolume" advise="1">
        <values>
          <value>
            <val>963</val>
          </value>
        </values>
      </ddeItem>
      <ddeItem name="1227.Open" advise="1">
        <values>
          <value>
            <val>62</val>
          </value>
        </values>
      </ddeItem>
      <ddeItem name="1227.PreOpenPrice" advise="1">
        <values>
          <value>
            <val>61.9</val>
          </value>
        </values>
      </ddeItem>
      <ddeItem name="1227.PreviousPrice" advise="1">
        <values>
          <value>
            <val>62</val>
          </value>
        </values>
      </ddeItem>
      <ddeItem name="1227.PreviousVolume" advise="1">
        <values>
          <value>
            <val>558</val>
          </value>
        </values>
      </ddeItem>
      <ddeItem name="1227.Price" advise="1">
        <values>
          <value>
            <val>61.9</val>
          </value>
        </values>
      </ddeItem>
      <ddeItem name="1227.Volume" advise="1">
        <values>
          <value>
            <val>161</val>
          </value>
        </values>
      </ddeItem>
      <ddeItem name="1229.AskPrice" advise="1">
        <values>
          <value>
            <val>47.2</val>
          </value>
        </values>
      </ddeItem>
      <ddeItem name="1229.BidPrice" advise="1">
        <values>
          <value>
            <val>47.15</val>
          </value>
        </values>
      </ddeItem>
      <ddeItem name="1229.Change" advise="1">
        <values>
          <value>
            <val>-0.05</val>
          </value>
        </values>
      </ddeItem>
      <ddeItem name="1229.ChangePercent" advise="1">
        <values>
          <value>
            <val>-1.1000000000000001E-3</val>
          </value>
        </values>
      </ddeItem>
      <ddeItem name="1229.CumulativeVolume" advise="1">
        <values>
          <value>
            <val>6617</val>
          </value>
        </values>
      </ddeItem>
      <ddeItem name="1229.Open" advise="1">
        <values>
          <value>
            <val>47.2</val>
          </value>
        </values>
      </ddeItem>
      <ddeItem name="1229.PreOpenPrice" advise="1">
        <values>
          <value>
            <val>47.15</val>
          </value>
        </values>
      </ddeItem>
      <ddeItem name="1229.PreviousPrice" advise="1">
        <values>
          <value>
            <val>47.2</val>
          </value>
        </values>
      </ddeItem>
      <ddeItem name="1229.PreviousVolume" advise="1">
        <values>
          <value>
            <val>5330</val>
          </value>
        </values>
      </ddeItem>
      <ddeItem name="1229.Price" advise="1">
        <values>
          <value>
            <val>47.15</val>
          </value>
        </values>
      </ddeItem>
      <ddeItem name="1229.Volume" advise="1">
        <values>
          <value>
            <val>347</val>
          </value>
        </values>
      </ddeItem>
      <ddeItem name="1232.AskPrice" advise="1">
        <values>
          <value>
            <val>120.5</val>
          </value>
        </values>
      </ddeItem>
      <ddeItem name="1232.BidPrice" advise="1">
        <values>
          <value>
            <val>119.5</val>
          </value>
        </values>
      </ddeItem>
      <ddeItem name="1232.Change" advise="1">
        <values>
          <value>
            <val>0.5</val>
          </value>
        </values>
      </ddeItem>
      <ddeItem name="1232.ChangePercent" advise="1">
        <values>
          <value>
            <val>4.1999999999999997E-3</val>
          </value>
        </values>
      </ddeItem>
      <ddeItem name="1232.CumulativeVolume" advise="1">
        <values>
          <value>
            <val>38</val>
          </value>
        </values>
      </ddeItem>
      <ddeItem name="1232.Open" advise="1">
        <values>
          <value>
            <val>119.5</val>
          </value>
        </values>
      </ddeItem>
      <ddeItem name="1232.PreOpenPrice" advise="1">
        <values>
          <value>
            <val>120</val>
          </value>
        </values>
      </ddeItem>
      <ddeItem name="1232.PreviousPrice" advise="1">
        <values>
          <value>
            <val>119.5</val>
          </value>
        </values>
      </ddeItem>
      <ddeItem name="1232.PreviousVolume" advise="1">
        <values>
          <value>
            <val>47</val>
          </value>
        </values>
      </ddeItem>
      <ddeItem name="1232.Price" advise="1">
        <values>
          <value>
            <val>120</val>
          </value>
        </values>
      </ddeItem>
      <ddeItem name="1232.Volume" advise="1">
        <values>
          <value>
            <val>1</val>
          </value>
        </values>
      </ddeItem>
      <ddeItem name="1301.AskPrice" advise="1">
        <values>
          <value>
            <val>81.599999999999994</val>
          </value>
        </values>
      </ddeItem>
      <ddeItem name="1301.BidPrice" advise="1">
        <values>
          <value>
            <val>81.5</val>
          </value>
        </values>
      </ddeItem>
      <ddeItem name="1301.Change" advise="1">
        <values>
          <value>
            <val>0.4</val>
          </value>
        </values>
      </ddeItem>
      <ddeItem name="1301.ChangePercent" advise="1">
        <values>
          <value>
            <val>4.8999999999999998E-3</val>
          </value>
        </values>
      </ddeItem>
      <ddeItem name="1301.CumulativeVolume" advise="1">
        <values>
          <value>
            <val>8311</val>
          </value>
        </values>
      </ddeItem>
      <ddeItem name="1301.Open" advise="1">
        <values>
          <value>
            <val>81.5</val>
          </value>
        </values>
      </ddeItem>
      <ddeItem name="1301.PreOpenPrice" advise="1">
        <values>
          <value>
            <val>81.5</val>
          </value>
        </values>
      </ddeItem>
      <ddeItem name="1301.PreviousPrice" advise="1">
        <values>
          <value>
            <val>81.099999999999994</val>
          </value>
        </values>
      </ddeItem>
      <ddeItem name="1301.PreviousVolume" advise="1">
        <values>
          <value>
            <val>6031</val>
          </value>
        </values>
      </ddeItem>
      <ddeItem name="1301.Price" advise="1">
        <values>
          <value>
            <val>81.5</val>
          </value>
        </values>
      </ddeItem>
      <ddeItem name="1301.Volume" advise="1">
        <values>
          <value>
            <val>663</val>
          </value>
        </values>
      </ddeItem>
      <ddeItem name="1303.AskPrice" advise="1">
        <values>
          <value>
            <val>63</val>
          </value>
        </values>
      </ddeItem>
      <ddeItem name="1303.BidPrice" advise="1">
        <values>
          <value>
            <val>62.8</val>
          </value>
        </values>
      </ddeItem>
      <ddeItem name="1303.Change" advise="1">
        <values>
          <value>
            <val>-0.4</val>
          </value>
        </values>
      </ddeItem>
      <ddeItem name="1303.ChangePercent" advise="1">
        <values>
          <value>
            <val>-6.3E-3</val>
          </value>
        </values>
      </ddeItem>
      <ddeItem name="1303.CumulativeVolume" advise="1">
        <values>
          <value>
            <val>5073</val>
          </value>
        </values>
      </ddeItem>
      <ddeItem name="1303.Open" advise="1">
        <values>
          <value>
            <val>63.1</val>
          </value>
        </values>
      </ddeItem>
      <ddeItem name="1303.PreOpenPrice" advise="1">
        <values>
          <value>
            <val>62.8</val>
          </value>
        </values>
      </ddeItem>
      <ddeItem name="1303.PreviousPrice" advise="1">
        <values>
          <value>
            <val>63.2</val>
          </value>
        </values>
      </ddeItem>
      <ddeItem name="1303.PreviousVolume" advise="1">
        <values>
          <value>
            <val>6100</val>
          </value>
        </values>
      </ddeItem>
      <ddeItem name="1303.Price" advise="1">
        <values>
          <value>
            <val>62.8</val>
          </value>
        </values>
      </ddeItem>
      <ddeItem name="1303.Volume" advise="1">
        <values>
          <value>
            <val>710</val>
          </value>
        </values>
      </ddeItem>
      <ddeItem name="1304.AskPrice" advise="1">
        <values>
          <value>
            <val>12.2</val>
          </value>
        </values>
      </ddeItem>
      <ddeItem name="1304.BidPrice" advise="1">
        <values>
          <value>
            <val>12.15</val>
          </value>
        </values>
      </ddeItem>
      <ddeItem name="1304.Change" advise="1">
        <values>
          <value>
            <val>0</val>
          </value>
        </values>
      </ddeItem>
      <ddeItem name="1304.ChangePercent" advise="1">
        <values>
          <value>
            <val>0</val>
          </value>
        </values>
      </ddeItem>
      <ddeItem name="1304.CumulativeVolume" advise="1">
        <values>
          <value>
            <val>1424</val>
          </value>
        </values>
      </ddeItem>
      <ddeItem name="1304.Open" advise="1">
        <values>
          <value>
            <val>12.2</val>
          </value>
        </values>
      </ddeItem>
      <ddeItem name="1304.PreOpenPrice" advise="1">
        <values>
          <value>
            <val>12.2</val>
          </value>
        </values>
      </ddeItem>
      <ddeItem name="1304.PreviousPrice" advise="1">
        <values>
          <value>
            <val>12.2</val>
          </value>
        </values>
      </ddeItem>
      <ddeItem name="1304.PreviousVolume" advise="1">
        <values>
          <value>
            <val>1813</val>
          </value>
        </values>
      </ddeItem>
      <ddeItem name="1304.Price" advise="1">
        <values>
          <value>
            <val>12.2</val>
          </value>
        </values>
      </ddeItem>
      <ddeItem name="1304.Volume" advise="1">
        <values>
          <value>
            <val>27</val>
          </value>
        </values>
      </ddeItem>
      <ddeItem name="1314.AskPrice" advise="1">
        <values>
          <value>
            <val>8.52</val>
          </value>
        </values>
      </ddeItem>
      <ddeItem name="1314.BidPrice" advise="1">
        <values>
          <value>
            <val>8.51</val>
          </value>
        </values>
      </ddeItem>
      <ddeItem name="1314.Change" advise="1">
        <values>
          <value>
            <val>0.21</val>
          </value>
        </values>
      </ddeItem>
      <ddeItem name="1314.ChangePercent" advise="1">
        <values>
          <value>
            <val>2.53E-2</val>
          </value>
        </values>
      </ddeItem>
      <ddeItem name="1314.CumulativeVolume" advise="1">
        <values>
          <value>
            <val>83904</val>
          </value>
        </values>
      </ddeItem>
      <ddeItem name="1314.Open" advise="1">
        <values>
          <value>
            <val>8.4</val>
          </value>
        </values>
      </ddeItem>
      <ddeItem name="1314.PreOpenPrice" advise="1">
        <values>
          <value>
            <val>8.51</val>
          </value>
        </values>
      </ddeItem>
      <ddeItem name="1314.PreviousPrice" advise="1">
        <values>
          <value>
            <val>8.6</val>
          </value>
        </values>
      </ddeItem>
      <ddeItem name="1314.PreviousVolume" advise="1">
        <values>
          <value>
            <val>39890</val>
          </value>
        </values>
      </ddeItem>
      <ddeItem name="1314.Price" advise="1">
        <values>
          <value>
            <val>8.51</val>
          </value>
        </values>
      </ddeItem>
      <ddeItem name="1314.Volume" advise="1">
        <values>
          <value>
            <val>961</val>
          </value>
        </values>
      </ddeItem>
      <ddeItem name="1319.AskPrice" advise="1">
        <values>
          <value>
            <val>37.700000000000003</val>
          </value>
        </values>
      </ddeItem>
      <ddeItem name="1319.BidPrice" advise="1">
        <values>
          <value>
            <val>37.65</val>
          </value>
        </values>
      </ddeItem>
      <ddeItem name="1319.Change" advise="1">
        <values>
          <value>
            <val>0.15</val>
          </value>
        </values>
      </ddeItem>
      <ddeItem name="1319.ChangePercent" advise="1">
        <values>
          <value>
            <val>4.0000000000000001E-3</val>
          </value>
        </values>
      </ddeItem>
      <ddeItem name="1319.CumulativeVolume" advise="1">
        <values>
          <value>
            <val>1271</val>
          </value>
        </values>
      </ddeItem>
      <ddeItem name="1319.Open" advise="1">
        <values>
          <value>
            <val>37.549999999999997</val>
          </value>
        </values>
      </ddeItem>
      <ddeItem name="1319.PreOpenPrice" advise="1">
        <values>
          <value>
            <val>37.700000000000003</val>
          </value>
        </values>
      </ddeItem>
      <ddeItem name="1319.PreviousPrice" advise="1">
        <values>
          <value>
            <val>37.549999999999997</val>
          </value>
        </values>
      </ddeItem>
      <ddeItem name="1319.PreviousVolume" advise="1">
        <values>
          <value>
            <val>713</val>
          </value>
        </values>
      </ddeItem>
      <ddeItem name="1319.Price" advise="1">
        <values>
          <value>
            <val>37.700000000000003</val>
          </value>
        </values>
      </ddeItem>
      <ddeItem name="1319.Volume" advise="1">
        <values>
          <value>
            <val>26</val>
          </value>
        </values>
      </ddeItem>
      <ddeItem name="1325.AskPrice" advise="1">
        <values>
          <value>
            <val>178.5</val>
          </value>
        </values>
      </ddeItem>
      <ddeItem name="1325.BidPrice" advise="1">
        <values>
          <value>
            <val>178.5</val>
          </value>
        </values>
      </ddeItem>
      <ddeItem name="1325.Change" advise="1">
        <values>
          <value>
            <val>-19.5</val>
          </value>
        </values>
      </ddeItem>
      <ddeItem name="1325.ChangePercent" advise="1">
        <values>
          <value>
            <val>-9.8500000000000004E-2</val>
          </value>
        </values>
      </ddeItem>
      <ddeItem name="1325.CumulativeVolume" advise="1">
        <values>
          <value>
            <val>16197</val>
          </value>
        </values>
      </ddeItem>
      <ddeItem name="1325.Open" advise="1">
        <values>
          <value>
            <val>178.5</val>
          </value>
        </values>
      </ddeItem>
      <ddeItem name="1325.PreOpenPrice" advise="1">
        <values>
          <value>
            <val>178.5</val>
          </value>
        </values>
      </ddeItem>
      <ddeItem name="1325.PreviousPrice" advise="1">
        <values>
          <value>
            <val>198</val>
          </value>
        </values>
      </ddeItem>
      <ddeItem name="1325.PreviousVolume" advise="1">
        <values>
          <value>
            <val>13764</val>
          </value>
        </values>
      </ddeItem>
      <ddeItem name="1325.Price" advise="1">
        <values>
          <value>
            <val>178.5</val>
          </value>
        </values>
      </ddeItem>
      <ddeItem name="1325.Volume" advise="1">
        <values>
          <value>
            <val>26</val>
          </value>
        </values>
      </ddeItem>
      <ddeItem name="1326.AskPrice" advise="1">
        <values>
          <value>
            <val>71.099999999999994</val>
          </value>
        </values>
      </ddeItem>
      <ddeItem name="1326.BidPrice" advise="1">
        <values>
          <value>
            <val>71</val>
          </value>
        </values>
      </ddeItem>
      <ddeItem name="1326.Change" advise="1">
        <values>
          <value>
            <val>0.3</val>
          </value>
        </values>
      </ddeItem>
      <ddeItem name="1326.ChangePercent" advise="1">
        <values>
          <value>
            <val>4.1999999999999997E-3</val>
          </value>
        </values>
      </ddeItem>
      <ddeItem name="1326.CumulativeVolume" advise="1">
        <values>
          <value>
            <val>6244</val>
          </value>
        </values>
      </ddeItem>
      <ddeItem name="1326.Open" advise="1">
        <values>
          <value>
            <val>71.099999999999994</val>
          </value>
        </values>
      </ddeItem>
      <ddeItem name="1326.PreOpenPrice" advise="1">
        <values>
          <value>
            <val>71</val>
          </value>
        </values>
      </ddeItem>
      <ddeItem name="1326.PreviousPrice" advise="1">
        <values>
          <value>
            <val>70.7</val>
          </value>
        </values>
      </ddeItem>
      <ddeItem name="1326.PreviousVolume" advise="1">
        <values>
          <value>
            <val>4718</val>
          </value>
        </values>
      </ddeItem>
      <ddeItem name="1326.Price" advise="1">
        <values>
          <value>
            <val>71</val>
          </value>
        </values>
      </ddeItem>
      <ddeItem name="1326.Volume" advise="1">
        <values>
          <value>
            <val>591</val>
          </value>
        </values>
      </ddeItem>
      <ddeItem name="1402.AskPrice" advise="1">
        <values>
          <value>
            <val>26.2</val>
          </value>
        </values>
      </ddeItem>
      <ddeItem name="1402.BidPrice" advise="1">
        <values>
          <value>
            <val>26.05</val>
          </value>
        </values>
      </ddeItem>
      <ddeItem name="1402.Change" advise="1">
        <values>
          <value>
            <val>-0.4</val>
          </value>
        </values>
      </ddeItem>
      <ddeItem name="1402.ChangePercent" advise="1">
        <values>
          <value>
            <val>-1.5100000000000001E-2</val>
          </value>
        </values>
      </ddeItem>
      <ddeItem name="1402.CumulativeVolume" advise="1">
        <values>
          <value>
            <val>5773</val>
          </value>
        </values>
      </ddeItem>
      <ddeItem name="1402.Open" advise="1">
        <values>
          <value>
            <val>26.4</val>
          </value>
        </values>
      </ddeItem>
      <ddeItem name="1402.PreOpenPrice" advise="1">
        <values>
          <value>
            <val>26.05</val>
          </value>
        </values>
      </ddeItem>
      <ddeItem name="1402.PreviousPrice" advise="1">
        <values>
          <value>
            <val>26.45</val>
          </value>
        </values>
      </ddeItem>
      <ddeItem name="1402.PreviousVolume" advise="1">
        <values>
          <value>
            <val>5184</val>
          </value>
        </values>
      </ddeItem>
      <ddeItem name="1402.Price" advise="1">
        <values>
          <value>
            <val>26.05</val>
          </value>
        </values>
      </ddeItem>
      <ddeItem name="1402.Volume" advise="1">
        <values>
          <value>
            <val>503</val>
          </value>
        </values>
      </ddeItem>
      <ddeItem name="1409.AskPrice" advise="1">
        <values>
          <value>
            <val>11.55</val>
          </value>
        </values>
      </ddeItem>
      <ddeItem name="1409.BidPrice" advise="1">
        <values>
          <value>
            <val>11.5</val>
          </value>
        </values>
      </ddeItem>
      <ddeItem name="1409.Change" advise="1">
        <values>
          <value>
            <val>0</val>
          </value>
        </values>
      </ddeItem>
      <ddeItem name="1409.ChangePercent" advise="1">
        <values>
          <value>
            <val>0</val>
          </value>
        </values>
      </ddeItem>
      <ddeItem name="1409.CumulativeVolume" advise="1">
        <values>
          <value>
            <val>903</val>
          </value>
        </values>
      </ddeItem>
      <ddeItem name="1409.Open" advise="1">
        <values>
          <value>
            <val>11.55</val>
          </value>
        </values>
      </ddeItem>
      <ddeItem name="1409.PreOpenPrice" advise="1">
        <values>
          <value>
            <val>11.55</val>
          </value>
        </values>
      </ddeItem>
      <ddeItem name="1409.PreviousPrice" advise="1">
        <values>
          <value>
            <val>11.55</val>
          </value>
        </values>
      </ddeItem>
      <ddeItem name="1409.PreviousVolume" advise="1">
        <values>
          <value>
            <val>4459</val>
          </value>
        </values>
      </ddeItem>
      <ddeItem name="1409.Price" advise="1">
        <values>
          <value>
            <val>11.55</val>
          </value>
        </values>
      </ddeItem>
      <ddeItem name="1409.Volume" advise="1">
        <values>
          <value>
            <val>31</val>
          </value>
        </values>
      </ddeItem>
      <ddeItem name="1419.AskPrice" advise="1">
        <values>
          <value>
            <val>45.45</val>
          </value>
        </values>
      </ddeItem>
      <ddeItem name="1419.BidPrice" advise="1">
        <values>
          <value>
            <val>44.85</val>
          </value>
        </values>
      </ddeItem>
      <ddeItem name="1419.Change" advise="1">
        <values>
          <value>
            <val>-1</val>
          </value>
        </values>
      </ddeItem>
      <ddeItem name="1419.ChangePercent" advise="1">
        <values>
          <value>
            <val>-2.1700000000000001E-2</val>
          </value>
        </values>
      </ddeItem>
      <ddeItem name="1419.CumulativeVolume" advise="1">
        <values>
          <value>
            <val>158</val>
          </value>
        </values>
      </ddeItem>
      <ddeItem name="1419.Open" advise="1">
        <values>
          <value>
            <val>45.8</val>
          </value>
        </values>
      </ddeItem>
      <ddeItem name="1419.PreOpenPrice" advise="1">
        <values>
          <value>
            <val>46</val>
          </value>
        </values>
      </ddeItem>
      <ddeItem name="1419.PreviousPrice" advise="1">
        <values>
          <value>
            <val>46</val>
          </value>
        </values>
      </ddeItem>
      <ddeItem name="1419.PreviousVolume" advise="1">
        <values>
          <value>
            <val>603</val>
          </value>
        </values>
      </ddeItem>
      <ddeItem name="1419.Price" advise="1">
        <values>
          <value>
            <val>45</val>
          </value>
        </values>
      </ddeItem>
      <ddeItem name="1419.Volume" advise="1">
        <values>
          <value>
            <val>2</val>
          </value>
        </values>
      </ddeItem>
      <ddeItem name="1434.AskPrice" advise="1">
        <values>
          <value>
            <val>30.9</val>
          </value>
        </values>
      </ddeItem>
      <ddeItem name="1434.BidPrice" advise="1">
        <values>
          <value>
            <val>30.85</val>
          </value>
        </values>
      </ddeItem>
      <ddeItem name="1434.Change" advise="1">
        <values>
          <value>
            <val>0.05</val>
          </value>
        </values>
      </ddeItem>
      <ddeItem name="1434.ChangePercent" advise="1">
        <values>
          <value>
            <val>1.6000000000000001E-3</val>
          </value>
        </values>
      </ddeItem>
      <ddeItem name="1434.CumulativeVolume" advise="1">
        <values>
          <value>
            <val>2500</val>
          </value>
        </values>
      </ddeItem>
      <ddeItem name="1434.Open" advise="1">
        <values>
          <value>
            <val>31</val>
          </value>
        </values>
      </ddeItem>
      <ddeItem name="1434.PreOpenPrice" advise="1">
        <values>
          <value>
            <val>30.85</val>
          </value>
        </values>
      </ddeItem>
      <ddeItem name="1434.PreviousPrice" advise="1">
        <values>
          <value>
            <val>30.8</val>
          </value>
        </values>
      </ddeItem>
      <ddeItem name="1434.PreviousVolume" advise="1">
        <values>
          <value>
            <val>2575</val>
          </value>
        </values>
      </ddeItem>
      <ddeItem name="1434.Price" advise="1">
        <values>
          <value>
            <val>30.85</val>
          </value>
        </values>
      </ddeItem>
      <ddeItem name="1434.Volume" advise="1">
        <values>
          <value>
            <val>141</val>
          </value>
        </values>
      </ddeItem>
      <ddeItem name="1440.AskPrice" advise="1">
        <values>
          <value>
            <val>11.2</val>
          </value>
        </values>
      </ddeItem>
      <ddeItem name="1440.BidPrice" advise="1">
        <values>
          <value>
            <val>11.15</val>
          </value>
        </values>
      </ddeItem>
      <ddeItem name="1440.Change" advise="1">
        <values>
          <value>
            <val>-0.2</val>
          </value>
        </values>
      </ddeItem>
      <ddeItem name="1440.ChangePercent" advise="1">
        <values>
          <value>
            <val>-1.7600000000000001E-2</val>
          </value>
        </values>
      </ddeItem>
      <ddeItem name="1440.CumulativeVolume" advise="1">
        <values>
          <value>
            <val>3228</val>
          </value>
        </values>
      </ddeItem>
      <ddeItem name="1440.Open" advise="1">
        <values>
          <value>
            <val>11.35</val>
          </value>
        </values>
      </ddeItem>
      <ddeItem name="1440.PreOpenPrice" advise="1">
        <values>
          <value>
            <val>11.15</val>
          </value>
        </values>
      </ddeItem>
      <ddeItem name="1440.PreviousPrice" advise="1">
        <values>
          <value>
            <val>11.35</val>
          </value>
        </values>
      </ddeItem>
      <ddeItem name="1440.PreviousVolume" advise="1">
        <values>
          <value>
            <val>6215</val>
          </value>
        </values>
      </ddeItem>
      <ddeItem name="1440.Price" advise="1">
        <values>
          <value>
            <val>11.15</val>
          </value>
        </values>
      </ddeItem>
      <ddeItem name="1440.Volume" advise="1">
        <values>
          <value>
            <val>59</val>
          </value>
        </values>
      </ddeItem>
      <ddeItem name="1476.AskPrice" advise="1">
        <values>
          <value>
            <val>381</val>
          </value>
        </values>
      </ddeItem>
      <ddeItem name="1476.BidPrice" advise="1">
        <values>
          <value>
            <val>380.5</val>
          </value>
        </values>
      </ddeItem>
      <ddeItem name="1476.Change" advise="1">
        <values>
          <value>
            <val>8</val>
          </value>
        </values>
      </ddeItem>
      <ddeItem name="1476.ChangePercent" advise="1">
        <values>
          <value>
            <val>2.1399999999999999E-2</val>
          </value>
        </values>
      </ddeItem>
      <ddeItem name="1476.CumulativeVolume" advise="1">
        <values>
          <value>
            <val>2433</val>
          </value>
        </values>
      </ddeItem>
      <ddeItem name="1476.Open" advise="1">
        <values>
          <value>
            <val>371</val>
          </value>
        </values>
      </ddeItem>
      <ddeItem name="1476.PreOpenPrice" advise="1">
        <values>
          <value>
            <val>381</val>
          </value>
        </values>
      </ddeItem>
      <ddeItem name="1476.PreviousPrice" advise="1">
        <values>
          <value>
            <val>373</val>
          </value>
        </values>
      </ddeItem>
      <ddeItem name="1476.PreviousVolume" advise="1">
        <values>
          <value>
            <val>1299</val>
          </value>
        </values>
      </ddeItem>
      <ddeItem name="1476.Price" advise="1">
        <values>
          <value>
            <val>381</val>
          </value>
        </values>
      </ddeItem>
      <ddeItem name="1476.Volume" advise="1">
        <values>
          <value>
            <val>118</val>
          </value>
        </values>
      </ddeItem>
      <ddeItem name="1477.AskPrice" advise="1">
        <values>
          <value>
            <val>181</val>
          </value>
        </values>
      </ddeItem>
      <ddeItem name="1477.BidPrice" advise="1">
        <values>
          <value>
            <val>180.5</val>
          </value>
        </values>
      </ddeItem>
      <ddeItem name="1477.Change" advise="1">
        <values>
          <value>
            <val>3</val>
          </value>
        </values>
      </ddeItem>
      <ddeItem name="1477.ChangePercent" advise="1">
        <values>
          <value>
            <val>1.6899999999999998E-2</val>
          </value>
        </values>
      </ddeItem>
      <ddeItem name="1477.CumulativeVolume" advise="1">
        <values>
          <value>
            <val>1674</val>
          </value>
        </values>
      </ddeItem>
      <ddeItem name="1477.Open" advise="1">
        <values>
          <value>
            <val>178.5</val>
          </value>
        </values>
      </ddeItem>
      <ddeItem name="1477.PreOpenPrice" advise="1">
        <values>
          <value>
            <val>181</val>
          </value>
        </values>
      </ddeItem>
      <ddeItem name="1477.PreviousPrice" advise="1">
        <values>
          <value>
            <val>178</val>
          </value>
        </values>
      </ddeItem>
      <ddeItem name="1477.PreviousVolume" advise="1">
        <values>
          <value>
            <val>1075</val>
          </value>
        </values>
      </ddeItem>
      <ddeItem name="1477.Price" advise="1">
        <values>
          <value>
            <val>181</val>
          </value>
        </values>
      </ddeItem>
      <ddeItem name="1477.Volume" advise="1">
        <values>
          <value>
            <val>51</val>
          </value>
        </values>
      </ddeItem>
      <ddeItem name="1503.AskPrice" advise="1">
        <values>
          <value>
            <val>46.35</val>
          </value>
        </values>
      </ddeItem>
      <ddeItem name="1503.BidPrice" advise="1">
        <values>
          <value>
            <val>46.3</val>
          </value>
        </values>
      </ddeItem>
      <ddeItem name="1503.Change" advise="1">
        <values>
          <value>
            <val>-0.2</val>
          </value>
        </values>
      </ddeItem>
      <ddeItem name="1503.ChangePercent" advise="1">
        <values>
          <value>
            <val>-4.3E-3</val>
          </value>
        </values>
      </ddeItem>
      <ddeItem name="1503.CumulativeVolume" advise="1">
        <values>
          <value>
            <val>208</val>
          </value>
        </values>
      </ddeItem>
      <ddeItem name="1503.Open" advise="1">
        <values>
          <value>
            <val>47.15</val>
          </value>
        </values>
      </ddeItem>
      <ddeItem name="1503.PreOpenPrice" advise="1">
        <values>
          <value>
            <val>46.35</val>
          </value>
        </values>
      </ddeItem>
      <ddeItem name="1503.PreviousPrice" advise="1">
        <values>
          <value>
            <val>46.55</val>
          </value>
        </values>
      </ddeItem>
      <ddeItem name="1503.PreviousVolume" advise="1">
        <values>
          <value>
            <val>238</val>
          </value>
        </values>
      </ddeItem>
      <ddeItem name="1503.Price" advise="1">
        <values>
          <value>
            <val>46.35</val>
          </value>
        </values>
      </ddeItem>
      <ddeItem name="1503.Volume" advise="1">
        <values>
          <value>
            <val>8</val>
          </value>
        </values>
      </ddeItem>
      <ddeItem name="1504.AskPrice" advise="1">
        <values>
          <value>
            <val>28.25</val>
          </value>
        </values>
      </ddeItem>
      <ddeItem name="1504.BidPrice" advise="1">
        <values>
          <value>
            <val>28.1</val>
          </value>
        </values>
      </ddeItem>
      <ddeItem name="1504.Change" advise="1">
        <values>
          <value>
            <val>-0.45</val>
          </value>
        </values>
      </ddeItem>
      <ddeItem name="1504.ChangePercent" advise="1">
        <values>
          <value>
            <val>-1.5800000000000002E-2</val>
          </value>
        </values>
      </ddeItem>
      <ddeItem name="1504.CumulativeVolume" advise="1">
        <values>
          <value>
            <val>3380</val>
          </value>
        </values>
      </ddeItem>
      <ddeItem name="1504.Open" advise="1">
        <values>
          <value>
            <val>28.55</val>
          </value>
        </values>
      </ddeItem>
      <ddeItem name="1504.PreOpenPrice" advise="1">
        <values>
          <value>
            <val>28.1</val>
          </value>
        </values>
      </ddeItem>
      <ddeItem name="1504.PreviousPrice" advise="1">
        <values>
          <value>
            <val>28.55</val>
          </value>
        </values>
      </ddeItem>
      <ddeItem name="1504.PreviousVolume" advise="1">
        <values>
          <value>
            <val>5935</val>
          </value>
        </values>
      </ddeItem>
      <ddeItem name="1504.Price" advise="1">
        <values>
          <value>
            <val>28.1</val>
          </value>
        </values>
      </ddeItem>
      <ddeItem name="1504.Volume" advise="1">
        <values>
          <value>
            <val>201</val>
          </value>
        </values>
      </ddeItem>
      <ddeItem name="1507.AskPrice" advise="1">
        <values>
          <value>
            <val>55.8</val>
          </value>
        </values>
      </ddeItem>
      <ddeItem name="1507.BidPrice" advise="1">
        <values>
          <value>
            <val>55.7</val>
          </value>
        </values>
      </ddeItem>
      <ddeItem name="1507.Change" advise="1">
        <values>
          <value>
            <val>1.6</val>
          </value>
        </values>
      </ddeItem>
      <ddeItem name="1507.ChangePercent" advise="1">
        <values>
          <value>
            <val>2.9499999999999998E-2</val>
          </value>
        </values>
      </ddeItem>
      <ddeItem name="1507.CumulativeVolume" advise="1">
        <values>
          <value>
            <val>343</val>
          </value>
        </values>
      </ddeItem>
      <ddeItem name="1507.Open" advise="1">
        <values>
          <value>
            <val>54.4</val>
          </value>
        </values>
      </ddeItem>
      <ddeItem name="1507.PreOpenPrice" advise="1">
        <values>
          <value>
            <val>55.8</val>
          </value>
        </values>
      </ddeItem>
      <ddeItem name="1507.PreviousPrice" advise="1">
        <values>
          <value>
            <val>54.2</val>
          </value>
        </values>
      </ddeItem>
      <ddeItem name="1507.PreviousVolume" advise="1">
        <values>
          <value>
            <val>28</val>
          </value>
        </values>
      </ddeItem>
      <ddeItem name="1507.Price" advise="1">
        <values>
          <value>
            <val>55.8</val>
          </value>
        </values>
      </ddeItem>
      <ddeItem name="1507.Volume" advise="1">
        <values>
          <value>
            <val>7</val>
          </value>
        </values>
      </ddeItem>
      <ddeItem name="1515.AskPrice" advise="1">
        <values>
          <value>
            <val>84.8</val>
          </value>
        </values>
      </ddeItem>
      <ddeItem name="1515.BidPrice" advise="1">
        <values>
          <value>
            <val>84.7</val>
          </value>
        </values>
      </ddeItem>
      <ddeItem name="1515.Change" advise="1">
        <values>
          <value>
            <val>-2.2000000000000002</val>
          </value>
        </values>
      </ddeItem>
      <ddeItem name="1515.ChangePercent" advise="1">
        <values>
          <value>
            <val>-2.53E-2</val>
          </value>
        </values>
      </ddeItem>
      <ddeItem name="1515.CumulativeVolume" advise="1">
        <values>
          <value>
            <val>4173</val>
          </value>
        </values>
      </ddeItem>
      <ddeItem name="1515.Open" advise="1">
        <values>
          <value>
            <val>87.4</val>
          </value>
        </values>
      </ddeItem>
      <ddeItem name="1515.PreOpenPrice" advise="1">
        <values>
          <value>
            <val>84.6</val>
          </value>
        </values>
      </ddeItem>
      <ddeItem name="1515.PreviousPrice" advise="1">
        <values>
          <value>
            <val>86.9</val>
          </value>
        </values>
      </ddeItem>
      <ddeItem name="1515.PreviousVolume" advise="1">
        <values>
          <value>
            <val>8861</val>
          </value>
        </values>
      </ddeItem>
      <ddeItem name="1515.Price" advise="1">
        <values>
          <value>
            <val>84.7</val>
          </value>
        </values>
      </ddeItem>
      <ddeItem name="1515.Volume" advise="1">
        <values>
          <value>
            <val>160</val>
          </value>
        </values>
      </ddeItem>
      <ddeItem name="1536.AskPrice" advise="1">
        <values>
          <value>
            <val>97.8</val>
          </value>
        </values>
      </ddeItem>
      <ddeItem name="1536.BidPrice" advise="1">
        <values>
          <value>
            <val>97.5</val>
          </value>
        </values>
      </ddeItem>
      <ddeItem name="1536.Change" advise="1">
        <values>
          <value>
            <val>1.9</val>
          </value>
        </values>
      </ddeItem>
      <ddeItem name="1536.ChangePercent" advise="1">
        <values>
          <value>
            <val>1.9800000000000002E-2</val>
          </value>
        </values>
      </ddeItem>
      <ddeItem name="1536.CumulativeVolume" advise="1">
        <values>
          <value>
            <val>958</val>
          </value>
        </values>
      </ddeItem>
      <ddeItem name="1536.Open" advise="1">
        <values>
          <value>
            <val>96.1</val>
          </value>
        </values>
      </ddeItem>
      <ddeItem name="1536.PreOpenPrice" advise="1">
        <values>
          <value>
            <val>97.8</val>
          </value>
        </values>
      </ddeItem>
      <ddeItem name="1536.PreviousPrice" advise="1">
        <values>
          <value>
            <val>95.9</val>
          </value>
        </values>
      </ddeItem>
      <ddeItem name="1536.PreviousVolume" advise="1">
        <values>
          <value>
            <val>1293</val>
          </value>
        </values>
      </ddeItem>
      <ddeItem name="1536.Price" advise="1">
        <values>
          <value>
            <val>97.8</val>
          </value>
        </values>
      </ddeItem>
      <ddeItem name="1536.Volume" advise="1">
        <values>
          <value>
            <val>97</val>
          </value>
        </values>
      </ddeItem>
      <ddeItem name="1590.AskPrice" advise="1">
        <values>
          <value>
            <val>665</val>
          </value>
        </values>
      </ddeItem>
      <ddeItem name="1590.BidPrice" advise="1">
        <values>
          <value>
            <val>664</val>
          </value>
        </values>
      </ddeItem>
      <ddeItem name="1590.Change" advise="1">
        <values>
          <value>
            <val>22</val>
          </value>
        </values>
      </ddeItem>
      <ddeItem name="1590.ChangePercent" advise="1">
        <values>
          <value>
            <val>3.4200000000000001E-2</val>
          </value>
        </values>
      </ddeItem>
      <ddeItem name="1590.CumulativeVolume" advise="1">
        <values>
          <value>
            <val>1248</val>
          </value>
        </values>
      </ddeItem>
      <ddeItem name="1590.Open" advise="1">
        <values>
          <value>
            <val>639</val>
          </value>
        </values>
      </ddeItem>
      <ddeItem name="1590.PreOpenPrice" advise="1">
        <values>
          <value>
            <val>667</val>
          </value>
        </values>
      </ddeItem>
      <ddeItem name="1590.PreviousPrice" advise="1">
        <values>
          <value>
            <val>643</val>
          </value>
        </values>
      </ddeItem>
      <ddeItem name="1590.PreviousVolume" advise="1">
        <values>
          <value>
            <val>1207</val>
          </value>
        </values>
      </ddeItem>
      <ddeItem name="1590.Price" advise="1">
        <values>
          <value>
            <val>665</val>
          </value>
        </values>
      </ddeItem>
      <ddeItem name="1590.Volume" advise="1">
        <values>
          <value>
            <val>101</val>
          </value>
        </values>
      </ddeItem>
      <ddeItem name="1605.AskPrice" advise="1">
        <values>
          <value>
            <val>15.7</val>
          </value>
        </values>
      </ddeItem>
      <ddeItem name="1605.BidPrice" advise="1">
        <values>
          <value>
            <val>15.65</val>
          </value>
        </values>
      </ddeItem>
      <ddeItem name="1605.Change" advise="1">
        <values>
          <value>
            <val>-0.3</val>
          </value>
        </values>
      </ddeItem>
      <ddeItem name="1605.ChangePercent" advise="1">
        <values>
          <value>
            <val>-1.8800000000000001E-2</val>
          </value>
        </values>
      </ddeItem>
      <ddeItem name="1605.CumulativeVolume" advise="1">
        <values>
          <value>
            <val>13516</val>
          </value>
        </values>
      </ddeItem>
      <ddeItem name="1605.Open" advise="1">
        <values>
          <value>
            <val>15.95</val>
          </value>
        </values>
      </ddeItem>
      <ddeItem name="1605.PreOpenPrice" advise="1">
        <values>
          <value>
            <val>15.65</val>
          </value>
        </values>
      </ddeItem>
      <ddeItem name="1605.PreviousPrice" advise="1">
        <values>
          <value>
            <val>15.95</val>
          </value>
        </values>
      </ddeItem>
      <ddeItem name="1605.PreviousVolume" advise="1">
        <values>
          <value>
            <val>11875</val>
          </value>
        </values>
      </ddeItem>
      <ddeItem name="1605.Price" advise="1">
        <values>
          <value>
            <val>15.65</val>
          </value>
        </values>
      </ddeItem>
      <ddeItem name="1605.Volume" advise="1">
        <values>
          <value>
            <val>226</val>
          </value>
        </values>
      </ddeItem>
      <ddeItem name="1707.AskPrice" advise="1">
        <values>
          <value>
            <val>183.5</val>
          </value>
        </values>
      </ddeItem>
      <ddeItem name="1707.BidPrice" advise="1">
        <values>
          <value>
            <val>183</val>
          </value>
        </values>
      </ddeItem>
      <ddeItem name="1707.Change" advise="1">
        <values>
          <value>
            <val>-1</val>
          </value>
        </values>
      </ddeItem>
      <ddeItem name="1707.ChangePercent" advise="1">
        <values>
          <value>
            <val>-5.4000000000000003E-3</val>
          </value>
        </values>
      </ddeItem>
      <ddeItem name="1707.CumulativeVolume" advise="1">
        <values>
          <value>
            <val>626</val>
          </value>
        </values>
      </ddeItem>
      <ddeItem name="1707.Open" advise="1">
        <values>
          <value>
            <val>184</val>
          </value>
        </values>
      </ddeItem>
      <ddeItem name="1707.PreOpenPrice" advise="1">
        <values>
          <value>
            <val>183</val>
          </value>
        </values>
      </ddeItem>
      <ddeItem name="1707.PreviousPrice" advise="1">
        <values>
          <value>
            <val>184</val>
          </value>
        </values>
      </ddeItem>
      <ddeItem name="1707.PreviousVolume" advise="1">
        <values>
          <value>
            <val>243</val>
          </value>
        </values>
      </ddeItem>
      <ddeItem name="1707.Price" advise="1">
        <values>
          <value>
            <val>183</val>
          </value>
        </values>
      </ddeItem>
      <ddeItem name="1707.Volume" advise="1">
        <values>
          <value>
            <val>19</val>
          </value>
        </values>
      </ddeItem>
      <ddeItem name="1710.AskPrice" advise="1">
        <values>
          <value>
            <val>16.2</val>
          </value>
        </values>
      </ddeItem>
      <ddeItem name="1710.BidPrice" advise="1">
        <values>
          <value>
            <val>16.100000000000001</val>
          </value>
        </values>
      </ddeItem>
      <ddeItem name="1710.Change" advise="1">
        <values>
          <value>
            <val>-0.05</val>
          </value>
        </values>
      </ddeItem>
      <ddeItem name="1710.ChangePercent" advise="1">
        <values>
          <value>
            <val>-3.0999999999999999E-3</val>
          </value>
        </values>
      </ddeItem>
      <ddeItem name="1710.CumulativeVolume" advise="1">
        <values>
          <value>
            <val>832</val>
          </value>
        </values>
      </ddeItem>
      <ddeItem name="1710.Open" advise="1">
        <values>
          <value>
            <val>16.149999999999999</val>
          </value>
        </values>
      </ddeItem>
      <ddeItem name="1710.PreOpenPrice" advise="1">
        <values>
          <value>
            <val>16.100000000000001</val>
          </value>
        </values>
      </ddeItem>
      <ddeItem name="1710.PreviousPrice" advise="1">
        <values>
          <value>
            <val>16.149999999999999</val>
          </value>
        </values>
      </ddeItem>
      <ddeItem name="1710.PreviousVolume" advise="1">
        <values>
          <value>
            <val>1348</val>
          </value>
        </values>
      </ddeItem>
      <ddeItem name="1710.Price" advise="1">
        <values>
          <value>
            <val>16.100000000000001</val>
          </value>
        </values>
      </ddeItem>
      <ddeItem name="1710.Volume" advise="1">
        <values>
          <value>
            <val>12</val>
          </value>
        </values>
      </ddeItem>
      <ddeItem name="1717.AskPrice" advise="1">
        <values>
          <value>
            <val>35.049999999999997</val>
          </value>
        </values>
      </ddeItem>
      <ddeItem name="1717.BidPrice" advise="1">
        <values>
          <value>
            <val>35</val>
          </value>
        </values>
      </ddeItem>
      <ddeItem name="1717.Change" advise="1">
        <values>
          <value>
            <val>-1.5</val>
          </value>
        </values>
      </ddeItem>
      <ddeItem name="1717.ChangePercent" advise="1">
        <values>
          <value>
            <val>-4.1000000000000002E-2</val>
          </value>
        </values>
      </ddeItem>
      <ddeItem name="1717.CumulativeVolume" advise="1">
        <values>
          <value>
            <val>14035</val>
          </value>
        </values>
      </ddeItem>
      <ddeItem name="1717.Open" advise="1">
        <values>
          <value>
            <val>36.049999999999997</val>
          </value>
        </values>
      </ddeItem>
      <ddeItem name="1717.PreOpenPrice" advise="1">
        <values>
          <value>
            <val>35</val>
          </value>
        </values>
      </ddeItem>
      <ddeItem name="1717.PreviousPrice" advise="1">
        <values>
          <value>
            <val>36.549999999999997</val>
          </value>
        </values>
      </ddeItem>
      <ddeItem name="1717.PreviousVolume" advise="1">
        <values>
          <value>
            <val>17579</val>
          </value>
        </values>
      </ddeItem>
      <ddeItem name="1717.Price" advise="1">
        <values>
          <value>
            <val>35.049999999999997</val>
          </value>
        </values>
      </ddeItem>
      <ddeItem name="1717.Volume" advise="1">
        <values>
          <value>
            <val>439</val>
          </value>
        </values>
      </ddeItem>
      <ddeItem name="1722.AskPrice" advise="1">
        <values>
          <value>
            <val>57.1</val>
          </value>
        </values>
      </ddeItem>
      <ddeItem name="1722.BidPrice" advise="1">
        <values>
          <value>
            <val>57</val>
          </value>
        </values>
      </ddeItem>
      <ddeItem name="1722.Change" advise="1">
        <values>
          <value>
            <val>0</val>
          </value>
        </values>
      </ddeItem>
      <ddeItem name="1722.ChangePercent" advise="1">
        <values>
          <value>
            <val>0</val>
          </value>
        </values>
      </ddeItem>
      <ddeItem name="1722.CumulativeVolume" advise="1">
        <values>
          <value>
            <val>1997</val>
          </value>
        </values>
      </ddeItem>
      <ddeItem name="1722.Open" advise="1">
        <values>
          <value>
            <val>56.8</val>
          </value>
        </values>
      </ddeItem>
      <ddeItem name="1722.PreOpenPrice" advise="1">
        <values>
          <value>
            <val>57</val>
          </value>
        </values>
      </ddeItem>
      <ddeItem name="1722.PreviousPrice" advise="1">
        <values>
          <value>
            <val>57</val>
          </value>
        </values>
      </ddeItem>
      <ddeItem name="1722.PreviousVolume" advise="1">
        <values>
          <value>
            <val>2445</val>
          </value>
        </values>
      </ddeItem>
      <ddeItem name="1722.Price" advise="1">
        <values>
          <value>
            <val>57</val>
          </value>
        </values>
      </ddeItem>
      <ddeItem name="1722.Volume" advise="1">
        <values>
          <value>
            <val>37</val>
          </value>
        </values>
      </ddeItem>
      <ddeItem name="1723.AskPrice" advise="1">
        <values>
          <value>
            <val>92.9</val>
          </value>
        </values>
      </ddeItem>
      <ddeItem name="1723.BidPrice" advise="1">
        <values>
          <value>
            <val>92.8</val>
          </value>
        </values>
      </ddeItem>
      <ddeItem name="1723.Change" advise="1">
        <values>
          <value>
            <val>-0.6</val>
          </value>
        </values>
      </ddeItem>
      <ddeItem name="1723.ChangePercent" advise="1">
        <values>
          <value>
            <val>-6.4000000000000003E-3</val>
          </value>
        </values>
      </ddeItem>
      <ddeItem name="1723.CumulativeVolume" advise="1">
        <values>
          <value>
            <val>587</val>
          </value>
        </values>
      </ddeItem>
      <ddeItem name="1723.Open" advise="1">
        <values>
          <value>
            <val>93.5</val>
          </value>
        </values>
      </ddeItem>
      <ddeItem name="1723.PreOpenPrice" advise="1">
        <values>
          <value>
            <val>92.9</val>
          </value>
        </values>
      </ddeItem>
      <ddeItem name="1723.PreviousPrice" advise="1">
        <values>
          <value>
            <val>93.5</val>
          </value>
        </values>
      </ddeItem>
      <ddeItem name="1723.PreviousVolume" advise="1">
        <values>
          <value>
            <val>1188</val>
          </value>
        </values>
      </ddeItem>
      <ddeItem name="1723.Price" advise="1">
        <values>
          <value>
            <val>92.9</val>
          </value>
        </values>
      </ddeItem>
      <ddeItem name="1723.Volume" advise="1">
        <values>
          <value>
            <val>3</val>
          </value>
        </values>
      </ddeItem>
      <ddeItem name="1736.AskPrice" advise="1">
        <values>
          <value>
            <val>65.400000000000006</val>
          </value>
        </values>
      </ddeItem>
      <ddeItem name="1736.BidPrice" advise="1">
        <values>
          <value>
            <val>65.3</val>
          </value>
        </values>
      </ddeItem>
      <ddeItem name="1736.Change" advise="1">
        <values>
          <value>
            <val>-2</val>
          </value>
        </values>
      </ddeItem>
      <ddeItem name="1736.ChangePercent" advise="1">
        <values>
          <value>
            <val>-2.9700000000000001E-2</val>
          </value>
        </values>
      </ddeItem>
      <ddeItem name="1736.CumulativeVolume" advise="1">
        <values>
          <value>
            <val>1474</val>
          </value>
        </values>
      </ddeItem>
      <ddeItem name="1736.Open" advise="1">
        <values>
          <value>
            <val>68.7</val>
          </value>
        </values>
      </ddeItem>
      <ddeItem name="1736.PreOpenPrice" advise="1">
        <values>
          <value>
            <val>65.3</val>
          </value>
        </values>
      </ddeItem>
      <ddeItem name="1736.PreviousPrice" advise="1">
        <values>
          <value>
            <val>67.3</val>
          </value>
        </values>
      </ddeItem>
      <ddeItem name="1736.PreviousVolume" advise="1">
        <values>
          <value>
            <val>791</val>
          </value>
        </values>
      </ddeItem>
      <ddeItem name="1736.Price" advise="1">
        <values>
          <value>
            <val>65.3</val>
          </value>
        </values>
      </ddeItem>
      <ddeItem name="1736.Volume" advise="1">
        <values>
          <value>
            <val>90</val>
          </value>
        </values>
      </ddeItem>
      <ddeItem name="1773.AskPrice" advise="1">
        <values>
          <value>
            <val>106.5</val>
          </value>
        </values>
      </ddeItem>
      <ddeItem name="1773.BidPrice" advise="1">
        <values>
          <value>
            <val>106</val>
          </value>
        </values>
      </ddeItem>
      <ddeItem name="1773.Change" advise="1">
        <values>
          <value>
            <val>1</val>
          </value>
        </values>
      </ddeItem>
      <ddeItem name="1773.ChangePercent" advise="1">
        <values>
          <value>
            <val>9.4999999999999998E-3</val>
          </value>
        </values>
      </ddeItem>
      <ddeItem name="1773.CumulativeVolume" advise="1">
        <values>
          <value>
            <val>192</val>
          </value>
        </values>
      </ddeItem>
      <ddeItem name="1773.Open" advise="1">
        <values>
          <value>
            <val>105.5</val>
          </value>
        </values>
      </ddeItem>
      <ddeItem name="1773.PreOpenPrice" advise="1">
        <values>
          <value>
            <val>106.5</val>
          </value>
        </values>
      </ddeItem>
      <ddeItem name="1773.PreviousPrice" advise="1">
        <values>
          <value>
            <val>105.5</val>
          </value>
        </values>
      </ddeItem>
      <ddeItem name="1773.PreviousVolume" advise="1">
        <values>
          <value>
            <val>351</val>
          </value>
        </values>
      </ddeItem>
      <ddeItem name="1773.Price" advise="1">
        <values>
          <value>
            <val>106.5</val>
          </value>
        </values>
      </ddeItem>
      <ddeItem name="1773.Volume" advise="1">
        <values>
          <value>
            <val>9</val>
          </value>
        </values>
      </ddeItem>
      <ddeItem name="1789.AskPrice" advise="1">
        <values>
          <value>
            <val>32.1</val>
          </value>
        </values>
      </ddeItem>
      <ddeItem name="1789.BidPrice" advise="1">
        <values>
          <value>
            <val>32.049999999999997</val>
          </value>
        </values>
      </ddeItem>
      <ddeItem name="1789.Change" advise="1">
        <values>
          <value>
            <val>-0.95</val>
          </value>
        </values>
      </ddeItem>
      <ddeItem name="1789.ChangePercent" advise="1">
        <values>
          <value>
            <val>-2.87E-2</val>
          </value>
        </values>
      </ddeItem>
      <ddeItem name="1789.CumulativeVolume" advise="1">
        <values>
          <value>
            <val>2501</val>
          </value>
        </values>
      </ddeItem>
      <ddeItem name="1789.Open" advise="1">
        <values>
          <value>
            <val>33.35</val>
          </value>
        </values>
      </ddeItem>
      <ddeItem name="1789.PreOpenPrice" advise="1">
        <values>
          <value>
            <val>32.049999999999997</val>
          </value>
        </values>
      </ddeItem>
      <ddeItem name="1789.PreviousPrice" advise="1">
        <values>
          <value>
            <val>33.049999999999997</val>
          </value>
        </values>
      </ddeItem>
      <ddeItem name="1789.PreviousVolume" advise="1">
        <values>
          <value>
            <val>4404</val>
          </value>
        </values>
      </ddeItem>
      <ddeItem name="1789.Price" advise="1">
        <values>
          <value>
            <val>32.1</val>
          </value>
        </values>
      </ddeItem>
      <ddeItem name="1789.Volume" advise="1">
        <values>
          <value>
            <val>120</val>
          </value>
        </values>
      </ddeItem>
      <ddeItem name="1802.AskPrice" advise="1">
        <values>
          <value>
            <val>11.15</val>
          </value>
        </values>
      </ddeItem>
      <ddeItem name="1802.BidPrice" advise="1">
        <values>
          <value>
            <val>11.15</val>
          </value>
        </values>
      </ddeItem>
      <ddeItem name="1802.Change" advise="1">
        <values>
          <value>
            <val>1</val>
          </value>
        </values>
      </ddeItem>
      <ddeItem name="1802.ChangePercent" advise="1">
        <values>
          <value>
            <val>9.8500000000000004E-2</val>
          </value>
        </values>
      </ddeItem>
      <ddeItem name="1802.CumulativeVolume" advise="1">
        <values>
          <value>
            <val>52735</val>
          </value>
        </values>
      </ddeItem>
      <ddeItem name="1802.Open" advise="1">
        <values>
          <value>
            <val>10.3</val>
          </value>
        </values>
      </ddeItem>
      <ddeItem name="1802.PreOpenPrice" advise="1">
        <values>
          <value>
            <val>11.15</val>
          </value>
        </values>
      </ddeItem>
      <ddeItem name="1802.PreviousPrice" advise="1">
        <values>
          <value>
            <val>10.15</val>
          </value>
        </values>
      </ddeItem>
      <ddeItem name="1802.PreviousVolume" advise="1">
        <values>
          <value>
            <val>1891</val>
          </value>
        </values>
      </ddeItem>
      <ddeItem name="1802.Price" advise="1">
        <values>
          <value>
            <val>11.15</val>
          </value>
        </values>
      </ddeItem>
      <ddeItem name="1802.Volume" advise="1">
        <values>
          <value>
            <val>120</val>
          </value>
        </values>
      </ddeItem>
      <ddeItem name="1808.AskPrice" advise="1">
        <values>
          <value>
            <val>67.8</val>
          </value>
        </values>
      </ddeItem>
      <ddeItem name="1808.BidPrice" advise="1">
        <values>
          <value>
            <val>67.7</val>
          </value>
        </values>
      </ddeItem>
      <ddeItem name="1808.Change" advise="1">
        <values>
          <value>
            <val>0.3</val>
          </value>
        </values>
      </ddeItem>
      <ddeItem name="1808.ChangePercent" advise="1">
        <values>
          <value>
            <val>4.4999999999999997E-3</val>
          </value>
        </values>
      </ddeItem>
      <ddeItem name="1808.CumulativeVolume" advise="1">
        <values>
          <value>
            <val>187</val>
          </value>
        </values>
      </ddeItem>
      <ddeItem name="1808.Open" advise="1">
        <values>
          <value>
            <val>67.599999999999994</val>
          </value>
        </values>
      </ddeItem>
      <ddeItem name="1808.PreOpenPrice" advise="1">
        <values>
          <value>
            <val>67.7</val>
          </value>
        </values>
      </ddeItem>
      <ddeItem name="1808.PreviousPrice" advise="1">
        <values>
          <value>
            <val>67.400000000000006</val>
          </value>
        </values>
      </ddeItem>
      <ddeItem name="1808.PreviousVolume" advise="1">
        <values>
          <value>
            <val>127</val>
          </value>
        </values>
      </ddeItem>
      <ddeItem name="1808.Price" advise="1">
        <values>
          <value>
            <val>67.7</val>
          </value>
        </values>
      </ddeItem>
      <ddeItem name="1808.Volume" advise="1">
        <values>
          <value>
            <val>6</val>
          </value>
        </values>
      </ddeItem>
      <ddeItem name="1903.AskPrice" advise="1">
        <values>
          <value>
            <val>73</val>
          </value>
        </values>
      </ddeItem>
      <ddeItem name="1903.BidPrice" advise="1">
        <values>
          <value>
            <val>72</val>
          </value>
        </values>
      </ddeItem>
      <ddeItem name="1903.Change" advise="1">
        <values>
          <value>
            <val>-2.1</val>
          </value>
        </values>
      </ddeItem>
      <ddeItem name="1903.ChangePercent" advise="1">
        <values>
          <value>
            <val>-2.8299999999999999E-2</val>
          </value>
        </values>
      </ddeItem>
      <ddeItem name="1903.CumulativeVolume" advise="1">
        <values>
          <value>
            <val>618</val>
          </value>
        </values>
      </ddeItem>
      <ddeItem name="1903.Open" advise="1">
        <values>
          <value>
            <val>73.900000000000006</val>
          </value>
        </values>
      </ddeItem>
      <ddeItem name="1903.PreOpenPrice" advise="1">
        <values>
          <value>
            <val>72.099999999999994</val>
          </value>
        </values>
      </ddeItem>
      <ddeItem name="1903.PreviousPrice" advise="1">
        <values>
          <value>
            <val>74.099999999999994</val>
          </value>
        </values>
      </ddeItem>
      <ddeItem name="1903.PreviousVolume" advise="1">
        <values>
          <value>
            <val>1056</val>
          </value>
        </values>
      </ddeItem>
      <ddeItem name="1903.Price" advise="1">
        <values>
          <value>
            <val>72</val>
          </value>
        </values>
      </ddeItem>
      <ddeItem name="1903.Volume" advise="1">
        <values>
          <value>
            <val>13</val>
          </value>
        </values>
      </ddeItem>
      <ddeItem name="1904.AskPrice" advise="1">
        <values>
          <value>
            <val>25.15</val>
          </value>
        </values>
      </ddeItem>
      <ddeItem name="1904.BidPrice" advise="1">
        <values>
          <value>
            <val>25.1</val>
          </value>
        </values>
      </ddeItem>
      <ddeItem name="1904.Change" advise="1">
        <values>
          <value>
            <val>1.25</val>
          </value>
        </values>
      </ddeItem>
      <ddeItem name="1904.ChangePercent" advise="1">
        <values>
          <value>
            <val>5.2299999999999999E-2</val>
          </value>
        </values>
      </ddeItem>
      <ddeItem name="1904.CumulativeVolume" advise="1">
        <values>
          <value>
            <val>15075</val>
          </value>
        </values>
      </ddeItem>
      <ddeItem name="1904.Open" advise="1">
        <values>
          <value>
            <val>24</val>
          </value>
        </values>
      </ddeItem>
      <ddeItem name="1904.PreOpenPrice" advise="1">
        <values>
          <value>
            <val>25.15</val>
          </value>
        </values>
      </ddeItem>
      <ddeItem name="1904.PreviousPrice" advise="1">
        <values>
          <value>
            <val>23.9</val>
          </value>
        </values>
      </ddeItem>
      <ddeItem name="1904.PreviousVolume" advise="1">
        <values>
          <value>
            <val>4835</val>
          </value>
        </values>
      </ddeItem>
      <ddeItem name="1904.Price" advise="1">
        <values>
          <value>
            <val>25.15</val>
          </value>
        </values>
      </ddeItem>
      <ddeItem name="1904.Volume" advise="1">
        <values>
          <value>
            <val>519</val>
          </value>
        </values>
      </ddeItem>
      <ddeItem name="1907.AskPrice" advise="1">
        <values>
          <value>
            <val>14.1</val>
          </value>
        </values>
      </ddeItem>
      <ddeItem name="1907.BidPrice" advise="1">
        <values>
          <value>
            <val>14.05</val>
          </value>
        </values>
      </ddeItem>
      <ddeItem name="1907.Change" advise="1">
        <values>
          <value>
            <val>-0.05</val>
          </value>
        </values>
      </ddeItem>
      <ddeItem name="1907.ChangePercent" advise="1">
        <values>
          <value>
            <val>-3.5000000000000001E-3</val>
          </value>
        </values>
      </ddeItem>
      <ddeItem name="1907.CumulativeVolume" advise="1">
        <values>
          <value>
            <val>2569</val>
          </value>
        </values>
      </ddeItem>
      <ddeItem name="1907.Open" advise="1">
        <values>
          <value>
            <val>14.2</val>
          </value>
        </values>
      </ddeItem>
      <ddeItem name="1907.PreOpenPrice" advise="1">
        <values>
          <value>
            <val>14.05</val>
          </value>
        </values>
      </ddeItem>
      <ddeItem name="1907.PreviousPrice" advise="1">
        <values>
          <value>
            <val>14.1</val>
          </value>
        </values>
      </ddeItem>
      <ddeItem name="1907.PreviousVolume" advise="1">
        <values>
          <value>
            <val>4488</val>
          </value>
        </values>
      </ddeItem>
      <ddeItem name="1907.Price" advise="1">
        <values>
          <value>
            <val>14.05</val>
          </value>
        </values>
      </ddeItem>
      <ddeItem name="1907.Volume" advise="1">
        <values>
          <value>
            <val>85</val>
          </value>
        </values>
      </ddeItem>
      <ddeItem name="1909.AskPrice" advise="1">
        <values>
          <value>
            <val>15.1</val>
          </value>
        </values>
      </ddeItem>
      <ddeItem name="1909.BidPrice" advise="1">
        <values>
          <value>
            <val>15.05</val>
          </value>
        </values>
      </ddeItem>
      <ddeItem name="1909.Change" advise="1">
        <values>
          <value>
            <val>0.05</val>
          </value>
        </values>
      </ddeItem>
      <ddeItem name="1909.ChangePercent" advise="1">
        <values>
          <value>
            <val>3.3E-3</val>
          </value>
        </values>
      </ddeItem>
      <ddeItem name="1909.CumulativeVolume" advise="1">
        <values>
          <value>
            <val>8392</val>
          </value>
        </values>
      </ddeItem>
      <ddeItem name="1909.Open" advise="1">
        <values>
          <value>
            <val>15.1</val>
          </value>
        </values>
      </ddeItem>
      <ddeItem name="1909.PreOpenPrice" advise="1">
        <values>
          <value>
            <val>15.05</val>
          </value>
        </values>
      </ddeItem>
      <ddeItem name="1909.PreviousPrice" advise="1">
        <values>
          <value>
            <val>15</val>
          </value>
        </values>
      </ddeItem>
      <ddeItem name="1909.PreviousVolume" advise="1">
        <values>
          <value>
            <val>13823</val>
          </value>
        </values>
      </ddeItem>
      <ddeItem name="1909.Price" advise="1">
        <values>
          <value>
            <val>15.05</val>
          </value>
        </values>
      </ddeItem>
      <ddeItem name="1909.Volume" advise="1">
        <values>
          <value>
            <val>241</val>
          </value>
        </values>
      </ddeItem>
      <ddeItem name="2002.AskPrice" advise="1">
        <values>
          <value>
            <val>20.2</val>
          </value>
        </values>
      </ddeItem>
      <ddeItem name="2002.BidPrice" advise="1">
        <values>
          <value>
            <val>20.149999999999999</val>
          </value>
        </values>
      </ddeItem>
      <ddeItem name="2002.Change" advise="1">
        <values>
          <value>
            <val>0.1</val>
          </value>
        </values>
      </ddeItem>
      <ddeItem name="2002.ChangePercent" advise="1">
        <values>
          <value>
            <val>5.0000000000000001E-3</val>
          </value>
        </values>
      </ddeItem>
      <ddeItem name="2002.CumulativeVolume" advise="1">
        <values>
          <value>
            <val>14224</val>
          </value>
        </values>
      </ddeItem>
      <ddeItem name="2002.Open" advise="1">
        <values>
          <value>
            <val>20.100000000000001</val>
          </value>
        </values>
      </ddeItem>
      <ddeItem name="2002.PreOpenPrice" advise="1">
        <values>
          <value>
            <val>20.2</val>
          </value>
        </values>
      </ddeItem>
      <ddeItem name="2002.PreviousPrice" advise="1">
        <values>
          <value>
            <val>20.100000000000001</val>
          </value>
        </values>
      </ddeItem>
      <ddeItem name="2002.PreviousVolume" advise="1">
        <values>
          <value>
            <val>8581</val>
          </value>
        </values>
      </ddeItem>
      <ddeItem name="2002.Price" advise="1">
        <values>
          <value>
            <val>20.2</val>
          </value>
        </values>
      </ddeItem>
      <ddeItem name="2002.Volume" advise="1">
        <values>
          <value>
            <val>1939</val>
          </value>
        </values>
      </ddeItem>
      <ddeItem name="2006.AskPrice" advise="1">
        <values>
          <value>
            <val>24.55</val>
          </value>
        </values>
      </ddeItem>
      <ddeItem name="2006.BidPrice" advise="1">
        <values>
          <value>
            <val>24.5</val>
          </value>
        </values>
      </ddeItem>
      <ddeItem name="2006.Change" advise="1">
        <values>
          <value>
            <val>0.4</val>
          </value>
        </values>
      </ddeItem>
      <ddeItem name="2006.ChangePercent" advise="1">
        <values>
          <value>
            <val>1.66E-2</val>
          </value>
        </values>
      </ddeItem>
      <ddeItem name="2006.CumulativeVolume" advise="1">
        <values>
          <value>
            <val>4264</val>
          </value>
        </values>
      </ddeItem>
      <ddeItem name="2006.Open" advise="1">
        <values>
          <value>
            <val>24.3</val>
          </value>
        </values>
      </ddeItem>
      <ddeItem name="2006.PreOpenPrice" advise="1">
        <values>
          <value>
            <val>24.55</val>
          </value>
        </values>
      </ddeItem>
      <ddeItem name="2006.PreviousPrice" advise="1">
        <values>
          <value>
            <val>24.15</val>
          </value>
        </values>
      </ddeItem>
      <ddeItem name="2006.PreviousVolume" advise="1">
        <values>
          <value>
            <val>2823</val>
          </value>
        </values>
      </ddeItem>
      <ddeItem name="2006.Price" advise="1">
        <values>
          <value>
            <val>24.55</val>
          </value>
        </values>
      </ddeItem>
      <ddeItem name="2006.Volume" advise="1">
        <values>
          <value>
            <val>181</val>
          </value>
        </values>
      </ddeItem>
      <ddeItem name="2015.AskPrice" advise="1">
        <values>
          <value>
            <val>55.3</val>
          </value>
        </values>
      </ddeItem>
      <ddeItem name="2015.BidPrice" advise="1">
        <values>
          <value>
            <val>55.2</val>
          </value>
        </values>
      </ddeItem>
      <ddeItem name="2015.Change" advise="1">
        <values>
          <value>
            <val>0.4</val>
          </value>
        </values>
      </ddeItem>
      <ddeItem name="2015.ChangePercent" advise="1">
        <values>
          <value>
            <val>7.3000000000000001E-3</val>
          </value>
        </values>
      </ddeItem>
      <ddeItem name="2015.CumulativeVolume" advise="1">
        <values>
          <value>
            <val>905</val>
          </value>
        </values>
      </ddeItem>
      <ddeItem name="2015.Open" advise="1">
        <values>
          <value>
            <val>55</val>
          </value>
        </values>
      </ddeItem>
      <ddeItem name="2015.PreOpenPrice" advise="1">
        <values>
          <value>
            <val>55.2</val>
          </value>
        </values>
      </ddeItem>
      <ddeItem name="2015.PreviousPrice" advise="1">
        <values>
          <value>
            <val>54.8</val>
          </value>
        </values>
      </ddeItem>
      <ddeItem name="2015.PreviousVolume" advise="1">
        <values>
          <value>
            <val>579</val>
          </value>
        </values>
      </ddeItem>
      <ddeItem name="2015.Price" advise="1">
        <values>
          <value>
            <val>55.2</val>
          </value>
        </values>
      </ddeItem>
      <ddeItem name="2015.Volume" advise="1">
        <values>
          <value>
            <val>8</val>
          </value>
        </values>
      </ddeItem>
      <ddeItem name="2023.AskPrice" advise="1">
        <values>
          <value>
            <val>8.6</val>
          </value>
        </values>
      </ddeItem>
      <ddeItem name="2023.BidPrice" advise="1">
        <values>
          <value>
            <val>8.59</val>
          </value>
        </values>
      </ddeItem>
      <ddeItem name="2023.Change" advise="1">
        <values>
          <value>
            <val>0.01</val>
          </value>
        </values>
      </ddeItem>
      <ddeItem name="2023.ChangePercent" advise="1">
        <values>
          <value>
            <val>1.1999999999999999E-3</val>
          </value>
        </values>
      </ddeItem>
      <ddeItem name="2023.CumulativeVolume" advise="1">
        <values>
          <value>
            <val>845</val>
          </value>
        </values>
      </ddeItem>
      <ddeItem name="2023.Open" advise="1">
        <values>
          <value>
            <val>8.5299999999999994</val>
          </value>
        </values>
      </ddeItem>
      <ddeItem name="2023.PreOpenPrice" advise="1">
        <values>
          <value>
            <val>8.59</val>
          </value>
        </values>
      </ddeItem>
      <ddeItem name="2023.PreviousPrice" advise="1">
        <values>
          <value>
            <val>8.58</val>
          </value>
        </values>
      </ddeItem>
      <ddeItem name="2023.PreviousVolume" advise="1">
        <values>
          <value>
            <val>696</val>
          </value>
        </values>
      </ddeItem>
      <ddeItem name="2023.Price" advise="1">
        <values>
          <value>
            <val>8.59</val>
          </value>
        </values>
      </ddeItem>
      <ddeItem name="2023.Volume" advise="1">
        <values>
          <value>
            <val>9</val>
          </value>
        </values>
      </ddeItem>
      <ddeItem name="2027.AskPrice" advise="1">
        <values>
          <value>
            <val>22.25</val>
          </value>
        </values>
      </ddeItem>
      <ddeItem name="2027.BidPrice" advise="1">
        <values>
          <value>
            <val>22.2</val>
          </value>
        </values>
      </ddeItem>
      <ddeItem name="2027.Change" advise="1">
        <values>
          <value>
            <val>-0.3</val>
          </value>
        </values>
      </ddeItem>
      <ddeItem name="2027.ChangePercent" advise="1">
        <values>
          <value>
            <val>-1.3299999999999999E-2</val>
          </value>
        </values>
      </ddeItem>
      <ddeItem name="2027.CumulativeVolume" advise="1">
        <values>
          <value>
            <val>8446</val>
          </value>
        </values>
      </ddeItem>
      <ddeItem name="2027.Open" advise="1">
        <values>
          <value>
            <val>22.5</val>
          </value>
        </values>
      </ddeItem>
      <ddeItem name="2027.PreOpenPrice" advise="1">
        <values>
          <value>
            <val>22.2</val>
          </value>
        </values>
      </ddeItem>
      <ddeItem name="2027.PreviousPrice" advise="1">
        <values>
          <value>
            <val>22.5</val>
          </value>
        </values>
      </ddeItem>
      <ddeItem name="2027.PreviousVolume" advise="1">
        <values>
          <value>
            <val>4656</val>
          </value>
        </values>
      </ddeItem>
      <ddeItem name="2027.Price" advise="1">
        <values>
          <value>
            <val>22.2</val>
          </value>
        </values>
      </ddeItem>
      <ddeItem name="2027.Volume" advise="1">
        <values>
          <value>
            <val>593</val>
          </value>
        </values>
      </ddeItem>
      <ddeItem name="2049.AskPrice" advise="1">
        <values>
          <value>
            <val>313</val>
          </value>
        </values>
      </ddeItem>
      <ddeItem name="2049.BidPrice" advise="1">
        <values>
          <value>
            <val>312.5</val>
          </value>
        </values>
      </ddeItem>
      <ddeItem name="2049.Change" advise="1">
        <values>
          <value>
            <val>3</val>
          </value>
        </values>
      </ddeItem>
      <ddeItem name="2049.ChangePercent" advise="1">
        <values>
          <value>
            <val>9.7000000000000003E-3</val>
          </value>
        </values>
      </ddeItem>
      <ddeItem name="2049.CumulativeVolume" advise="1">
        <values>
          <value>
            <val>1814</val>
          </value>
        </values>
      </ddeItem>
      <ddeItem name="2049.Open" advise="1">
        <values>
          <value>
            <val>311</val>
          </value>
        </values>
      </ddeItem>
      <ddeItem name="2049.PreOpenPrice" advise="1">
        <values>
          <value>
            <val>313</val>
          </value>
        </values>
      </ddeItem>
      <ddeItem name="2049.PreviousPrice" advise="1">
        <values>
          <value>
            <val>310</val>
          </value>
        </values>
      </ddeItem>
      <ddeItem name="2049.PreviousVolume" advise="1">
        <values>
          <value>
            <val>2056</val>
          </value>
        </values>
      </ddeItem>
      <ddeItem name="2049.Price" advise="1">
        <values>
          <value>
            <val>313</val>
          </value>
        </values>
      </ddeItem>
      <ddeItem name="2049.Volume" advise="1">
        <values>
          <value>
            <val>185</val>
          </value>
        </values>
      </ddeItem>
      <ddeItem name="2059.AskPrice" advise="1">
        <values>
          <value>
            <val>334.5</val>
          </value>
        </values>
      </ddeItem>
      <ddeItem name="2059.BidPrice" advise="1">
        <values>
          <value>
            <val>334</val>
          </value>
        </values>
      </ddeItem>
      <ddeItem name="2059.Change" advise="1">
        <values>
          <value>
            <val>1.5</val>
          </value>
        </values>
      </ddeItem>
      <ddeItem name="2059.ChangePercent" advise="1">
        <values>
          <value>
            <val>4.4999999999999997E-3</val>
          </value>
        </values>
      </ddeItem>
      <ddeItem name="2059.CumulativeVolume" advise="1">
        <values>
          <value>
            <val>264</val>
          </value>
        </values>
      </ddeItem>
      <ddeItem name="2059.Open" advise="1">
        <values>
          <value>
            <val>334</val>
          </value>
        </values>
      </ddeItem>
      <ddeItem name="2059.PreOpenPrice" advise="1">
        <values>
          <value>
            <val>334</val>
          </value>
        </values>
      </ddeItem>
      <ddeItem name="2059.PreviousPrice" advise="1">
        <values>
          <value>
            <val>332.5</val>
          </value>
        </values>
      </ddeItem>
      <ddeItem name="2059.PreviousVolume" advise="1">
        <values>
          <value>
            <val>577</val>
          </value>
        </values>
      </ddeItem>
      <ddeItem name="2059.Price" advise="1">
        <values>
          <value>
            <val>334</val>
          </value>
        </values>
      </ddeItem>
      <ddeItem name="2059.Volume" advise="1">
        <values>
          <value>
            <val>8</val>
          </value>
        </values>
      </ddeItem>
      <ddeItem name="2101.AskPrice" advise="1">
        <values>
          <value>
            <val>44.5</val>
          </value>
        </values>
      </ddeItem>
      <ddeItem name="2101.BidPrice" advise="1">
        <values>
          <value>
            <val>44.45</val>
          </value>
        </values>
      </ddeItem>
      <ddeItem name="2101.Change" advise="1">
        <values>
          <value>
            <val>-0.05</val>
          </value>
        </values>
      </ddeItem>
      <ddeItem name="2101.ChangePercent" advise="1">
        <values>
          <value>
            <val>-1.1000000000000001E-3</val>
          </value>
        </values>
      </ddeItem>
      <ddeItem name="2101.CumulativeVolume" advise="1">
        <values>
          <value>
            <val>1114</val>
          </value>
        </values>
      </ddeItem>
      <ddeItem name="2101.Open" advise="1">
        <values>
          <value>
            <val>44.6</val>
          </value>
        </values>
      </ddeItem>
      <ddeItem name="2101.PreOpenPrice" advise="1">
        <values>
          <value>
            <val>44.45</val>
          </value>
        </values>
      </ddeItem>
      <ddeItem name="2101.PreviousPrice" advise="1">
        <values>
          <value>
            <val>44.5</val>
          </value>
        </values>
      </ddeItem>
      <ddeItem name="2101.PreviousVolume" advise="1">
        <values>
          <value>
            <val>1232</val>
          </value>
        </values>
      </ddeItem>
      <ddeItem name="2101.Price" advise="1">
        <values>
          <value>
            <val>44.45</val>
          </value>
        </values>
      </ddeItem>
      <ddeItem name="2101.Volume" advise="1">
        <values>
          <value>
            <val>62</val>
          </value>
        </values>
      </ddeItem>
      <ddeItem name="2104.AskPrice" advise="1">
        <values>
          <value>
            <val>19.5</val>
          </value>
        </values>
      </ddeItem>
      <ddeItem name="2104.BidPrice" advise="1">
        <values>
          <value>
            <val>19.45</val>
          </value>
        </values>
      </ddeItem>
      <ddeItem name="2104.Change" advise="1">
        <values>
          <value>
            <val>0.25</val>
          </value>
        </values>
      </ddeItem>
      <ddeItem name="2104.ChangePercent" advise="1">
        <values>
          <value>
            <val>1.2999999999999999E-2</val>
          </value>
        </values>
      </ddeItem>
      <ddeItem name="2104.CumulativeVolume" advise="1">
        <values>
          <value>
            <val>2431</val>
          </value>
        </values>
      </ddeItem>
      <ddeItem name="2104.Open" advise="1">
        <values>
          <value>
            <val>19.3</val>
          </value>
        </values>
      </ddeItem>
      <ddeItem name="2104.PreOpenPrice" advise="1">
        <values>
          <value>
            <val>19.45</val>
          </value>
        </values>
      </ddeItem>
      <ddeItem name="2104.PreviousPrice" advise="1">
        <values>
          <value>
            <val>19.2</val>
          </value>
        </values>
      </ddeItem>
      <ddeItem name="2104.PreviousVolume" advise="1">
        <values>
          <value>
            <val>1656</val>
          </value>
        </values>
      </ddeItem>
      <ddeItem name="2104.Price" advise="1">
        <values>
          <value>
            <val>19.45</val>
          </value>
        </values>
      </ddeItem>
      <ddeItem name="2104.Volume" advise="1">
        <values>
          <value>
            <val>119</val>
          </value>
        </values>
      </ddeItem>
      <ddeItem name="2105.AskPrice" advise="1">
        <values>
          <value>
            <val>36.65</val>
          </value>
        </values>
      </ddeItem>
      <ddeItem name="2105.BidPrice" advise="1">
        <values>
          <value>
            <val>36.6</val>
          </value>
        </values>
      </ddeItem>
      <ddeItem name="2105.Change" advise="1">
        <values>
          <value>
            <val>1.25</val>
          </value>
        </values>
      </ddeItem>
      <ddeItem name="2105.ChangePercent" advise="1">
        <values>
          <value>
            <val>3.5299999999999998E-2</val>
          </value>
        </values>
      </ddeItem>
      <ddeItem name="2105.CumulativeVolume" advise="1">
        <values>
          <value>
            <val>13334</val>
          </value>
        </values>
      </ddeItem>
      <ddeItem name="2105.Open" advise="1">
        <values>
          <value>
            <val>35.700000000000003</val>
          </value>
        </values>
      </ddeItem>
      <ddeItem name="2105.PreOpenPrice" advise="1">
        <values>
          <value>
            <val>36.65</val>
          </value>
        </values>
      </ddeItem>
      <ddeItem name="2105.PreviousPrice" advise="1">
        <values>
          <value>
            <val>35.4</val>
          </value>
        </values>
      </ddeItem>
      <ddeItem name="2105.PreviousVolume" advise="1">
        <values>
          <value>
            <val>2630</val>
          </value>
        </values>
      </ddeItem>
      <ddeItem name="2105.Price" advise="1">
        <values>
          <value>
            <val>36.65</val>
          </value>
        </values>
      </ddeItem>
      <ddeItem name="2105.Volume" advise="1">
        <values>
          <value>
            <val>683</val>
          </value>
        </values>
      </ddeItem>
      <ddeItem name="2106.AskPrice" advise="1">
        <values>
          <value>
            <val>29</val>
          </value>
        </values>
      </ddeItem>
      <ddeItem name="2106.BidPrice" advise="1">
        <values>
          <value>
            <val>28.95</val>
          </value>
        </values>
      </ddeItem>
      <ddeItem name="2106.Change" advise="1">
        <values>
          <value>
            <val>0.45</val>
          </value>
        </values>
      </ddeItem>
      <ddeItem name="2106.ChangePercent" advise="1">
        <values>
          <value>
            <val>1.5800000000000002E-2</val>
          </value>
        </values>
      </ddeItem>
      <ddeItem name="2106.CumulativeVolume" advise="1">
        <values>
          <value>
            <val>1676</val>
          </value>
        </values>
      </ddeItem>
      <ddeItem name="2106.Open" advise="1">
        <values>
          <value>
            <val>29.95</val>
          </value>
        </values>
      </ddeItem>
      <ddeItem name="2106.PreOpenPrice" advise="1">
        <values>
          <value>
            <val>28.95</val>
          </value>
        </values>
      </ddeItem>
      <ddeItem name="2106.PreviousPrice" advise="1">
        <values>
          <value>
            <val>28.5</val>
          </value>
        </values>
      </ddeItem>
      <ddeItem name="2106.PreviousVolume" advise="1">
        <values>
          <value>
            <val>1174</val>
          </value>
        </values>
      </ddeItem>
      <ddeItem name="2106.Price" advise="1">
        <values>
          <value>
            <val>28.95</val>
          </value>
        </values>
      </ddeItem>
      <ddeItem name="2106.Volume" advise="1">
        <values>
          <value>
            <val>35</val>
          </value>
        </values>
      </ddeItem>
      <ddeItem name="2108.AskPrice" advise="1">
        <values>
          <value>
            <val>37</val>
          </value>
        </values>
      </ddeItem>
      <ddeItem name="2108.BidPrice" advise="1">
        <values>
          <value>
            <val>36.950000000000003</val>
          </value>
        </values>
      </ddeItem>
      <ddeItem name="2108.Change" advise="1">
        <values>
          <value>
            <val>-1.3</val>
          </value>
        </values>
      </ddeItem>
      <ddeItem name="2108.ChangePercent" advise="1">
        <values>
          <value>
            <val>-3.4000000000000002E-2</val>
          </value>
        </values>
      </ddeItem>
      <ddeItem name="2108.CumulativeVolume" advise="1">
        <values>
          <value>
            <val>1991</val>
          </value>
        </values>
      </ddeItem>
      <ddeItem name="2108.Open" advise="1">
        <values>
          <value>
            <val>38.25</val>
          </value>
        </values>
      </ddeItem>
      <ddeItem name="2108.PreOpenPrice" advise="1">
        <values>
          <value>
            <val>36.950000000000003</val>
          </value>
        </values>
      </ddeItem>
      <ddeItem name="2108.PreviousPrice" advise="1">
        <values>
          <value>
            <val>38.25</val>
          </value>
        </values>
      </ddeItem>
      <ddeItem name="2108.PreviousVolume" advise="1">
        <values>
          <value>
            <val>2510</val>
          </value>
        </values>
      </ddeItem>
      <ddeItem name="2108.Price" advise="1">
        <values>
          <value>
            <val>36.950000000000003</val>
          </value>
        </values>
      </ddeItem>
      <ddeItem name="2108.Volume" advise="1">
        <values>
          <value>
            <val>53</val>
          </value>
        </values>
      </ddeItem>
      <ddeItem name="2201.AskPrice" advise="1">
        <values>
          <value>
            <val>24.55</val>
          </value>
        </values>
      </ddeItem>
      <ddeItem name="2201.BidPrice" advise="1">
        <values>
          <value>
            <val>24.5</val>
          </value>
        </values>
      </ddeItem>
      <ddeItem name="2201.Change" advise="1">
        <values>
          <value>
            <val>0.35</val>
          </value>
        </values>
      </ddeItem>
      <ddeItem name="2201.ChangePercent" advise="1">
        <values>
          <value>
            <val>1.4500000000000001E-2</val>
          </value>
        </values>
      </ddeItem>
      <ddeItem name="2201.CumulativeVolume" advise="1">
        <values>
          <value>
            <val>12116</val>
          </value>
        </values>
      </ddeItem>
      <ddeItem name="2201.Open" advise="1">
        <values>
          <value>
            <val>24.15</val>
          </value>
        </values>
      </ddeItem>
      <ddeItem name="2201.PreOpenPrice" advise="1">
        <values>
          <value>
            <val>24.55</val>
          </value>
        </values>
      </ddeItem>
      <ddeItem name="2201.PreviousPrice" advise="1">
        <values>
          <value>
            <val>24.2</val>
          </value>
        </values>
      </ddeItem>
      <ddeItem name="2201.PreviousVolume" advise="1">
        <values>
          <value>
            <val>9115</val>
          </value>
        </values>
      </ddeItem>
      <ddeItem name="2201.Price" advise="1">
        <values>
          <value>
            <val>24.55</val>
          </value>
        </values>
      </ddeItem>
      <ddeItem name="2201.Volume" advise="1">
        <values>
          <value>
            <val>337</val>
          </value>
        </values>
      </ddeItem>
      <ddeItem name="2204.AskPrice" advise="1">
        <values>
          <value>
            <val>40.799999999999997</val>
          </value>
        </values>
      </ddeItem>
      <ddeItem name="2204.BidPrice" advise="1">
        <values>
          <value>
            <val>40.700000000000003</val>
          </value>
        </values>
      </ddeItem>
      <ddeItem name="2204.Change" advise="1">
        <values>
          <value>
            <val>1</val>
          </value>
        </values>
      </ddeItem>
      <ddeItem name="2204.ChangePercent" advise="1">
        <values>
          <value>
            <val>2.52E-2</val>
          </value>
        </values>
      </ddeItem>
      <ddeItem name="2204.CumulativeVolume" advise="1">
        <values>
          <value>
            <val>1550</val>
          </value>
        </values>
      </ddeItem>
      <ddeItem name="2204.Open" advise="1">
        <values>
          <value>
            <val>40.049999999999997</val>
          </value>
        </values>
      </ddeItem>
      <ddeItem name="2204.PreOpenPrice" advise="1">
        <values>
          <value>
            <val>40.700000000000003</val>
          </value>
        </values>
      </ddeItem>
      <ddeItem name="2204.PreviousPrice" advise="1">
        <values>
          <value>
            <val>39.700000000000003</val>
          </value>
        </values>
      </ddeItem>
      <ddeItem name="2204.PreviousVolume" advise="1">
        <values>
          <value>
            <val>776</val>
          </value>
        </values>
      </ddeItem>
      <ddeItem name="2204.Price" advise="1">
        <values>
          <value>
            <val>40.700000000000003</val>
          </value>
        </values>
      </ddeItem>
      <ddeItem name="2204.Volume" advise="1">
        <values>
          <value>
            <val>39</val>
          </value>
        </values>
      </ddeItem>
      <ddeItem name="2206.AskPrice" advise="1">
        <values>
          <value>
            <val>23.05</val>
          </value>
        </values>
      </ddeItem>
      <ddeItem name="2206.BidPrice" advise="1">
        <values>
          <value>
            <val>23</val>
          </value>
        </values>
      </ddeItem>
      <ddeItem name="2206.Change" advise="1">
        <values>
          <value>
            <val>-0.2</val>
          </value>
        </values>
      </ddeItem>
      <ddeItem name="2206.ChangePercent" advise="1">
        <values>
          <value>
            <val>-8.6E-3</val>
          </value>
        </values>
      </ddeItem>
      <ddeItem name="2206.CumulativeVolume" advise="1">
        <values>
          <value>
            <val>4001</val>
          </value>
        </values>
      </ddeItem>
      <ddeItem name="2206.Open" advise="1">
        <values>
          <value>
            <val>23.2</val>
          </value>
        </values>
      </ddeItem>
      <ddeItem name="2206.PreOpenPrice" advise="1">
        <values>
          <value>
            <val>23</val>
          </value>
        </values>
      </ddeItem>
      <ddeItem name="2206.PreviousPrice" advise="1">
        <values>
          <value>
            <val>23.2</val>
          </value>
        </values>
      </ddeItem>
      <ddeItem name="2206.PreviousVolume" advise="1">
        <values>
          <value>
            <val>5284</val>
          </value>
        </values>
      </ddeItem>
      <ddeItem name="2206.Price" advise="1">
        <values>
          <value>
            <val>23</val>
          </value>
        </values>
      </ddeItem>
      <ddeItem name="2206.Volume" advise="1">
        <values>
          <value>
            <val>133</val>
          </value>
        </values>
      </ddeItem>
      <ddeItem name="2207.AskPrice" advise="1">
        <values>
          <value>
            <val>655</val>
          </value>
        </values>
      </ddeItem>
      <ddeItem name="2207.BidPrice" advise="1">
        <values>
          <value>
            <val>652</val>
          </value>
        </values>
      </ddeItem>
      <ddeItem name="2207.Change" advise="1">
        <values>
          <value>
            <val>-16</val>
          </value>
        </values>
      </ddeItem>
      <ddeItem name="2207.ChangePercent" advise="1">
        <values>
          <value>
            <val>-2.4E-2</val>
          </value>
        </values>
      </ddeItem>
      <ddeItem name="2207.CumulativeVolume" advise="1">
        <values>
          <value>
            <val>261</val>
          </value>
        </values>
      </ddeItem>
      <ddeItem name="2207.Open" advise="1">
        <values>
          <value>
            <val>668</val>
          </value>
        </values>
      </ddeItem>
      <ddeItem name="2207.PreOpenPrice" advise="1">
        <values>
          <value>
            <val>652</val>
          </value>
        </values>
      </ddeItem>
      <ddeItem name="2207.PreviousPrice" advise="1">
        <values>
          <value>
            <val>668</val>
          </value>
        </values>
      </ddeItem>
      <ddeItem name="2207.PreviousVolume" advise="1">
        <values>
          <value>
            <val>273</val>
          </value>
        </values>
      </ddeItem>
      <ddeItem name="2207.Price" advise="1">
        <values>
          <value>
            <val>652</val>
          </value>
        </values>
      </ddeItem>
      <ddeItem name="2207.Volume" advise="1">
        <values>
          <value>
            <val>54</val>
          </value>
        </values>
      </ddeItem>
      <ddeItem name="2227.AskPrice" advise="1">
        <values>
          <value>
            <val>281</val>
          </value>
        </values>
      </ddeItem>
      <ddeItem name="2227.BidPrice" advise="1">
        <values>
          <value>
            <val>280.5</val>
          </value>
        </values>
      </ddeItem>
      <ddeItem name="2227.Change" advise="1">
        <values>
          <value>
            <val>1</val>
          </value>
        </values>
      </ddeItem>
      <ddeItem name="2227.ChangePercent" advise="1">
        <values>
          <value>
            <val>3.5999999999999999E-3</val>
          </value>
        </values>
      </ddeItem>
      <ddeItem name="2227.CumulativeVolume" advise="1">
        <values>
          <value>
            <val>574</val>
          </value>
        </values>
      </ddeItem>
      <ddeItem name="2227.Open" advise="1">
        <values>
          <value>
            <val>280</val>
          </value>
        </values>
      </ddeItem>
      <ddeItem name="2227.PreOpenPrice" advise="1">
        <values>
          <value>
            <val>281</val>
          </value>
        </values>
      </ddeItem>
      <ddeItem name="2227.PreviousPrice" advise="1">
        <values>
          <value>
            <val>280</val>
          </value>
        </values>
      </ddeItem>
      <ddeItem name="2227.PreviousVolume" advise="1">
        <values>
          <value>
            <val>362</val>
          </value>
        </values>
      </ddeItem>
      <ddeItem name="2227.Price" advise="1">
        <values>
          <value>
            <val>281</val>
          </value>
        </values>
      </ddeItem>
      <ddeItem name="2227.Volume" advise="1">
        <values>
          <value>
            <val>60</val>
          </value>
        </values>
      </ddeItem>
      <ddeItem name="2231.AskPrice" advise="1">
        <values>
          <value>
            <val>118.5</val>
          </value>
        </values>
      </ddeItem>
      <ddeItem name="2231.BidPrice" advise="1">
        <values>
          <value>
            <val>118</val>
          </value>
        </values>
      </ddeItem>
      <ddeItem name="2231.Change" advise="1">
        <values>
          <value>
            <val>-1</val>
          </value>
        </values>
      </ddeItem>
      <ddeItem name="2231.ChangePercent" advise="1">
        <values>
          <value>
            <val>-8.3999999999999995E-3</val>
          </value>
        </values>
      </ddeItem>
      <ddeItem name="2231.CumulativeVolume" advise="1">
        <values>
          <value>
            <val>606</val>
          </value>
        </values>
      </ddeItem>
      <ddeItem name="2231.Open" advise="1">
        <values>
          <value>
            <val>119.5</val>
          </value>
        </values>
      </ddeItem>
      <ddeItem name="2231.PreOpenPrice" advise="1">
        <values>
          <value>
            <val>118</val>
          </value>
        </values>
      </ddeItem>
      <ddeItem name="2231.PreviousPrice" advise="1">
        <values>
          <value>
            <val>119</val>
          </value>
        </values>
      </ddeItem>
      <ddeItem name="2231.PreviousVolume" advise="1">
        <values>
          <value>
            <val>518</val>
          </value>
        </values>
      </ddeItem>
      <ddeItem name="2231.Price" advise="1">
        <values>
          <value>
            <val>118</val>
          </value>
        </values>
      </ddeItem>
      <ddeItem name="2231.Volume" advise="1">
        <values>
          <value>
            <val>31</val>
          </value>
        </values>
      </ddeItem>
      <ddeItem name="2301.AskPrice" advise="1">
        <values>
          <value>
            <val>48</val>
          </value>
        </values>
      </ddeItem>
      <ddeItem name="2301.BidPrice" advise="1">
        <values>
          <value>
            <val>47.95</val>
          </value>
        </values>
      </ddeItem>
      <ddeItem name="2301.Change" advise="1">
        <values>
          <value>
            <val>-0.5</val>
          </value>
        </values>
      </ddeItem>
      <ddeItem name="2301.ChangePercent" advise="1">
        <values>
          <value>
            <val>-1.03E-2</val>
          </value>
        </values>
      </ddeItem>
      <ddeItem name="2301.CumulativeVolume" advise="1">
        <values>
          <value>
            <val>7619</val>
          </value>
        </values>
      </ddeItem>
      <ddeItem name="2301.Open" advise="1">
        <values>
          <value>
            <val>48.45</val>
          </value>
        </values>
      </ddeItem>
      <ddeItem name="2301.PreOpenPrice" advise="1">
        <values>
          <value>
            <val>48</val>
          </value>
        </values>
      </ddeItem>
      <ddeItem name="2301.PreviousPrice" advise="1">
        <values>
          <value>
            <val>48.5</val>
          </value>
        </values>
      </ddeItem>
      <ddeItem name="2301.PreviousVolume" advise="1">
        <values>
          <value>
            <val>5415</val>
          </value>
        </values>
      </ddeItem>
      <ddeItem name="2301.Price" advise="1">
        <values>
          <value>
            <val>48</val>
          </value>
        </values>
      </ddeItem>
      <ddeItem name="2301.Volume" advise="1">
        <values>
          <value>
            <val>896</val>
          </value>
        </values>
      </ddeItem>
      <ddeItem name="2303.AskPrice" advise="1">
        <values>
          <value>
            <val>25.05</val>
          </value>
        </values>
      </ddeItem>
      <ddeItem name="2303.BidPrice" advise="1">
        <values>
          <value>
            <val>25</val>
          </value>
        </values>
      </ddeItem>
      <ddeItem name="2303.Change" advise="1">
        <values>
          <value>
            <val>-0.3</val>
          </value>
        </values>
      </ddeItem>
      <ddeItem name="2303.ChangePercent" advise="1">
        <values>
          <value>
            <val>-1.1900000000000001E-2</val>
          </value>
        </values>
      </ddeItem>
      <ddeItem name="2303.CumulativeVolume" advise="1">
        <values>
          <value>
            <val>144099</val>
          </value>
        </values>
      </ddeItem>
      <ddeItem name="2303.Open" advise="1">
        <values>
          <value>
            <val>25.5</val>
          </value>
        </values>
      </ddeItem>
      <ddeItem name="2303.PreOpenPrice" advise="1">
        <values>
          <value>
            <val>25</val>
          </value>
        </values>
      </ddeItem>
      <ddeItem name="2303.PreviousPrice" advise="1">
        <values>
          <value>
            <val>25.3</val>
          </value>
        </values>
      </ddeItem>
      <ddeItem name="2303.PreviousVolume" advise="1">
        <values>
          <value>
            <val>187529</val>
          </value>
        </values>
      </ddeItem>
      <ddeItem name="2303.Price" advise="1">
        <values>
          <value>
            <val>25</val>
          </value>
        </values>
      </ddeItem>
      <ddeItem name="2303.Volume" advise="1">
        <values>
          <value>
            <val>8715</val>
          </value>
        </values>
      </ddeItem>
      <ddeItem name="2308.AskPrice" advise="1">
        <values>
          <value>
            <val>199.5</val>
          </value>
        </values>
      </ddeItem>
      <ddeItem name="2308.BidPrice" advise="1">
        <values>
          <value>
            <val>199</val>
          </value>
        </values>
      </ddeItem>
      <ddeItem name="2308.Change" advise="1">
        <values>
          <value>
            <val>-2</val>
          </value>
        </values>
      </ddeItem>
      <ddeItem name="2308.ChangePercent" advise="1">
        <values>
          <value>
            <val>-9.9000000000000008E-3</val>
          </value>
        </values>
      </ddeItem>
      <ddeItem name="2308.CumulativeVolume" advise="1">
        <values>
          <value>
            <val>8196</val>
          </value>
        </values>
      </ddeItem>
      <ddeItem name="2308.Open" advise="1">
        <values>
          <value>
            <val>205</val>
          </value>
        </values>
      </ddeItem>
      <ddeItem name="2308.PreOpenPrice" advise="1">
        <values>
          <value>
            <val>199</val>
          </value>
        </values>
      </ddeItem>
      <ddeItem name="2308.PreviousPrice" advise="1">
        <values>
          <value>
            <val>201.5</val>
          </value>
        </values>
      </ddeItem>
      <ddeItem name="2308.PreviousVolume" advise="1">
        <values>
          <value>
            <val>7545</val>
          </value>
        </values>
      </ddeItem>
      <ddeItem name="2308.Price" advise="1">
        <values>
          <value>
            <val>199.5</val>
          </value>
        </values>
      </ddeItem>
      <ddeItem name="2308.Volume" advise="1">
        <values>
          <value>
            <val>737</val>
          </value>
        </values>
      </ddeItem>
      <ddeItem name="2312.AskPrice" advise="1">
        <values>
          <value>
            <val>10.1</val>
          </value>
        </values>
      </ddeItem>
      <ddeItem name="2312.BidPrice" advise="1">
        <values>
          <value>
            <val>10.050000000000001</val>
          </value>
        </values>
      </ddeItem>
      <ddeItem name="2312.Change" advise="1">
        <values>
          <value>
            <val>-0.15</val>
          </value>
        </values>
      </ddeItem>
      <ddeItem name="2312.ChangePercent" advise="1">
        <values>
          <value>
            <val>-1.47E-2</val>
          </value>
        </values>
      </ddeItem>
      <ddeItem name="2312.CumulativeVolume" advise="1">
        <values>
          <value>
            <val>4094</val>
          </value>
        </values>
      </ddeItem>
      <ddeItem name="2312.Open" advise="1">
        <values>
          <value>
            <val>10.199999999999999</val>
          </value>
        </values>
      </ddeItem>
      <ddeItem name="2312.PreOpenPrice" advise="1">
        <values>
          <value>
            <val>10.050000000000001</val>
          </value>
        </values>
      </ddeItem>
      <ddeItem name="2312.PreviousPrice" advise="1">
        <values>
          <value>
            <val>10.199999999999999</val>
          </value>
        </values>
      </ddeItem>
      <ddeItem name="2312.PreviousVolume" advise="1">
        <values>
          <value>
            <val>4868</val>
          </value>
        </values>
      </ddeItem>
      <ddeItem name="2312.Price" advise="1">
        <values>
          <value>
            <val>10.050000000000001</val>
          </value>
        </values>
      </ddeItem>
      <ddeItem name="2312.Volume" advise="1">
        <values>
          <value>
            <val>547</val>
          </value>
        </values>
      </ddeItem>
      <ddeItem name="2313.AskPrice" advise="1">
        <values>
          <value>
            <val>52.6</val>
          </value>
        </values>
      </ddeItem>
      <ddeItem name="2313.BidPrice" advise="1">
        <values>
          <value>
            <val>52.5</val>
          </value>
        </values>
      </ddeItem>
      <ddeItem name="2313.Change" advise="1">
        <values>
          <value>
            <val>1.5</val>
          </value>
        </values>
      </ddeItem>
      <ddeItem name="2313.ChangePercent" advise="1">
        <values>
          <value>
            <val>2.9399999999999999E-2</val>
          </value>
        </values>
      </ddeItem>
      <ddeItem name="2313.CumulativeVolume" advise="1">
        <values>
          <value>
            <val>59652</val>
          </value>
        </values>
      </ddeItem>
      <ddeItem name="2313.Open" advise="1">
        <values>
          <value>
            <val>51.7</val>
          </value>
        </values>
      </ddeItem>
      <ddeItem name="2313.PreOpenPrice" advise="1">
        <values>
          <value>
            <val>52.5</val>
          </value>
        </values>
      </ddeItem>
      <ddeItem name="2313.PreviousPrice" advise="1">
        <values>
          <value>
            <val>51</val>
          </value>
        </values>
      </ddeItem>
      <ddeItem name="2313.PreviousVolume" advise="1">
        <values>
          <value>
            <val>59277</val>
          </value>
        </values>
      </ddeItem>
      <ddeItem name="2313.Price" advise="1">
        <values>
          <value>
            <val>52.5</val>
          </value>
        </values>
      </ddeItem>
      <ddeItem name="2313.Volume" advise="1">
        <values>
          <value>
            <val>1484</val>
          </value>
        </values>
      </ddeItem>
      <ddeItem name="2317.AskPrice" advise="1">
        <values>
          <value>
            <val>79.900000000000006</val>
          </value>
        </values>
      </ddeItem>
      <ddeItem name="2317.BidPrice" advise="1">
        <values>
          <value>
            <val>79.8</val>
          </value>
        </values>
      </ddeItem>
      <ddeItem name="2317.Change" advise="1">
        <values>
          <value>
            <val>-0.7</val>
          </value>
        </values>
      </ddeItem>
      <ddeItem name="2317.ChangePercent" advise="1">
        <values>
          <value>
            <val>-8.6999999999999994E-3</val>
          </value>
        </values>
      </ddeItem>
      <ddeItem name="2317.CumulativeVolume" advise="1">
        <values>
          <value>
            <val>30625</val>
          </value>
        </values>
      </ddeItem>
      <ddeItem name="2317.Open" advise="1">
        <values>
          <value>
            <val>81</val>
          </value>
        </values>
      </ddeItem>
      <ddeItem name="2317.PreOpenPrice" advise="1">
        <values>
          <value>
            <val>79.8</val>
          </value>
        </values>
      </ddeItem>
      <ddeItem name="2317.PreviousPrice" advise="1">
        <values>
          <value>
            <val>80.5</val>
          </value>
        </values>
      </ddeItem>
      <ddeItem name="2317.PreviousVolume" advise="1">
        <values>
          <value>
            <val>49679</val>
          </value>
        </values>
      </ddeItem>
      <ddeItem name="2317.Price" advise="1">
        <values>
          <value>
            <val>79.8</val>
          </value>
        </values>
      </ddeItem>
      <ddeItem name="2317.Volume" advise="1">
        <values>
          <value>
            <val>2568</val>
          </value>
        </values>
      </ddeItem>
      <ddeItem name="2324.AskPrice" advise="1">
        <values>
          <value>
            <val>18.850000000000001</val>
          </value>
        </values>
      </ddeItem>
      <ddeItem name="2324.BidPrice" advise="1">
        <values>
          <value>
            <val>18.8</val>
          </value>
        </values>
      </ddeItem>
      <ddeItem name="2324.Change" advise="1">
        <values>
          <value>
            <val>-0.2</val>
          </value>
        </values>
      </ddeItem>
      <ddeItem name="2324.ChangePercent" advise="1">
        <values>
          <value>
            <val>-1.0500000000000001E-2</val>
          </value>
        </values>
      </ddeItem>
      <ddeItem name="2324.CumulativeVolume" advise="1">
        <values>
          <value>
            <val>11325</val>
          </value>
        </values>
      </ddeItem>
      <ddeItem name="2324.Open" advise="1">
        <values>
          <value>
            <val>19.100000000000001</val>
          </value>
        </values>
      </ddeItem>
      <ddeItem name="2324.PreOpenPrice" advise="1">
        <values>
          <value>
            <val>18.8</val>
          </value>
        </values>
      </ddeItem>
      <ddeItem name="2324.PreviousPrice" advise="1">
        <values>
          <value>
            <val>19</val>
          </value>
        </values>
      </ddeItem>
      <ddeItem name="2324.PreviousVolume" advise="1">
        <values>
          <value>
            <val>14860</val>
          </value>
        </values>
      </ddeItem>
      <ddeItem name="2324.Price" advise="1">
        <values>
          <value>
            <val>18.8</val>
          </value>
        </values>
      </ddeItem>
      <ddeItem name="2324.Volume" advise="1">
        <values>
          <value>
            <val>1152</val>
          </value>
        </values>
      </ddeItem>
      <ddeItem name="2327.AskPrice" advise="1">
        <values>
          <value>
            <val>386</val>
          </value>
        </values>
      </ddeItem>
      <ddeItem name="2327.BidPrice" advise="1">
        <values>
          <value>
            <val>385.5</val>
          </value>
        </values>
      </ddeItem>
      <ddeItem name="2327.Change" advise="1">
        <values>
          <value>
            <val>1</val>
          </value>
        </values>
      </ddeItem>
      <ddeItem name="2327.ChangePercent" advise="1">
        <values>
          <value>
            <val>2.5999999999999999E-3</val>
          </value>
        </values>
      </ddeItem>
      <ddeItem name="2327.CumulativeVolume" advise="1">
        <values>
          <value>
            <val>6210</val>
          </value>
        </values>
      </ddeItem>
      <ddeItem name="2327.Open" advise="1">
        <values>
          <value>
            <val>386</val>
          </value>
        </values>
      </ddeItem>
      <ddeItem name="2327.PreOpenPrice" advise="1">
        <values>
          <value>
            <val>385.5</val>
          </value>
        </values>
      </ddeItem>
      <ddeItem name="2327.PreviousPrice" advise="1">
        <values>
          <value>
            <val>384.5</val>
          </value>
        </values>
      </ddeItem>
      <ddeItem name="2327.PreviousVolume" advise="1">
        <values>
          <value>
            <val>8266</val>
          </value>
        </values>
      </ddeItem>
      <ddeItem name="2327.Price" advise="1">
        <values>
          <value>
            <val>385.5</val>
          </value>
        </values>
      </ddeItem>
      <ddeItem name="2327.Volume" advise="1">
        <values>
          <value>
            <val>386</val>
          </value>
        </values>
      </ddeItem>
      <ddeItem name="2330.AskPrice" advise="1">
        <values>
          <value>
            <val>429.5</val>
          </value>
        </values>
      </ddeItem>
      <ddeItem name="2330.BidPrice" advise="1">
        <values>
          <value>
            <val>429</val>
          </value>
        </values>
      </ddeItem>
      <ddeItem name="2330.Change" advise="1">
        <values>
          <value>
            <val>-6.5</val>
          </value>
        </values>
      </ddeItem>
      <ddeItem name="2330.ChangePercent" advise="1">
        <values>
          <value>
            <val>-1.49E-2</val>
          </value>
        </values>
      </ddeItem>
      <ddeItem name="2330.CumulativeVolume" advise="1">
        <values>
          <value>
            <val>34011</val>
          </value>
        </values>
      </ddeItem>
      <ddeItem name="2330.Open" advise="1">
        <values>
          <value>
            <val>432</val>
          </value>
        </values>
      </ddeItem>
      <ddeItem name="2330.PreOpenPrice" advise="1">
        <values>
          <value>
            <val>429</val>
          </value>
        </values>
      </ddeItem>
      <ddeItem name="2330.PreviousPrice" advise="1">
        <values>
          <value>
            <val>435.5</val>
          </value>
        </values>
      </ddeItem>
      <ddeItem name="2330.PreviousVolume" advise="1">
        <values>
          <value>
            <val>35971</val>
          </value>
        </values>
      </ddeItem>
      <ddeItem name="2330.Price" advise="1">
        <values>
          <value>
            <val>429</val>
          </value>
        </values>
      </ddeItem>
      <ddeItem name="2330.Volume" advise="1">
        <values>
          <value>
            <val>6691</val>
          </value>
        </values>
      </ddeItem>
      <ddeItem name="2337.AskPrice" advise="1">
        <values>
          <value>
            <val>30.65</val>
          </value>
        </values>
      </ddeItem>
      <ddeItem name="2337.BidPrice" advise="1">
        <values>
          <value>
            <val>30.6</val>
          </value>
        </values>
      </ddeItem>
      <ddeItem name="2337.Change" advise="1">
        <values>
          <value>
            <val>0.1</val>
          </value>
        </values>
      </ddeItem>
      <ddeItem name="2337.ChangePercent" advise="1">
        <values>
          <value>
            <val>3.3E-3</val>
          </value>
        </values>
      </ddeItem>
      <ddeItem name="2337.CumulativeVolume" advise="1">
        <values>
          <value>
            <val>23099</val>
          </value>
        </values>
      </ddeItem>
      <ddeItem name="2337.Open" advise="1">
        <values>
          <value>
            <val>30.6</val>
          </value>
        </values>
      </ddeItem>
      <ddeItem name="2337.PreOpenPrice" advise="1">
        <values>
          <value>
            <val>30.6</val>
          </value>
        </values>
      </ddeItem>
      <ddeItem name="2337.PreviousPrice" advise="1">
        <values>
          <value>
            <val>30.5</val>
          </value>
        </values>
      </ddeItem>
      <ddeItem name="2337.PreviousVolume" advise="1">
        <values>
          <value>
            <val>15119</val>
          </value>
        </values>
      </ddeItem>
      <ddeItem name="2337.Price" advise="1">
        <values>
          <value>
            <val>30.6</val>
          </value>
        </values>
      </ddeItem>
      <ddeItem name="2337.Volume" advise="1">
        <values>
          <value>
            <val>1017</val>
          </value>
        </values>
      </ddeItem>
      <ddeItem name="2344.AskPrice" advise="1">
        <values>
          <value>
            <val>13.2</val>
          </value>
        </values>
      </ddeItem>
      <ddeItem name="2344.BidPrice" advise="1">
        <values>
          <value>
            <val>13.15</val>
          </value>
        </values>
      </ddeItem>
      <ddeItem name="2344.Change" advise="1">
        <values>
          <value>
            <val>0</val>
          </value>
        </values>
      </ddeItem>
      <ddeItem name="2344.ChangePercent" advise="1">
        <values>
          <value>
            <val>0</val>
          </value>
        </values>
      </ddeItem>
      <ddeItem name="2344.CumulativeVolume" advise="1">
        <values>
          <value>
            <val>16874</val>
          </value>
        </values>
      </ddeItem>
      <ddeItem name="2344.Open" advise="1">
        <values>
          <value>
            <val>13.25</val>
          </value>
        </values>
      </ddeItem>
      <ddeItem name="2344.PreOpenPrice" advise="1">
        <values>
          <value>
            <val>13.15</val>
          </value>
        </values>
      </ddeItem>
      <ddeItem name="2344.PreviousPrice" advise="1">
        <values>
          <value>
            <val>13.15</val>
          </value>
        </values>
      </ddeItem>
      <ddeItem name="2344.PreviousVolume" advise="1">
        <values>
          <value>
            <val>14368</val>
          </value>
        </values>
      </ddeItem>
      <ddeItem name="2344.Price" advise="1">
        <values>
          <value>
            <val>13.15</val>
          </value>
        </values>
      </ddeItem>
      <ddeItem name="2344.Volume" advise="1">
        <values>
          <value>
            <val>964</val>
          </value>
        </values>
      </ddeItem>
      <ddeItem name="2345.AskPrice" advise="1">
        <values>
          <value>
            <val>209.5</val>
          </value>
        </values>
      </ddeItem>
      <ddeItem name="2345.BidPrice" advise="1">
        <values>
          <value>
            <val>209</val>
          </value>
        </values>
      </ddeItem>
      <ddeItem name="2345.Change" advise="1">
        <values>
          <value>
            <val>-11</val>
          </value>
        </values>
      </ddeItem>
      <ddeItem name="2345.ChangePercent" advise="1">
        <values>
          <value>
            <val>-0.05</val>
          </value>
        </values>
      </ddeItem>
      <ddeItem name="2345.CumulativeVolume" advise="1">
        <values>
          <value>
            <val>8082</val>
          </value>
        </values>
      </ddeItem>
      <ddeItem name="2345.Open" advise="1">
        <values>
          <value>
            <val>218.5</val>
          </value>
        </values>
      </ddeItem>
      <ddeItem name="2345.PreOpenPrice" advise="1">
        <values>
          <value>
            <val>209</val>
          </value>
        </values>
      </ddeItem>
      <ddeItem name="2345.PreviousPrice" advise="1">
        <values>
          <value>
            <val>220</val>
          </value>
        </values>
      </ddeItem>
      <ddeItem name="2345.PreviousVolume" advise="1">
        <values>
          <value>
            <val>3283</val>
          </value>
        </values>
      </ddeItem>
      <ddeItem name="2345.Price" advise="1">
        <values>
          <value>
            <val>209</val>
          </value>
        </values>
      </ddeItem>
      <ddeItem name="2345.Volume" advise="1">
        <values>
          <value>
            <val>509</val>
          </value>
        </values>
      </ddeItem>
      <ddeItem name="2347.AskPrice" advise="1">
        <values>
          <value>
            <val>44.5</val>
          </value>
        </values>
      </ddeItem>
      <ddeItem name="2347.BidPrice" advise="1">
        <values>
          <value>
            <val>44.4</val>
          </value>
        </values>
      </ddeItem>
      <ddeItem name="2347.Change" advise="1">
        <values>
          <value>
            <val>1.6</val>
          </value>
        </values>
      </ddeItem>
      <ddeItem name="2347.ChangePercent" advise="1">
        <values>
          <value>
            <val>3.7400000000000003E-2</val>
          </value>
        </values>
      </ddeItem>
      <ddeItem name="2347.CumulativeVolume" advise="1">
        <values>
          <value>
            <val>10977</val>
          </value>
        </values>
      </ddeItem>
      <ddeItem name="2347.Open" advise="1">
        <values>
          <value>
            <val>43.5</val>
          </value>
        </values>
      </ddeItem>
      <ddeItem name="2347.PreOpenPrice" advise="1">
        <values>
          <value>
            <val>44.4</val>
          </value>
        </values>
      </ddeItem>
      <ddeItem name="2347.PreviousPrice" advise="1">
        <values>
          <value>
            <val>42.8</val>
          </value>
        </values>
      </ddeItem>
      <ddeItem name="2347.PreviousVolume" advise="1">
        <values>
          <value>
            <val>2357</val>
          </value>
        </values>
      </ddeItem>
      <ddeItem name="2347.Price" advise="1">
        <values>
          <value>
            <val>44.4</val>
          </value>
        </values>
      </ddeItem>
      <ddeItem name="2347.Volume" advise="1">
        <values>
          <value>
            <val>663</val>
          </value>
        </values>
      </ddeItem>
      <ddeItem name="2352.AskPrice" advise="1">
        <values>
          <value>
            <val>18.100000000000001</val>
          </value>
        </values>
      </ddeItem>
      <ddeItem name="2352.BidPrice" advise="1">
        <values>
          <value>
            <val>18.05</val>
          </value>
        </values>
      </ddeItem>
      <ddeItem name="2352.Change" advise="1">
        <values>
          <value>
            <val>-0.2</val>
          </value>
        </values>
      </ddeItem>
      <ddeItem name="2352.ChangePercent" advise="1">
        <values>
          <value>
            <val>-1.0999999999999999E-2</val>
          </value>
        </values>
      </ddeItem>
      <ddeItem name="2352.CumulativeVolume" advise="1">
        <values>
          <value>
            <val>5564</val>
          </value>
        </values>
      </ddeItem>
      <ddeItem name="2352.Open" advise="1">
        <values>
          <value>
            <val>18.399999999999999</val>
          </value>
        </values>
      </ddeItem>
      <ddeItem name="2352.PreOpenPrice" advise="1">
        <values>
          <value>
            <val>18.05</val>
          </value>
        </values>
      </ddeItem>
      <ddeItem name="2352.PreviousPrice" advise="1">
        <values>
          <value>
            <val>18.25</val>
          </value>
        </values>
      </ddeItem>
      <ddeItem name="2352.PreviousVolume" advise="1">
        <values>
          <value>
            <val>12528</val>
          </value>
        </values>
      </ddeItem>
      <ddeItem name="2352.Price" advise="1">
        <values>
          <value>
            <val>18.05</val>
          </value>
        </values>
      </ddeItem>
      <ddeItem name="2352.Volume" advise="1">
        <values>
          <value>
            <val>133</val>
          </value>
        </values>
      </ddeItem>
      <ddeItem name="2353.AskPrice" advise="1">
        <values>
          <value>
            <val>22.55</val>
          </value>
        </values>
      </ddeItem>
      <ddeItem name="2353.BidPrice" advise="1">
        <values>
          <value>
            <val>22.5</val>
          </value>
        </values>
      </ddeItem>
      <ddeItem name="2353.Change" advise="1">
        <values>
          <value>
            <val>-0.65</val>
          </value>
        </values>
      </ddeItem>
      <ddeItem name="2353.ChangePercent" advise="1">
        <values>
          <value>
            <val>-2.8000000000000001E-2</val>
          </value>
        </values>
      </ddeItem>
      <ddeItem name="2353.CumulativeVolume" advise="1">
        <values>
          <value>
            <val>59655</val>
          </value>
        </values>
      </ddeItem>
      <ddeItem name="2353.Open" advise="1">
        <values>
          <value>
            <val>23.2</val>
          </value>
        </values>
      </ddeItem>
      <ddeItem name="2353.PreOpenPrice" advise="1">
        <values>
          <value>
            <val>22.55</val>
          </value>
        </values>
      </ddeItem>
      <ddeItem name="2353.PreviousPrice" advise="1">
        <values>
          <value>
            <val>23.2</val>
          </value>
        </values>
      </ddeItem>
      <ddeItem name="2353.PreviousVolume" advise="1">
        <values>
          <value>
            <val>106674</val>
          </value>
        </values>
      </ddeItem>
      <ddeItem name="2353.Price" advise="1">
        <values>
          <value>
            <val>22.55</val>
          </value>
        </values>
      </ddeItem>
      <ddeItem name="2353.Volume" advise="1">
        <values>
          <value>
            <val>2344</val>
          </value>
        </values>
      </ddeItem>
      <ddeItem name="2354.AskPrice" advise="1">
        <values>
          <value>
            <val>53.8</val>
          </value>
        </values>
      </ddeItem>
      <ddeItem name="2354.BidPrice" advise="1">
        <values>
          <value>
            <val>53.7</val>
          </value>
        </values>
      </ddeItem>
      <ddeItem name="2354.Change" advise="1">
        <values>
          <value>
            <val>-0.7</val>
          </value>
        </values>
      </ddeItem>
      <ddeItem name="2354.ChangePercent" advise="1">
        <values>
          <value>
            <val>-1.29E-2</val>
          </value>
        </values>
      </ddeItem>
      <ddeItem name="2354.CumulativeVolume" advise="1">
        <values>
          <value>
            <val>2457</val>
          </value>
        </values>
      </ddeItem>
      <ddeItem name="2354.Open" advise="1">
        <values>
          <value>
            <val>54.7</val>
          </value>
        </values>
      </ddeItem>
      <ddeItem name="2354.PreOpenPrice" advise="1">
        <values>
          <value>
            <val>53.7</val>
          </value>
        </values>
      </ddeItem>
      <ddeItem name="2354.PreviousPrice" advise="1">
        <values>
          <value>
            <val>54.4</val>
          </value>
        </values>
      </ddeItem>
      <ddeItem name="2354.PreviousVolume" advise="1">
        <values>
          <value>
            <val>2035</val>
          </value>
        </values>
      </ddeItem>
      <ddeItem name="2354.Price" advise="1">
        <values>
          <value>
            <val>53.7</val>
          </value>
        </values>
      </ddeItem>
      <ddeItem name="2354.Volume" advise="1">
        <values>
          <value>
            <val>154</val>
          </value>
        </values>
      </ddeItem>
      <ddeItem name="2356.AskPrice" advise="1">
        <values>
          <value>
            <val>24.2</val>
          </value>
        </values>
      </ddeItem>
      <ddeItem name="2356.BidPrice" advise="1">
        <values>
          <value>
            <val>24.15</val>
          </value>
        </values>
      </ddeItem>
      <ddeItem name="2356.Change" advise="1">
        <values>
          <value>
            <val>-0.6</val>
          </value>
        </values>
      </ddeItem>
      <ddeItem name="2356.ChangePercent" advise="1">
        <values>
          <value>
            <val>-2.4199999999999999E-2</val>
          </value>
        </values>
      </ddeItem>
      <ddeItem name="2356.CumulativeVolume" advise="1">
        <values>
          <value>
            <val>15323</val>
          </value>
        </values>
      </ddeItem>
      <ddeItem name="2356.Open" advise="1">
        <values>
          <value>
            <val>24.55</val>
          </value>
        </values>
      </ddeItem>
      <ddeItem name="2356.PreOpenPrice" advise="1">
        <values>
          <value>
            <val>24.15</val>
          </value>
        </values>
      </ddeItem>
      <ddeItem name="2356.PreviousPrice" advise="1">
        <values>
          <value>
            <val>24.75</val>
          </value>
        </values>
      </ddeItem>
      <ddeItem name="2356.PreviousVolume" advise="1">
        <values>
          <value>
            <val>11119</val>
          </value>
        </values>
      </ddeItem>
      <ddeItem name="2356.Price" advise="1">
        <values>
          <value>
            <val>24.15</val>
          </value>
        </values>
      </ddeItem>
      <ddeItem name="2356.Volume" advise="1">
        <values>
          <value>
            <val>860</val>
          </value>
        </values>
      </ddeItem>
      <ddeItem name="2357.AskPrice" advise="1">
        <values>
          <value>
            <val>229.5</val>
          </value>
        </values>
      </ddeItem>
      <ddeItem name="2357.BidPrice" advise="1">
        <values>
          <value>
            <val>229</val>
          </value>
        </values>
      </ddeItem>
      <ddeItem name="2357.Change" advise="1">
        <values>
          <value>
            <val>-1</val>
          </value>
        </values>
      </ddeItem>
      <ddeItem name="2357.ChangePercent" advise="1">
        <values>
          <value>
            <val>-4.3E-3</val>
          </value>
        </values>
      </ddeItem>
      <ddeItem name="2357.CumulativeVolume" advise="1">
        <values>
          <value>
            <val>2951</val>
          </value>
        </values>
      </ddeItem>
      <ddeItem name="2357.Open" advise="1">
        <values>
          <value>
            <val>232</val>
          </value>
        </values>
      </ddeItem>
      <ddeItem name="2357.PreOpenPrice" advise="1">
        <values>
          <value>
            <val>229.5</val>
          </value>
        </values>
      </ddeItem>
      <ddeItem name="2357.PreviousPrice" advise="1">
        <values>
          <value>
            <val>230.5</val>
          </value>
        </values>
      </ddeItem>
      <ddeItem name="2357.PreviousVolume" advise="1">
        <values>
          <value>
            <val>3185</val>
          </value>
        </values>
      </ddeItem>
      <ddeItem name="2357.Price" advise="1">
        <values>
          <value>
            <val>229.5</val>
          </value>
        </values>
      </ddeItem>
      <ddeItem name="2357.Volume" advise="1">
        <values>
          <value>
            <val>227</val>
          </value>
        </values>
      </ddeItem>
      <ddeItem name="2360.AskPrice" advise="1">
        <values>
          <value>
            <val>159</val>
          </value>
        </values>
      </ddeItem>
      <ddeItem name="2360.BidPrice" advise="1">
        <values>
          <value>
            <val>158.5</val>
          </value>
        </values>
      </ddeItem>
      <ddeItem name="2360.Change" advise="1">
        <values>
          <value>
            <val>0.5</val>
          </value>
        </values>
      </ddeItem>
      <ddeItem name="2360.ChangePercent" advise="1">
        <values>
          <value>
            <val>3.2000000000000002E-3</val>
          </value>
        </values>
      </ddeItem>
      <ddeItem name="2360.CumulativeVolume" advise="1">
        <values>
          <value>
            <val>904</val>
          </value>
        </values>
      </ddeItem>
      <ddeItem name="2360.Open" advise="1">
        <values>
          <value>
            <val>160</val>
          </value>
        </values>
      </ddeItem>
      <ddeItem name="2360.PreOpenPrice" advise="1">
        <values>
          <value>
            <val>158.5</val>
          </value>
        </values>
      </ddeItem>
      <ddeItem name="2360.PreviousPrice" advise="1">
        <values>
          <value>
            <val>158</val>
          </value>
        </values>
      </ddeItem>
      <ddeItem name="2360.PreviousVolume" advise="1">
        <values>
          <value>
            <val>840</val>
          </value>
        </values>
      </ddeItem>
      <ddeItem name="2360.Price" advise="1">
        <values>
          <value>
            <val>158.5</val>
          </value>
        </values>
      </ddeItem>
      <ddeItem name="2360.Volume" advise="1">
        <values>
          <value>
            <val>40</val>
          </value>
        </values>
      </ddeItem>
      <ddeItem name="2362.AskPrice" advise="1">
        <values>
          <value>
            <val>30.9</val>
          </value>
        </values>
      </ddeItem>
      <ddeItem name="2362.BidPrice" advise="1">
        <values>
          <value>
            <val>30.7</val>
          </value>
        </values>
      </ddeItem>
      <ddeItem name="2362.Change" advise="1">
        <values>
          <value>
            <val>-0.15</val>
          </value>
        </values>
      </ddeItem>
      <ddeItem name="2362.ChangePercent" advise="1">
        <values>
          <value>
            <val>-4.7999999999999996E-3</val>
          </value>
        </values>
      </ddeItem>
      <ddeItem name="2362.CumulativeVolume" advise="1">
        <values>
          <value>
            <val>1325</val>
          </value>
        </values>
      </ddeItem>
      <ddeItem name="2362.Open" advise="1">
        <values>
          <value>
            <val>30.8</val>
          </value>
        </values>
      </ddeItem>
      <ddeItem name="2362.PreOpenPrice" advise="1">
        <values>
          <value>
            <val>30.9</val>
          </value>
        </values>
      </ddeItem>
      <ddeItem name="2362.PreviousPrice" advise="1">
        <values>
          <value>
            <val>31.05</val>
          </value>
        </values>
      </ddeItem>
      <ddeItem name="2362.PreviousVolume" advise="1">
        <values>
          <value>
            <val>2925</val>
          </value>
        </values>
      </ddeItem>
      <ddeItem name="2362.Price" advise="1">
        <values>
          <value>
            <val>30.9</val>
          </value>
        </values>
      </ddeItem>
      <ddeItem name="2362.Volume" advise="1">
        <values>
          <value>
            <val>488</val>
          </value>
        </values>
      </ddeItem>
      <ddeItem name="2367.AskPrice" advise="1">
        <values>
          <value>
            <val>25.95</val>
          </value>
        </values>
      </ddeItem>
      <ddeItem name="2367.BidPrice" advise="1">
        <values>
          <value>
            <val>25.9</val>
          </value>
        </values>
      </ddeItem>
      <ddeItem name="2367.Change" advise="1">
        <values>
          <value>
            <val>0.15</val>
          </value>
        </values>
      </ddeItem>
      <ddeItem name="2367.ChangePercent" advise="1">
        <values>
          <value>
            <val>5.7999999999999996E-3</val>
          </value>
        </values>
      </ddeItem>
      <ddeItem name="2367.CumulativeVolume" advise="1">
        <values>
          <value>
            <val>10530</val>
          </value>
        </values>
      </ddeItem>
      <ddeItem name="2367.Open" advise="1">
        <values>
          <value>
            <val>25.85</val>
          </value>
        </values>
      </ddeItem>
      <ddeItem name="2367.PreOpenPrice" advise="1">
        <values>
          <value>
            <val>25.95</val>
          </value>
        </values>
      </ddeItem>
      <ddeItem name="2367.PreviousPrice" advise="1">
        <values>
          <value>
            <val>25.8</val>
          </value>
        </values>
      </ddeItem>
      <ddeItem name="2367.PreviousVolume" advise="1">
        <values>
          <value>
            <val>14883</val>
          </value>
        </values>
      </ddeItem>
      <ddeItem name="2367.Price" advise="1">
        <values>
          <value>
            <val>25.95</val>
          </value>
        </values>
      </ddeItem>
      <ddeItem name="2367.Volume" advise="1">
        <values>
          <value>
            <val>352</val>
          </value>
        </values>
      </ddeItem>
      <ddeItem name="2368.AskPrice" advise="1">
        <values>
          <value>
            <val>43.9</val>
          </value>
        </values>
      </ddeItem>
      <ddeItem name="2368.BidPrice" advise="1">
        <values>
          <value>
            <val>43.85</val>
          </value>
        </values>
      </ddeItem>
      <ddeItem name="2368.Change" advise="1">
        <values>
          <value>
            <val>0.25</val>
          </value>
        </values>
      </ddeItem>
      <ddeItem name="2368.ChangePercent" advise="1">
        <values>
          <value>
            <val>5.7000000000000002E-3</val>
          </value>
        </values>
      </ddeItem>
      <ddeItem name="2368.CumulativeVolume" advise="1">
        <values>
          <value>
            <val>46355</val>
          </value>
        </values>
      </ddeItem>
      <ddeItem name="2368.Open" advise="1">
        <values>
          <value>
            <val>43.6</val>
          </value>
        </values>
      </ddeItem>
      <ddeItem name="2368.PreOpenPrice" advise="1">
        <values>
          <value>
            <val>43.85</val>
          </value>
        </values>
      </ddeItem>
      <ddeItem name="2368.PreviousPrice" advise="1">
        <values>
          <value>
            <val>43.6</val>
          </value>
        </values>
      </ddeItem>
      <ddeItem name="2368.PreviousVolume" advise="1">
        <values>
          <value>
            <val>90070</val>
          </value>
        </values>
      </ddeItem>
      <ddeItem name="2368.Price" advise="1">
        <values>
          <value>
            <val>43.85</val>
          </value>
        </values>
      </ddeItem>
      <ddeItem name="2368.Volume" advise="1">
        <values>
          <value>
            <val>2543</val>
          </value>
        </values>
      </ddeItem>
      <ddeItem name="2373.AskPrice" advise="1">
        <values>
          <value>
            <val>83.7</val>
          </value>
        </values>
      </ddeItem>
      <ddeItem name="2373.BidPrice" advise="1">
        <values>
          <value>
            <val>83.5</val>
          </value>
        </values>
      </ddeItem>
      <ddeItem name="2373.Change" advise="1">
        <values>
          <value>
            <val>0.3</val>
          </value>
        </values>
      </ddeItem>
      <ddeItem name="2373.ChangePercent" advise="1">
        <values>
          <value>
            <val>3.5999999999999999E-3</val>
          </value>
        </values>
      </ddeItem>
      <ddeItem name="2373.CumulativeVolume" advise="1">
        <values>
          <value>
            <val>14</val>
          </value>
        </values>
      </ddeItem>
      <ddeItem name="2373.Open" advise="1">
        <values>
          <value>
            <val>84</val>
          </value>
        </values>
      </ddeItem>
      <ddeItem name="2373.PreOpenPrice" advise="1">
        <values>
          <value>
            <val>83.5</val>
          </value>
        </values>
      </ddeItem>
      <ddeItem name="2373.PreviousPrice" advise="1">
        <values>
          <value>
            <val>83.2</val>
          </value>
        </values>
      </ddeItem>
      <ddeItem name="2373.PreviousVolume" advise="1">
        <values>
          <value>
            <val>40</val>
          </value>
        </values>
      </ddeItem>
      <ddeItem name="2373.Price" advise="1">
        <values>
          <value>
            <val>83.5</val>
          </value>
        </values>
      </ddeItem>
      <ddeItem name="2373.Volume" advise="1">
        <values>
          <value>
            <val>2</val>
          </value>
        </values>
      </ddeItem>
      <ddeItem name="2376.AskPrice" advise="1">
        <values>
          <value>
            <val>82</val>
          </value>
        </values>
      </ddeItem>
      <ddeItem name="2376.BidPrice" advise="1">
        <values>
          <value>
            <val>81.900000000000006</val>
          </value>
        </values>
      </ddeItem>
      <ddeItem name="2376.Change" advise="1">
        <values>
          <value>
            <val>1.9</val>
          </value>
        </values>
      </ddeItem>
      <ddeItem name="2376.ChangePercent" advise="1">
        <values>
          <value>
            <val>2.3699999999999999E-2</val>
          </value>
        </values>
      </ddeItem>
      <ddeItem name="2376.CumulativeVolume" advise="1">
        <values>
          <value>
            <val>5858</val>
          </value>
        </values>
      </ddeItem>
      <ddeItem name="2376.Open" advise="1">
        <values>
          <value>
            <val>80.8</val>
          </value>
        </values>
      </ddeItem>
      <ddeItem name="2376.PreOpenPrice" advise="1">
        <values>
          <value>
            <val>82</val>
          </value>
        </values>
      </ddeItem>
      <ddeItem name="2376.PreviousPrice" advise="1">
        <values>
          <value>
            <val>80.099999999999994</val>
          </value>
        </values>
      </ddeItem>
      <ddeItem name="2376.PreviousVolume" advise="1">
        <values>
          <value>
            <val>7184</val>
          </value>
        </values>
      </ddeItem>
      <ddeItem name="2376.Price" advise="1">
        <values>
          <value>
            <val>82</val>
          </value>
        </values>
      </ddeItem>
      <ddeItem name="2376.Volume" advise="1">
        <values>
          <value>
            <val>242</val>
          </value>
        </values>
      </ddeItem>
      <ddeItem name="2377.AskPrice" advise="1">
        <values>
          <value>
            <val>137</val>
          </value>
        </values>
      </ddeItem>
      <ddeItem name="2377.BidPrice" advise="1">
        <values>
          <value>
            <val>136.5</val>
          </value>
        </values>
      </ddeItem>
      <ddeItem name="2377.Change" advise="1">
        <values>
          <value>
            <val>4</val>
          </value>
        </values>
      </ddeItem>
      <ddeItem name="2377.ChangePercent" advise="1">
        <values>
          <value>
            <val>3.0099999999999998E-2</val>
          </value>
        </values>
      </ddeItem>
      <ddeItem name="2377.CumulativeVolume" advise="1">
        <values>
          <value>
            <val>5514</val>
          </value>
        </values>
      </ddeItem>
      <ddeItem name="2377.Open" advise="1">
        <values>
          <value>
            <val>134</val>
          </value>
        </values>
      </ddeItem>
      <ddeItem name="2377.PreOpenPrice" advise="1">
        <values>
          <value>
            <val>137</val>
          </value>
        </values>
      </ddeItem>
      <ddeItem name="2377.PreviousPrice" advise="1">
        <values>
          <value>
            <val>133</val>
          </value>
        </values>
      </ddeItem>
      <ddeItem name="2377.PreviousVolume" advise="1">
        <values>
          <value>
            <val>7178</val>
          </value>
        </values>
      </ddeItem>
      <ddeItem name="2377.Price" advise="1">
        <values>
          <value>
            <val>137</val>
          </value>
        </values>
      </ddeItem>
      <ddeItem name="2377.Volume" advise="1">
        <values>
          <value>
            <val>435</val>
          </value>
        </values>
      </ddeItem>
      <ddeItem name="2379.AskPrice" advise="1">
        <values>
          <value>
            <val>408.5</val>
          </value>
        </values>
      </ddeItem>
      <ddeItem name="2379.BidPrice" advise="1">
        <values>
          <value>
            <val>408</val>
          </value>
        </values>
      </ddeItem>
      <ddeItem name="2379.Change" advise="1">
        <values>
          <value>
            <val>4.5</val>
          </value>
        </values>
      </ddeItem>
      <ddeItem name="2379.ChangePercent" advise="1">
        <values>
          <value>
            <val>1.11E-2</val>
          </value>
        </values>
      </ddeItem>
      <ddeItem name="2379.CumulativeVolume" advise="1">
        <values>
          <value>
            <val>5318</val>
          </value>
        </values>
      </ddeItem>
      <ddeItem name="2379.Open" advise="1">
        <values>
          <value>
            <val>407</val>
          </value>
        </values>
      </ddeItem>
      <ddeItem name="2379.PreOpenPrice" advise="1">
        <values>
          <value>
            <val>408.5</val>
          </value>
        </values>
      </ddeItem>
      <ddeItem name="2379.PreviousPrice" advise="1">
        <values>
          <value>
            <val>404</val>
          </value>
        </values>
      </ddeItem>
      <ddeItem name="2379.PreviousVolume" advise="1">
        <values>
          <value>
            <val>4437</val>
          </value>
        </values>
      </ddeItem>
      <ddeItem name="2379.Price" advise="1">
        <values>
          <value>
            <val>408.5</val>
          </value>
        </values>
      </ddeItem>
      <ddeItem name="2379.Volume" advise="1">
        <values>
          <value>
            <val>264</val>
          </value>
        </values>
      </ddeItem>
      <ddeItem name="2382.AskPrice" advise="1">
        <values>
          <value>
            <val>75.5</val>
          </value>
        </values>
      </ddeItem>
      <ddeItem name="2382.BidPrice" advise="1">
        <values>
          <value>
            <val>75.3</val>
          </value>
        </values>
      </ddeItem>
      <ddeItem name="2382.Change" advise="1">
        <values>
          <value>
            <val>-1</val>
          </value>
        </values>
      </ddeItem>
      <ddeItem name="2382.ChangePercent" advise="1">
        <values>
          <value>
            <val>-1.3100000000000001E-2</val>
          </value>
        </values>
      </ddeItem>
      <ddeItem name="2382.CumulativeVolume" advise="1">
        <values>
          <value>
            <val>7932</val>
          </value>
        </values>
      </ddeItem>
      <ddeItem name="2382.Open" advise="1">
        <values>
          <value>
            <val>76.5</val>
          </value>
        </values>
      </ddeItem>
      <ddeItem name="2382.PreOpenPrice" advise="1">
        <values>
          <value>
            <val>75.3</val>
          </value>
        </values>
      </ddeItem>
      <ddeItem name="2382.PreviousPrice" advise="1">
        <values>
          <value>
            <val>76.3</val>
          </value>
        </values>
      </ddeItem>
      <ddeItem name="2382.PreviousVolume" advise="1">
        <values>
          <value>
            <val>10837</val>
          </value>
        </values>
      </ddeItem>
      <ddeItem name="2382.Price" advise="1">
        <values>
          <value>
            <val>75.3</val>
          </value>
        </values>
      </ddeItem>
      <ddeItem name="2382.Volume" advise="1">
        <values>
          <value>
            <val>934</val>
          </value>
        </values>
      </ddeItem>
      <ddeItem name="2383.AskPrice" advise="1">
        <values>
          <value>
            <val>171</val>
          </value>
        </values>
      </ddeItem>
      <ddeItem name="2383.BidPrice" advise="1">
        <values>
          <value>
            <val>170.5</val>
          </value>
        </values>
      </ddeItem>
      <ddeItem name="2383.Change" advise="1">
        <values>
          <value>
            <val>1.5</val>
          </value>
        </values>
      </ddeItem>
      <ddeItem name="2383.ChangePercent" advise="1">
        <values>
          <value>
            <val>8.8999999999999999E-3</val>
          </value>
        </values>
      </ddeItem>
      <ddeItem name="2383.CumulativeVolume" advise="1">
        <values>
          <value>
            <val>3013</val>
          </value>
        </values>
      </ddeItem>
      <ddeItem name="2383.Open" advise="1">
        <values>
          <value>
            <val>170</val>
          </value>
        </values>
      </ddeItem>
      <ddeItem name="2383.PreOpenPrice" advise="1">
        <values>
          <value>
            <val>171</val>
          </value>
        </values>
      </ddeItem>
      <ddeItem name="2383.PreviousPrice" advise="1">
        <values>
          <value>
            <val>169</val>
          </value>
        </values>
      </ddeItem>
      <ddeItem name="2383.PreviousVolume" advise="1">
        <values>
          <value>
            <val>4342</val>
          </value>
        </values>
      </ddeItem>
      <ddeItem name="2383.Price" advise="1">
        <values>
          <value>
            <val>170.5</val>
          </value>
        </values>
      </ddeItem>
      <ddeItem name="2383.Volume" advise="1">
        <values>
          <value>
            <val>97</val>
          </value>
        </values>
      </ddeItem>
      <ddeItem name="2385.AskPrice" advise="1">
        <values>
          <value>
            <val>88.7</val>
          </value>
        </values>
      </ddeItem>
      <ddeItem name="2385.BidPrice" advise="1">
        <values>
          <value>
            <val>88.6</val>
          </value>
        </values>
      </ddeItem>
      <ddeItem name="2385.Change" advise="1">
        <values>
          <value>
            <val>-5</val>
          </value>
        </values>
      </ddeItem>
      <ddeItem name="2385.ChangePercent" advise="1">
        <values>
          <value>
            <val>-5.3400000000000003E-2</val>
          </value>
        </values>
      </ddeItem>
      <ddeItem name="2385.CumulativeVolume" advise="1">
        <values>
          <value>
            <val>7059</val>
          </value>
        </values>
      </ddeItem>
      <ddeItem name="2385.Open" advise="1">
        <values>
          <value>
            <val>95.1</val>
          </value>
        </values>
      </ddeItem>
      <ddeItem name="2385.PreOpenPrice" advise="1">
        <values>
          <value>
            <val>88.6</val>
          </value>
        </values>
      </ddeItem>
      <ddeItem name="2385.PreviousPrice" advise="1">
        <values>
          <value>
            <val>93.6</val>
          </value>
        </values>
      </ddeItem>
      <ddeItem name="2385.PreviousVolume" advise="1">
        <values>
          <value>
            <val>6529</val>
          </value>
        </values>
      </ddeItem>
      <ddeItem name="2385.Price" advise="1">
        <values>
          <value>
            <val>88.6</val>
          </value>
        </values>
      </ddeItem>
      <ddeItem name="2385.Volume" advise="1">
        <values>
          <value>
            <val>353</val>
          </value>
        </values>
      </ddeItem>
      <ddeItem name="2388.AskPrice" advise="1">
        <values>
          <value>
            <val>36.65</val>
          </value>
        </values>
      </ddeItem>
      <ddeItem name="2388.BidPrice" advise="1">
        <values>
          <value>
            <val>36.6</val>
          </value>
        </values>
      </ddeItem>
      <ddeItem name="2388.Change" advise="1">
        <values>
          <value>
            <val>-1.1000000000000001</val>
          </value>
        </values>
      </ddeItem>
      <ddeItem name="2388.ChangePercent" advise="1">
        <values>
          <value>
            <val>-2.92E-2</val>
          </value>
        </values>
      </ddeItem>
      <ddeItem name="2388.CumulativeVolume" advise="1">
        <values>
          <value>
            <val>3842</val>
          </value>
        </values>
      </ddeItem>
      <ddeItem name="2388.Open" advise="1">
        <values>
          <value>
            <val>37.700000000000003</val>
          </value>
        </values>
      </ddeItem>
      <ddeItem name="2388.PreOpenPrice" advise="1">
        <values>
          <value>
            <val>36.6</val>
          </value>
        </values>
      </ddeItem>
      <ddeItem name="2388.PreviousPrice" advise="1">
        <values>
          <value>
            <val>37.700000000000003</val>
          </value>
        </values>
      </ddeItem>
      <ddeItem name="2388.PreviousVolume" advise="1">
        <values>
          <value>
            <val>3133</val>
          </value>
        </values>
      </ddeItem>
      <ddeItem name="2388.Price" advise="1">
        <values>
          <value>
            <val>36.6</val>
          </value>
        </values>
      </ddeItem>
      <ddeItem name="2388.Volume" advise="1">
        <values>
          <value>
            <val>162</val>
          </value>
        </values>
      </ddeItem>
      <ddeItem name="2392.AskPrice" advise="1">
        <values>
          <value>
            <val>40.049999999999997</val>
          </value>
        </values>
      </ddeItem>
      <ddeItem name="2392.BidPrice" advise="1">
        <values>
          <value>
            <val>40</val>
          </value>
        </values>
      </ddeItem>
      <ddeItem name="2392.Change" advise="1">
        <values>
          <value>
            <val>-1</val>
          </value>
        </values>
      </ddeItem>
      <ddeItem name="2392.ChangePercent" advise="1">
        <values>
          <value>
            <val>-2.4400000000000002E-2</val>
          </value>
        </values>
      </ddeItem>
      <ddeItem name="2392.CumulativeVolume" advise="1">
        <values>
          <value>
            <val>3923</val>
          </value>
        </values>
      </ddeItem>
      <ddeItem name="2392.Open" advise="1">
        <values>
          <value>
            <val>41.05</val>
          </value>
        </values>
      </ddeItem>
      <ddeItem name="2392.PreOpenPrice" advise="1">
        <values>
          <value>
            <val>40</val>
          </value>
        </values>
      </ddeItem>
      <ddeItem name="2392.PreviousPrice" advise="1">
        <values>
          <value>
            <val>41</val>
          </value>
        </values>
      </ddeItem>
      <ddeItem name="2392.PreviousVolume" advise="1">
        <values>
          <value>
            <val>2550</val>
          </value>
        </values>
      </ddeItem>
      <ddeItem name="2392.Price" advise="1">
        <values>
          <value>
            <val>40</val>
          </value>
        </values>
      </ddeItem>
      <ddeItem name="2392.Volume" advise="1">
        <values>
          <value>
            <val>202</val>
          </value>
        </values>
      </ddeItem>
      <ddeItem name="2393.AskPrice" advise="1">
        <values>
          <value>
            <val>33.700000000000003</val>
          </value>
        </values>
      </ddeItem>
      <ddeItem name="2393.BidPrice" advise="1">
        <values>
          <value>
            <val>33.65</val>
          </value>
        </values>
      </ddeItem>
      <ddeItem name="2393.Change" advise="1">
        <values>
          <value>
            <val>-0.75</val>
          </value>
        </values>
      </ddeItem>
      <ddeItem name="2393.ChangePercent" advise="1">
        <values>
          <value>
            <val>-2.18E-2</val>
          </value>
        </values>
      </ddeItem>
      <ddeItem name="2393.CumulativeVolume" advise="1">
        <values>
          <value>
            <val>1895</val>
          </value>
        </values>
      </ddeItem>
      <ddeItem name="2393.Open" advise="1">
        <values>
          <value>
            <val>34.5</val>
          </value>
        </values>
      </ddeItem>
      <ddeItem name="2393.PreOpenPrice" advise="1">
        <values>
          <value>
            <val>33.65</val>
          </value>
        </values>
      </ddeItem>
      <ddeItem name="2393.PreviousPrice" advise="1">
        <values>
          <value>
            <val>34.4</val>
          </value>
        </values>
      </ddeItem>
      <ddeItem name="2393.PreviousVolume" advise="1">
        <values>
          <value>
            <val>2220</val>
          </value>
        </values>
      </ddeItem>
      <ddeItem name="2393.Price" advise="1">
        <values>
          <value>
            <val>33.65</val>
          </value>
        </values>
      </ddeItem>
      <ddeItem name="2393.Volume" advise="1">
        <values>
          <value>
            <val>53</val>
          </value>
        </values>
      </ddeItem>
      <ddeItem name="2395.AskPrice" advise="1">
        <values>
          <value>
            <val>302.5</val>
          </value>
        </values>
      </ddeItem>
      <ddeItem name="2395.BidPrice" advise="1">
        <values>
          <value>
            <val>302</val>
          </value>
        </values>
      </ddeItem>
      <ddeItem name="2395.Change" advise="1">
        <values>
          <value>
            <val>2</val>
          </value>
        </values>
      </ddeItem>
      <ddeItem name="2395.ChangePercent" advise="1">
        <values>
          <value>
            <val>6.7000000000000002E-3</val>
          </value>
        </values>
      </ddeItem>
      <ddeItem name="2395.CumulativeVolume" advise="1">
        <values>
          <value>
            <val>964</val>
          </value>
        </values>
      </ddeItem>
      <ddeItem name="2395.Open" advise="1">
        <values>
          <value>
            <val>299</val>
          </value>
        </values>
      </ddeItem>
      <ddeItem name="2395.PreOpenPrice" advise="1">
        <values>
          <value>
            <val>302</val>
          </value>
        </values>
      </ddeItem>
      <ddeItem name="2395.PreviousPrice" advise="1">
        <values>
          <value>
            <val>300</val>
          </value>
        </values>
      </ddeItem>
      <ddeItem name="2395.PreviousVolume" advise="1">
        <values>
          <value>
            <val>1045</val>
          </value>
        </values>
      </ddeItem>
      <ddeItem name="2395.Price" advise="1">
        <values>
          <value>
            <val>302</val>
          </value>
        </values>
      </ddeItem>
      <ddeItem name="2395.Volume" advise="1">
        <values>
          <value>
            <val>131</val>
          </value>
        </values>
      </ddeItem>
      <ddeItem name="2404.AskPrice" advise="1">
        <values>
          <value>
            <val>210</val>
          </value>
        </values>
      </ddeItem>
      <ddeItem name="2404.BidPrice" advise="1">
        <values>
          <value>
            <val>209</val>
          </value>
        </values>
      </ddeItem>
      <ddeItem name="2404.Change" advise="1">
        <values>
          <value>
            <val>-4</val>
          </value>
        </values>
      </ddeItem>
      <ddeItem name="2404.ChangePercent" advise="1">
        <values>
          <value>
            <val>-1.8800000000000001E-2</val>
          </value>
        </values>
      </ddeItem>
      <ddeItem name="2404.CumulativeVolume" advise="1">
        <values>
          <value>
            <val>2762</val>
          </value>
        </values>
      </ddeItem>
      <ddeItem name="2404.Open" advise="1">
        <values>
          <value>
            <val>215</val>
          </value>
        </values>
      </ddeItem>
      <ddeItem name="2404.PreOpenPrice" advise="1">
        <values>
          <value>
            <val>209</val>
          </value>
        </values>
      </ddeItem>
      <ddeItem name="2404.PreviousPrice" advise="1">
        <values>
          <value>
            <val>213</val>
          </value>
        </values>
      </ddeItem>
      <ddeItem name="2404.PreviousVolume" advise="1">
        <values>
          <value>
            <val>2037</val>
          </value>
        </values>
      </ddeItem>
      <ddeItem name="2404.Price" advise="1">
        <values>
          <value>
            <val>209</val>
          </value>
        </values>
      </ddeItem>
      <ddeItem name="2404.Volume" advise="1">
        <values>
          <value>
            <val>82</val>
          </value>
        </values>
      </ddeItem>
      <ddeItem name="2408.AskPrice" advise="1">
        <values>
          <value>
            <val>55.8</val>
          </value>
        </values>
      </ddeItem>
      <ddeItem name="2408.BidPrice" advise="1">
        <values>
          <value>
            <val>55.7</val>
          </value>
        </values>
      </ddeItem>
      <ddeItem name="2408.Change" advise="1">
        <values>
          <value>
            <val>1.3</val>
          </value>
        </values>
      </ddeItem>
      <ddeItem name="2408.ChangePercent" advise="1">
        <values>
          <value>
            <val>2.3900000000000001E-2</val>
          </value>
        </values>
      </ddeItem>
      <ddeItem name="2408.CumulativeVolume" advise="1">
        <values>
          <value>
            <val>16641</val>
          </value>
        </values>
      </ddeItem>
      <ddeItem name="2408.Open" advise="1">
        <values>
          <value>
            <val>54.5</val>
          </value>
        </values>
      </ddeItem>
      <ddeItem name="2408.PreOpenPrice" advise="1">
        <values>
          <value>
            <val>55.7</val>
          </value>
        </values>
      </ddeItem>
      <ddeItem name="2408.PreviousPrice" advise="1">
        <values>
          <value>
            <val>54.4</val>
          </value>
        </values>
      </ddeItem>
      <ddeItem name="2408.PreviousVolume" advise="1">
        <values>
          <value>
            <val>15731</val>
          </value>
        </values>
      </ddeItem>
      <ddeItem name="2408.Price" advise="1">
        <values>
          <value>
            <val>55.7</val>
          </value>
        </values>
      </ddeItem>
      <ddeItem name="2408.Volume" advise="1">
        <values>
          <value>
            <val>516</val>
          </value>
        </values>
      </ddeItem>
      <ddeItem name="2409.AskPrice" advise="1">
        <values>
          <value>
            <val>9.92</val>
          </value>
        </values>
      </ddeItem>
      <ddeItem name="2409.BidPrice" advise="1">
        <values>
          <value>
            <val>9.91</val>
          </value>
        </values>
      </ddeItem>
      <ddeItem name="2409.Change" advise="1">
        <values>
          <value>
            <val>-0.09</val>
          </value>
        </values>
      </ddeItem>
      <ddeItem name="2409.ChangePercent" advise="1">
        <values>
          <value>
            <val>-8.9999999999999993E-3</val>
          </value>
        </values>
      </ddeItem>
      <ddeItem name="2409.CumulativeVolume" advise="1">
        <values>
          <value>
            <val>51694</val>
          </value>
        </values>
      </ddeItem>
      <ddeItem name="2409.Open" advise="1">
        <values>
          <value>
            <val>10.050000000000001</val>
          </value>
        </values>
      </ddeItem>
      <ddeItem name="2409.PreOpenPrice" advise="1">
        <values>
          <value>
            <val>9.91</val>
          </value>
        </values>
      </ddeItem>
      <ddeItem name="2409.PreviousPrice" advise="1">
        <values>
          <value>
            <val>10</val>
          </value>
        </values>
      </ddeItem>
      <ddeItem name="2409.PreviousVolume" advise="1">
        <values>
          <value>
            <val>72363</val>
          </value>
        </values>
      </ddeItem>
      <ddeItem name="2409.Price" advise="1">
        <values>
          <value>
            <val>9.91</val>
          </value>
        </values>
      </ddeItem>
      <ddeItem name="2409.Volume" advise="1">
        <values>
          <value>
            <val>5505</val>
          </value>
        </values>
      </ddeItem>
      <ddeItem name="2412.AskPrice" advise="1">
        <values>
          <value>
            <val>109</val>
          </value>
        </values>
      </ddeItem>
      <ddeItem name="2412.BidPrice" advise="1">
        <values>
          <value>
            <val>108.5</val>
          </value>
        </values>
      </ddeItem>
      <ddeItem name="2412.Change" advise="1">
        <values>
          <value>
            <val>0</val>
          </value>
        </values>
      </ddeItem>
      <ddeItem name="2412.ChangePercent" advise="1">
        <values>
          <value>
            <val>0</val>
          </value>
        </values>
      </ddeItem>
      <ddeItem name="2412.CumulativeVolume" advise="1">
        <values>
          <value>
            <val>5757</val>
          </value>
        </values>
      </ddeItem>
      <ddeItem name="2412.Open" advise="1">
        <values>
          <value>
            <val>109</val>
          </value>
        </values>
      </ddeItem>
      <ddeItem name="2412.PreOpenPrice" advise="1">
        <values>
          <value>
            <val>108.5</val>
          </value>
        </values>
      </ddeItem>
      <ddeItem name="2412.PreviousPrice" advise="1">
        <values>
          <value>
            <val>108.5</val>
          </value>
        </values>
      </ddeItem>
      <ddeItem name="2412.PreviousVolume" advise="1">
        <values>
          <value>
            <val>3478</val>
          </value>
        </values>
      </ddeItem>
      <ddeItem name="2412.Price" advise="1">
        <values>
          <value>
            <val>108.5</val>
          </value>
        </values>
      </ddeItem>
      <ddeItem name="2412.Volume" advise="1">
        <values>
          <value>
            <val>889</val>
          </value>
        </values>
      </ddeItem>
      <ddeItem name="2421.AskPrice" advise="1">
        <values>
          <value>
            <val>60.4</val>
          </value>
        </values>
      </ddeItem>
      <ddeItem name="2421.BidPrice" advise="1">
        <values>
          <value>
            <val>60.3</val>
          </value>
        </values>
      </ddeItem>
      <ddeItem name="2421.Change" advise="1">
        <values>
          <value>
            <val>0.2</val>
          </value>
        </values>
      </ddeItem>
      <ddeItem name="2421.ChangePercent" advise="1">
        <values>
          <value>
            <val>3.3E-3</val>
          </value>
        </values>
      </ddeItem>
      <ddeItem name="2421.CumulativeVolume" advise="1">
        <values>
          <value>
            <val>8276</val>
          </value>
        </values>
      </ddeItem>
      <ddeItem name="2421.Open" advise="1">
        <values>
          <value>
            <val>60.9</val>
          </value>
        </values>
      </ddeItem>
      <ddeItem name="2421.PreOpenPrice" advise="1">
        <values>
          <value>
            <val>60.3</val>
          </value>
        </values>
      </ddeItem>
      <ddeItem name="2421.PreviousPrice" advise="1">
        <values>
          <value>
            <val>60.1</val>
          </value>
        </values>
      </ddeItem>
      <ddeItem name="2421.PreviousVolume" advise="1">
        <values>
          <value>
            <val>6212</val>
          </value>
        </values>
      </ddeItem>
      <ddeItem name="2421.Price" advise="1">
        <values>
          <value>
            <val>60.3</val>
          </value>
        </values>
      </ddeItem>
      <ddeItem name="2421.Volume" advise="1">
        <values>
          <value>
            <val>230</val>
          </value>
        </values>
      </ddeItem>
      <ddeItem name="2439.AskPrice" advise="1">
        <values>
          <value>
            <val>165</val>
          </value>
        </values>
      </ddeItem>
      <ddeItem name="2439.BidPrice" advise="1">
        <values>
          <value>
            <val>164.5</val>
          </value>
        </values>
      </ddeItem>
      <ddeItem name="2439.Change" advise="1">
        <values>
          <value>
            <val>2.5</val>
          </value>
        </values>
      </ddeItem>
      <ddeItem name="2439.ChangePercent" advise="1">
        <values>
          <value>
            <val>1.54E-2</val>
          </value>
        </values>
      </ddeItem>
      <ddeItem name="2439.CumulativeVolume" advise="1">
        <values>
          <value>
            <val>4067</val>
          </value>
        </values>
      </ddeItem>
      <ddeItem name="2439.Open" advise="1">
        <values>
          <value>
            <val>163.5</val>
          </value>
        </values>
      </ddeItem>
      <ddeItem name="2439.PreOpenPrice" advise="1">
        <values>
          <value>
            <val>165</val>
          </value>
        </values>
      </ddeItem>
      <ddeItem name="2439.PreviousPrice" advise="1">
        <values>
          <value>
            <val>162.5</val>
          </value>
        </values>
      </ddeItem>
      <ddeItem name="2439.PreviousVolume" advise="1">
        <values>
          <value>
            <val>3776</val>
          </value>
        </values>
      </ddeItem>
      <ddeItem name="2439.Price" advise="1">
        <values>
          <value>
            <val>165</val>
          </value>
        </values>
      </ddeItem>
      <ddeItem name="2439.Volume" advise="1">
        <values>
          <value>
            <val>146</val>
          </value>
        </values>
      </ddeItem>
      <ddeItem name="2441.AskPrice" advise="1">
        <values>
          <value>
            <val>51.8</val>
          </value>
        </values>
      </ddeItem>
      <ddeItem name="2441.BidPrice" advise="1">
        <values>
          <value>
            <val>51.7</val>
          </value>
        </values>
      </ddeItem>
      <ddeItem name="2441.Change" advise="1">
        <values>
          <value>
            <val>-1.3</val>
          </value>
        </values>
      </ddeItem>
      <ddeItem name="2441.ChangePercent" advise="1">
        <values>
          <value>
            <val>-2.4500000000000001E-2</val>
          </value>
        </values>
      </ddeItem>
      <ddeItem name="2441.CumulativeVolume" advise="1">
        <values>
          <value>
            <val>926</val>
          </value>
        </values>
      </ddeItem>
      <ddeItem name="2441.Open" advise="1">
        <values>
          <value>
            <val>53.4</val>
          </value>
        </values>
      </ddeItem>
      <ddeItem name="2441.PreOpenPrice" advise="1">
        <values>
          <value>
            <val>51.7</val>
          </value>
        </values>
      </ddeItem>
      <ddeItem name="2441.PreviousPrice" advise="1">
        <values>
          <value>
            <val>53</val>
          </value>
        </values>
      </ddeItem>
      <ddeItem name="2441.PreviousVolume" advise="1">
        <values>
          <value>
            <val>1284</val>
          </value>
        </values>
      </ddeItem>
      <ddeItem name="2441.Price" advise="1">
        <values>
          <value>
            <val>51.7</val>
          </value>
        </values>
      </ddeItem>
      <ddeItem name="2441.Volume" advise="1">
        <values>
          <value>
            <val>108</val>
          </value>
        </values>
      </ddeItem>
      <ddeItem name="2448.AskPrice" advise="1">
        <values>
          <value>
            <val>42.6</val>
          </value>
        </values>
      </ddeItem>
      <ddeItem name="2448.BidPrice" advise="1">
        <values>
          <value>
            <val>42.55</val>
          </value>
        </values>
      </ddeItem>
      <ddeItem name="2448.Change" advise="1">
        <values>
          <value>
            <val>0</val>
          </value>
        </values>
      </ddeItem>
      <ddeItem name="2448.ChangePercent" advise="1">
        <values>
          <value>
            <val>0</val>
          </value>
        </values>
      </ddeItem>
      <ddeItem name="2448.CumulativeVolume" advise="1">
        <values>
          <value>
            <val>20221</val>
          </value>
        </values>
      </ddeItem>
      <ddeItem name="2448.Open" advise="1">
        <values>
          <value>
            <val>42.6</val>
          </value>
        </values>
      </ddeItem>
      <ddeItem name="2448.PreOpenPrice" advise="1">
        <values>
          <value>
            <val>42.55</val>
          </value>
        </values>
      </ddeItem>
      <ddeItem name="2448.PreviousPrice" advise="1">
        <values>
          <value>
            <val>42.55</val>
          </value>
        </values>
      </ddeItem>
      <ddeItem name="2448.PreviousVolume" advise="1">
        <values>
          <value>
            <val>18986</val>
          </value>
        </values>
      </ddeItem>
      <ddeItem name="2448.Price" advise="1">
        <values>
          <value>
            <val>42.55</val>
          </value>
        </values>
      </ddeItem>
      <ddeItem name="2448.Volume" advise="1">
        <values>
          <value>
            <val>1044</val>
          </value>
        </values>
      </ddeItem>
      <ddeItem name="2449.AskPrice" advise="1">
        <values>
          <value>
            <val>35.700000000000003</val>
          </value>
        </values>
      </ddeItem>
      <ddeItem name="2449.BidPrice" advise="1">
        <values>
          <value>
            <val>35.65</val>
          </value>
        </values>
      </ddeItem>
      <ddeItem name="2449.Change" advise="1">
        <values>
          <value>
            <val>0.05</val>
          </value>
        </values>
      </ddeItem>
      <ddeItem name="2449.ChangePercent" advise="1">
        <values>
          <value>
            <val>1.4E-3</val>
          </value>
        </values>
      </ddeItem>
      <ddeItem name="2449.CumulativeVolume" advise="1">
        <values>
          <value>
            <val>19530</val>
          </value>
        </values>
      </ddeItem>
      <ddeItem name="2449.Open" advise="1">
        <values>
          <value>
            <val>35.75</val>
          </value>
        </values>
      </ddeItem>
      <ddeItem name="2449.PreOpenPrice" advise="1">
        <values>
          <value>
            <val>35.65</val>
          </value>
        </values>
      </ddeItem>
      <ddeItem name="2449.PreviousPrice" advise="1">
        <values>
          <value>
            <val>35.6</val>
          </value>
        </values>
      </ddeItem>
      <ddeItem name="2449.PreviousVolume" advise="1">
        <values>
          <value>
            <val>45886</val>
          </value>
        </values>
      </ddeItem>
      <ddeItem name="2449.Price" advise="1">
        <values>
          <value>
            <val>35.65</val>
          </value>
        </values>
      </ddeItem>
      <ddeItem name="2449.Volume" advise="1">
        <values>
          <value>
            <val>742</val>
          </value>
        </values>
      </ddeItem>
      <ddeItem name="2451.AskPrice" advise="1">
        <values>
          <value>
            <val>65.3</val>
          </value>
        </values>
      </ddeItem>
      <ddeItem name="2451.BidPrice" advise="1">
        <values>
          <value>
            <val>65.2</val>
          </value>
        </values>
      </ddeItem>
      <ddeItem name="2451.Change" advise="1">
        <values>
          <value>
            <val>-0.4</val>
          </value>
        </values>
      </ddeItem>
      <ddeItem name="2451.ChangePercent" advise="1">
        <values>
          <value>
            <val>-6.1000000000000004E-3</val>
          </value>
        </values>
      </ddeItem>
      <ddeItem name="2451.CumulativeVolume" advise="1">
        <values>
          <value>
            <val>706</val>
          </value>
        </values>
      </ddeItem>
      <ddeItem name="2451.Open" advise="1">
        <values>
          <value>
            <val>65.3</val>
          </value>
        </values>
      </ddeItem>
      <ddeItem name="2451.PreOpenPrice" advise="1">
        <values>
          <value>
            <val>65.2</val>
          </value>
        </values>
      </ddeItem>
      <ddeItem name="2451.PreviousPrice" advise="1">
        <values>
          <value>
            <val>65.599999999999994</val>
          </value>
        </values>
      </ddeItem>
      <ddeItem name="2451.PreviousVolume" advise="1">
        <values>
          <value>
            <val>661</val>
          </value>
        </values>
      </ddeItem>
      <ddeItem name="2451.Price" advise="1">
        <values>
          <value>
            <val>65.2</val>
          </value>
        </values>
      </ddeItem>
      <ddeItem name="2451.Volume" advise="1">
        <values>
          <value>
            <val>30</val>
          </value>
        </values>
      </ddeItem>
      <ddeItem name="2454.AskPrice" advise="1">
        <values>
          <value>
            <val>694</val>
          </value>
        </values>
      </ddeItem>
      <ddeItem name="2454.BidPrice" advise="1">
        <values>
          <value>
            <val>693</val>
          </value>
        </values>
      </ddeItem>
      <ddeItem name="2454.Change" advise="1">
        <values>
          <value>
            <val>-13</val>
          </value>
        </values>
      </ddeItem>
      <ddeItem name="2454.ChangePercent" advise="1">
        <values>
          <value>
            <val>-1.84E-2</val>
          </value>
        </values>
      </ddeItem>
      <ddeItem name="2454.CumulativeVolume" advise="1">
        <values>
          <value>
            <val>9838</val>
          </value>
        </values>
      </ddeItem>
      <ddeItem name="2454.Open" advise="1">
        <values>
          <value>
            <val>698</val>
          </value>
        </values>
      </ddeItem>
      <ddeItem name="2454.PreOpenPrice" advise="1">
        <values>
          <value>
            <val>693</val>
          </value>
        </values>
      </ddeItem>
      <ddeItem name="2454.PreviousPrice" advise="1">
        <values>
          <value>
            <val>706</val>
          </value>
        </values>
      </ddeItem>
      <ddeItem name="2454.PreviousVolume" advise="1">
        <values>
          <value>
            <val>11124</val>
          </value>
        </values>
      </ddeItem>
      <ddeItem name="2454.Price" advise="1">
        <values>
          <value>
            <val>693</val>
          </value>
        </values>
      </ddeItem>
      <ddeItem name="2454.Volume" advise="1">
        <values>
          <value>
            <val>821</val>
          </value>
        </values>
      </ddeItem>
      <ddeItem name="2455.AskPrice" advise="1">
        <values>
          <value>
            <val>86.5</val>
          </value>
        </values>
      </ddeItem>
      <ddeItem name="2455.BidPrice" advise="1">
        <values>
          <value>
            <val>86.3</val>
          </value>
        </values>
      </ddeItem>
      <ddeItem name="2455.Change" advise="1">
        <values>
          <value>
            <val>0.7</val>
          </value>
        </values>
      </ddeItem>
      <ddeItem name="2455.ChangePercent" advise="1">
        <values>
          <value>
            <val>8.2000000000000007E-3</val>
          </value>
        </values>
      </ddeItem>
      <ddeItem name="2455.CumulativeVolume" advise="1">
        <values>
          <value>
            <val>1215</val>
          </value>
        </values>
      </ddeItem>
      <ddeItem name="2455.Open" advise="1">
        <values>
          <value>
            <val>85.4</val>
          </value>
        </values>
      </ddeItem>
      <ddeItem name="2455.PreOpenPrice" advise="1">
        <values>
          <value>
            <val>86.5</val>
          </value>
        </values>
      </ddeItem>
      <ddeItem name="2455.PreviousPrice" advise="1">
        <values>
          <value>
            <val>85.7</val>
          </value>
        </values>
      </ddeItem>
      <ddeItem name="2455.PreviousVolume" advise="1">
        <values>
          <value>
            <val>2446</val>
          </value>
        </values>
      </ddeItem>
      <ddeItem name="2455.Price" advise="1">
        <values>
          <value>
            <val>86.4</val>
          </value>
        </values>
      </ddeItem>
      <ddeItem name="2455.Volume" advise="1">
        <values>
          <value>
            <val>41</val>
          </value>
        </values>
      </ddeItem>
      <ddeItem name="2456.AskPrice" advise="1">
        <values>
          <value>
            <val>104</val>
          </value>
        </values>
      </ddeItem>
      <ddeItem name="2456.BidPrice" advise="1">
        <values>
          <value>
            <val>103.5</val>
          </value>
        </values>
      </ddeItem>
      <ddeItem name="2456.Change" advise="1">
        <values>
          <value>
            <val>1</val>
          </value>
        </values>
      </ddeItem>
      <ddeItem name="2456.ChangePercent" advise="1">
        <values>
          <value>
            <val>9.7999999999999997E-3</val>
          </value>
        </values>
      </ddeItem>
      <ddeItem name="2456.CumulativeVolume" advise="1">
        <values>
          <value>
            <val>8243</val>
          </value>
        </values>
      </ddeItem>
      <ddeItem name="2456.Open" advise="1">
        <values>
          <value>
            <val>103.5</val>
          </value>
        </values>
      </ddeItem>
      <ddeItem name="2456.PreOpenPrice" advise="1">
        <values>
          <value>
            <val>103.5</val>
          </value>
        </values>
      </ddeItem>
      <ddeItem name="2456.PreviousPrice" advise="1">
        <values>
          <value>
            <val>102.5</val>
          </value>
        </values>
      </ddeItem>
      <ddeItem name="2456.PreviousVolume" advise="1">
        <values>
          <value>
            <val>7432</val>
          </value>
        </values>
      </ddeItem>
      <ddeItem name="2456.Price" advise="1">
        <values>
          <value>
            <val>103.5</val>
          </value>
        </values>
      </ddeItem>
      <ddeItem name="2456.Volume" advise="1">
        <values>
          <value>
            <val>453</val>
          </value>
        </values>
      </ddeItem>
      <ddeItem name="2458.AskPrice" advise="1">
        <values>
          <value>
            <val>141</val>
          </value>
        </values>
      </ddeItem>
      <ddeItem name="2458.BidPrice" advise="1">
        <values>
          <value>
            <val>140.5</val>
          </value>
        </values>
      </ddeItem>
      <ddeItem name="2458.Change" advise="1">
        <values>
          <value>
            <val>-2</val>
          </value>
        </values>
      </ddeItem>
      <ddeItem name="2458.ChangePercent" advise="1">
        <values>
          <value>
            <val>-1.4E-2</val>
          </value>
        </values>
      </ddeItem>
      <ddeItem name="2458.CumulativeVolume" advise="1">
        <values>
          <value>
            <val>9084</val>
          </value>
        </values>
      </ddeItem>
      <ddeItem name="2458.Open" advise="1">
        <values>
          <value>
            <val>144</val>
          </value>
        </values>
      </ddeItem>
      <ddeItem name="2458.PreOpenPrice" advise="1">
        <values>
          <value>
            <val>141</val>
          </value>
        </values>
      </ddeItem>
      <ddeItem name="2458.PreviousPrice" advise="1">
        <values>
          <value>
            <val>143</val>
          </value>
        </values>
      </ddeItem>
      <ddeItem name="2458.PreviousVolume" advise="1">
        <values>
          <value>
            <val>9754</val>
          </value>
        </values>
      </ddeItem>
      <ddeItem name="2458.Price" advise="1">
        <values>
          <value>
            <val>141</val>
          </value>
        </values>
      </ddeItem>
      <ddeItem name="2458.Volume" advise="1">
        <values>
          <value>
            <val>313</val>
          </value>
        </values>
      </ddeItem>
      <ddeItem name="2474.AskPrice" advise="1">
        <values>
          <value>
            <val>221.5</val>
          </value>
        </values>
      </ddeItem>
      <ddeItem name="2474.BidPrice" advise="1">
        <values>
          <value>
            <val>221</val>
          </value>
        </values>
      </ddeItem>
      <ddeItem name="2474.Change" advise="1">
        <values>
          <value>
            <val>-5</val>
          </value>
        </values>
      </ddeItem>
      <ddeItem name="2474.ChangePercent" advise="1">
        <values>
          <value>
            <val>-2.2100000000000002E-2</val>
          </value>
        </values>
      </ddeItem>
      <ddeItem name="2474.CumulativeVolume" advise="1">
        <values>
          <value>
            <val>5787</val>
          </value>
        </values>
      </ddeItem>
      <ddeItem name="2474.Open" advise="1">
        <values>
          <value>
            <val>225.5</val>
          </value>
        </values>
      </ddeItem>
      <ddeItem name="2474.PreOpenPrice" advise="1">
        <values>
          <value>
            <val>221</val>
          </value>
        </values>
      </ddeItem>
      <ddeItem name="2474.PreviousPrice" advise="1">
        <values>
          <value>
            <val>226</val>
          </value>
        </values>
      </ddeItem>
      <ddeItem name="2474.PreviousVolume" advise="1">
        <values>
          <value>
            <val>5563</val>
          </value>
        </values>
      </ddeItem>
      <ddeItem name="2474.Price" advise="1">
        <values>
          <value>
            <val>221</val>
          </value>
        </values>
      </ddeItem>
      <ddeItem name="2474.Volume" advise="1">
        <values>
          <value>
            <val>290</val>
          </value>
        </values>
      </ddeItem>
      <ddeItem name="2492.AskPrice" advise="1">
        <values>
          <value>
            <val>179.5</val>
          </value>
        </values>
      </ddeItem>
      <ddeItem name="2492.BidPrice" advise="1">
        <values>
          <value>
            <val>179</val>
          </value>
        </values>
      </ddeItem>
      <ddeItem name="2492.Change" advise="1">
        <values>
          <value>
            <val>3</val>
          </value>
        </values>
      </ddeItem>
      <ddeItem name="2492.ChangePercent" advise="1">
        <values>
          <value>
            <val>1.7000000000000001E-2</val>
          </value>
        </values>
      </ddeItem>
      <ddeItem name="2492.CumulativeVolume" advise="1">
        <values>
          <value>
            <val>11880</val>
          </value>
        </values>
      </ddeItem>
      <ddeItem name="2492.Open" advise="1">
        <values>
          <value>
            <val>179</val>
          </value>
        </values>
      </ddeItem>
      <ddeItem name="2492.PreOpenPrice" advise="1">
        <values>
          <value>
            <val>179</val>
          </value>
        </values>
      </ddeItem>
      <ddeItem name="2492.PreviousPrice" advise="1">
        <values>
          <value>
            <val>176</val>
          </value>
        </values>
      </ddeItem>
      <ddeItem name="2492.PreviousVolume" advise="1">
        <values>
          <value>
            <val>3609</val>
          </value>
        </values>
      </ddeItem>
      <ddeItem name="2492.Price" advise="1">
        <values>
          <value>
            <val>179</val>
          </value>
        </values>
      </ddeItem>
      <ddeItem name="2492.Volume" advise="1">
        <values>
          <value>
            <val>454</val>
          </value>
        </values>
      </ddeItem>
      <ddeItem name="2498.AskPrice" advise="1">
        <values>
          <value>
            <val>30.2</val>
          </value>
        </values>
      </ddeItem>
      <ddeItem name="2498.BidPrice" advise="1">
        <values>
          <value>
            <val>30.15</val>
          </value>
        </values>
      </ddeItem>
      <ddeItem name="2498.Change" advise="1">
        <values>
          <value>
            <val>-0.3</val>
          </value>
        </values>
      </ddeItem>
      <ddeItem name="2498.ChangePercent" advise="1">
        <values>
          <value>
            <val>-9.9000000000000008E-3</val>
          </value>
        </values>
      </ddeItem>
      <ddeItem name="2498.CumulativeVolume" advise="1">
        <values>
          <value>
            <val>4070</val>
          </value>
        </values>
      </ddeItem>
      <ddeItem name="2498.Open" advise="1">
        <values>
          <value>
            <val>30.45</val>
          </value>
        </values>
      </ddeItem>
      <ddeItem name="2498.PreOpenPrice" advise="1">
        <values>
          <value>
            <val>30.15</val>
          </value>
        </values>
      </ddeItem>
      <ddeItem name="2498.PreviousPrice" advise="1">
        <values>
          <value>
            <val>30.45</val>
          </value>
        </values>
      </ddeItem>
      <ddeItem name="2498.PreviousVolume" advise="1">
        <values>
          <value>
            <val>5093</val>
          </value>
        </values>
      </ddeItem>
      <ddeItem name="2498.Price" advise="1">
        <values>
          <value>
            <val>30.15</val>
          </value>
        </values>
      </ddeItem>
      <ddeItem name="2498.Volume" advise="1">
        <values>
          <value>
            <val>264</val>
          </value>
        </values>
      </ddeItem>
      <ddeItem name="2501.AskPrice" advise="1">
        <values>
          <value>
            <val>19.100000000000001</val>
          </value>
        </values>
      </ddeItem>
      <ddeItem name="2501.BidPrice" advise="1">
        <values>
          <value>
            <val>19.05</val>
          </value>
        </values>
      </ddeItem>
      <ddeItem name="2501.Change" advise="1">
        <values>
          <value>
            <val>-0.15</val>
          </value>
        </values>
      </ddeItem>
      <ddeItem name="2501.ChangePercent" advise="1">
        <values>
          <value>
            <val>-7.7999999999999996E-3</val>
          </value>
        </values>
      </ddeItem>
      <ddeItem name="2501.CumulativeVolume" advise="1">
        <values>
          <value>
            <val>424</val>
          </value>
        </values>
      </ddeItem>
      <ddeItem name="2501.Open" advise="1">
        <values>
          <value>
            <val>19.350000000000001</val>
          </value>
        </values>
      </ddeItem>
      <ddeItem name="2501.PreOpenPrice" advise="1">
        <values>
          <value>
            <val>19.05</val>
          </value>
        </values>
      </ddeItem>
      <ddeItem name="2501.PreviousPrice" advise="1">
        <values>
          <value>
            <val>19.2</val>
          </value>
        </values>
      </ddeItem>
      <ddeItem name="2501.PreviousVolume" advise="1">
        <values>
          <value>
            <val>1001</val>
          </value>
        </values>
      </ddeItem>
      <ddeItem name="2501.Price" advise="1">
        <values>
          <value>
            <val>19.05</val>
          </value>
        </values>
      </ddeItem>
      <ddeItem name="2501.Volume" advise="1">
        <values>
          <value>
            <val>43</val>
          </value>
        </values>
      </ddeItem>
      <ddeItem name="2504.AskPrice" advise="1">
        <values>
          <value>
            <val>16.55</val>
          </value>
        </values>
      </ddeItem>
      <ddeItem name="2504.BidPrice" advise="1">
        <values>
          <value>
            <val>16.5</val>
          </value>
        </values>
      </ddeItem>
      <ddeItem name="2504.Change" advise="1">
        <values>
          <value>
            <val>0.25</val>
          </value>
        </values>
      </ddeItem>
      <ddeItem name="2504.ChangePercent" advise="1">
        <values>
          <value>
            <val>1.54E-2</val>
          </value>
        </values>
      </ddeItem>
      <ddeItem name="2504.CumulativeVolume" advise="1">
        <values>
          <value>
            <val>7788</val>
          </value>
        </values>
      </ddeItem>
      <ddeItem name="2504.Open" advise="1">
        <values>
          <value>
            <val>16.399999999999999</val>
          </value>
        </values>
      </ddeItem>
      <ddeItem name="2504.PreOpenPrice" advise="1">
        <values>
          <value>
            <val>16.5</val>
          </value>
        </values>
      </ddeItem>
      <ddeItem name="2504.PreviousPrice" advise="1">
        <values>
          <value>
            <val>16.25</val>
          </value>
        </values>
      </ddeItem>
      <ddeItem name="2504.PreviousVolume" advise="1">
        <values>
          <value>
            <val>5840</val>
          </value>
        </values>
      </ddeItem>
      <ddeItem name="2504.Price" advise="1">
        <values>
          <value>
            <val>16.5</val>
          </value>
        </values>
      </ddeItem>
      <ddeItem name="2504.Volume" advise="1">
        <values>
          <value>
            <val>176</val>
          </value>
        </values>
      </ddeItem>
      <ddeItem name="2505.AskPrice" advise="1">
        <values>
          <value>
            <val>31.9</val>
          </value>
        </values>
      </ddeItem>
      <ddeItem name="2505.BidPrice" advise="1">
        <values>
          <value>
            <val>31.85</val>
          </value>
        </values>
      </ddeItem>
      <ddeItem name="2505.Change" advise="1">
        <values>
          <value>
            <val>0.2</val>
          </value>
        </values>
      </ddeItem>
      <ddeItem name="2505.ChangePercent" advise="1">
        <values>
          <value>
            <val>6.3E-3</val>
          </value>
        </values>
      </ddeItem>
      <ddeItem name="2505.CumulativeVolume" advise="1">
        <values>
          <value>
            <val>7980</val>
          </value>
        </values>
      </ddeItem>
      <ddeItem name="2505.Open" advise="1">
        <values>
          <value>
            <val>31.8</val>
          </value>
        </values>
      </ddeItem>
      <ddeItem name="2505.PreOpenPrice" advise="1">
        <values>
          <value>
            <val>31.9</val>
          </value>
        </values>
      </ddeItem>
      <ddeItem name="2505.PreviousPrice" advise="1">
        <values>
          <value>
            <val>31.7</val>
          </value>
        </values>
      </ddeItem>
      <ddeItem name="2505.PreviousVolume" advise="1">
        <values>
          <value>
            <val>11342</val>
          </value>
        </values>
      </ddeItem>
      <ddeItem name="2505.Price" advise="1">
        <values>
          <value>
            <val>31.9</val>
          </value>
        </values>
      </ddeItem>
      <ddeItem name="2505.Volume" advise="1">
        <values>
          <value>
            <val>515</val>
          </value>
        </values>
      </ddeItem>
      <ddeItem name="2511.AskPrice" advise="1">
        <values>
          <value>
            <val>9.7799999999999994</val>
          </value>
        </values>
      </ddeItem>
      <ddeItem name="2511.BidPrice" advise="1">
        <values>
          <value>
            <val>9.77</val>
          </value>
        </values>
      </ddeItem>
      <ddeItem name="2511.Change" advise="1">
        <values>
          <value>
            <val>-0.06</val>
          </value>
        </values>
      </ddeItem>
      <ddeItem name="2511.ChangePercent" advise="1">
        <values>
          <value>
            <val>-6.1000000000000004E-3</val>
          </value>
        </values>
      </ddeItem>
      <ddeItem name="2511.CumulativeVolume" advise="1">
        <values>
          <value>
            <val>509</val>
          </value>
        </values>
      </ddeItem>
      <ddeItem name="2511.Open" advise="1">
        <values>
          <value>
            <val>9.83</val>
          </value>
        </values>
      </ddeItem>
      <ddeItem name="2511.PreOpenPrice" advise="1">
        <values>
          <value>
            <val>9.77</val>
          </value>
        </values>
      </ddeItem>
      <ddeItem name="2511.PreviousPrice" advise="1">
        <values>
          <value>
            <val>9.83</val>
          </value>
        </values>
      </ddeItem>
      <ddeItem name="2511.PreviousVolume" advise="1">
        <values>
          <value>
            <val>1195</val>
          </value>
        </values>
      </ddeItem>
      <ddeItem name="2511.Price" advise="1">
        <values>
          <value>
            <val>9.77</val>
          </value>
        </values>
      </ddeItem>
      <ddeItem name="2511.Volume" advise="1">
        <values>
          <value>
            <val>17</val>
          </value>
        </values>
      </ddeItem>
      <ddeItem name="2520.AskPrice" advise="1">
        <values>
          <value>
            <val>35.75</val>
          </value>
        </values>
      </ddeItem>
      <ddeItem name="2520.BidPrice" advise="1">
        <values>
          <value>
            <val>35.700000000000003</val>
          </value>
        </values>
      </ddeItem>
      <ddeItem name="2520.Change" advise="1">
        <values>
          <value>
            <val>0.55000000000000004</val>
          </value>
        </values>
      </ddeItem>
      <ddeItem name="2520.ChangePercent" advise="1">
        <values>
          <value>
            <val>1.5599999999999999E-2</val>
          </value>
        </values>
      </ddeItem>
      <ddeItem name="2520.CumulativeVolume" advise="1">
        <values>
          <value>
            <val>2017</val>
          </value>
        </values>
      </ddeItem>
      <ddeItem name="2520.Open" advise="1">
        <values>
          <value>
            <val>35.5</val>
          </value>
        </values>
      </ddeItem>
      <ddeItem name="2520.PreOpenPrice" advise="1">
        <values>
          <value>
            <val>35.700000000000003</val>
          </value>
        </values>
      </ddeItem>
      <ddeItem name="2520.PreviousPrice" advise="1">
        <values>
          <value>
            <val>35.15</val>
          </value>
        </values>
      </ddeItem>
      <ddeItem name="2520.PreviousVolume" advise="1">
        <values>
          <value>
            <val>1077</val>
          </value>
        </values>
      </ddeItem>
      <ddeItem name="2520.Price" advise="1">
        <values>
          <value>
            <val>35.700000000000003</val>
          </value>
        </values>
      </ddeItem>
      <ddeItem name="2520.Volume" advise="1">
        <values>
          <value>
            <val>45</val>
          </value>
        </values>
      </ddeItem>
      <ddeItem name="2524.AskPrice" advise="1">
        <values>
          <value>
            <val>37.5</val>
          </value>
        </values>
      </ddeItem>
      <ddeItem name="2524.BidPrice" advise="1">
        <values>
          <value>
            <val>37.450000000000003</val>
          </value>
        </values>
      </ddeItem>
      <ddeItem name="2524.Change" advise="1">
        <values>
          <value>
            <val>-0.65</val>
          </value>
        </values>
      </ddeItem>
      <ddeItem name="2524.ChangePercent" advise="1">
        <values>
          <value>
            <val>-1.7100000000000001E-2</val>
          </value>
        </values>
      </ddeItem>
      <ddeItem name="2524.CumulativeVolume" advise="1">
        <values>
          <value>
            <val>177</val>
          </value>
        </values>
      </ddeItem>
      <ddeItem name="2524.Open" advise="1">
        <values>
          <value>
            <val>38.1</val>
          </value>
        </values>
      </ddeItem>
      <ddeItem name="2524.PreOpenPrice" advise="1">
        <values>
          <value>
            <val>37.450000000000003</val>
          </value>
        </values>
      </ddeItem>
      <ddeItem name="2524.PreviousPrice" advise="1">
        <values>
          <value>
            <val>38.1</val>
          </value>
        </values>
      </ddeItem>
      <ddeItem name="2524.PreviousVolume" advise="1">
        <values>
          <value>
            <val>1316</val>
          </value>
        </values>
      </ddeItem>
      <ddeItem name="2524.Price" advise="1">
        <values>
          <value>
            <val>37.450000000000003</val>
          </value>
        </values>
      </ddeItem>
      <ddeItem name="2524.Volume" advise="1">
        <values>
          <value>
            <val>56</val>
          </value>
        </values>
      </ddeItem>
      <ddeItem name="2539.AskPrice" advise="1">
        <values>
          <value>
            <val>35.15</val>
          </value>
        </values>
      </ddeItem>
      <ddeItem name="2539.BidPrice" advise="1">
        <values>
          <value>
            <val>35.1</val>
          </value>
        </values>
      </ddeItem>
      <ddeItem name="2539.Change" advise="1">
        <values>
          <value>
            <val>0.15</val>
          </value>
        </values>
      </ddeItem>
      <ddeItem name="2539.ChangePercent" advise="1">
        <values>
          <value>
            <val>4.3E-3</val>
          </value>
        </values>
      </ddeItem>
      <ddeItem name="2539.CumulativeVolume" advise="1">
        <values>
          <value>
            <val>404</val>
          </value>
        </values>
      </ddeItem>
      <ddeItem name="2539.Open" advise="1">
        <values>
          <value>
            <val>35</val>
          </value>
        </values>
      </ddeItem>
      <ddeItem name="2539.PreOpenPrice" advise="1">
        <values>
          <value>
            <val>35.15</val>
          </value>
        </values>
      </ddeItem>
      <ddeItem name="2539.PreviousPrice" advise="1">
        <values>
          <value>
            <val>35</val>
          </value>
        </values>
      </ddeItem>
      <ddeItem name="2539.PreviousVolume" advise="1">
        <values>
          <value>
            <val>557</val>
          </value>
        </values>
      </ddeItem>
      <ddeItem name="2539.Price" advise="1">
        <values>
          <value>
            <val>35.15</val>
          </value>
        </values>
      </ddeItem>
      <ddeItem name="2539.Volume" advise="1">
        <values>
          <value>
            <val>16</val>
          </value>
        </values>
      </ddeItem>
      <ddeItem name="2542.AskPrice" advise="1">
        <values>
          <value>
            <val>42.75</val>
          </value>
        </values>
      </ddeItem>
      <ddeItem name="2542.BidPrice" advise="1">
        <values>
          <value>
            <val>42.7</val>
          </value>
        </values>
      </ddeItem>
      <ddeItem name="2542.Change" advise="1">
        <values>
          <value>
            <val>-0.2</val>
          </value>
        </values>
      </ddeItem>
      <ddeItem name="2542.ChangePercent" advise="1">
        <values>
          <value>
            <val>-4.7000000000000002E-3</val>
          </value>
        </values>
      </ddeItem>
      <ddeItem name="2542.CumulativeVolume" advise="1">
        <values>
          <value>
            <val>1226</val>
          </value>
        </values>
      </ddeItem>
      <ddeItem name="2542.Open" advise="1">
        <values>
          <value>
            <val>43</val>
          </value>
        </values>
      </ddeItem>
      <ddeItem name="2542.PreOpenPrice" advise="1">
        <values>
          <value>
            <val>42.7</val>
          </value>
        </values>
      </ddeItem>
      <ddeItem name="2542.PreviousPrice" advise="1">
        <values>
          <value>
            <val>42.9</val>
          </value>
        </values>
      </ddeItem>
      <ddeItem name="2542.PreviousVolume" advise="1">
        <values>
          <value>
            <val>1415</val>
          </value>
        </values>
      </ddeItem>
      <ddeItem name="2542.Price" advise="1">
        <values>
          <value>
            <val>42.7</val>
          </value>
        </values>
      </ddeItem>
      <ddeItem name="2542.Volume" advise="1">
        <values>
          <value>
            <val>100</val>
          </value>
        </values>
      </ddeItem>
      <ddeItem name="2548.AskPrice" advise="1">
        <values>
          <value>
            <val>87.3</val>
          </value>
        </values>
      </ddeItem>
      <ddeItem name="2548.BidPrice" advise="1">
        <values>
          <value>
            <val>87.2</val>
          </value>
        </values>
      </ddeItem>
      <ddeItem name="2548.Change" advise="1">
        <values>
          <value>
            <val>1</val>
          </value>
        </values>
      </ddeItem>
      <ddeItem name="2548.ChangePercent" advise="1">
        <values>
          <value>
            <val>1.1599999999999999E-2</val>
          </value>
        </values>
      </ddeItem>
      <ddeItem name="2548.CumulativeVolume" advise="1">
        <values>
          <value>
            <val>1503</val>
          </value>
        </values>
      </ddeItem>
      <ddeItem name="2548.Open" advise="1">
        <values>
          <value>
            <val>86.6</val>
          </value>
        </values>
      </ddeItem>
      <ddeItem name="2548.PreOpenPrice" advise="1">
        <values>
          <value>
            <val>87.2</val>
          </value>
        </values>
      </ddeItem>
      <ddeItem name="2548.PreviousPrice" advise="1">
        <values>
          <value>
            <val>86.2</val>
          </value>
        </values>
      </ddeItem>
      <ddeItem name="2548.PreviousVolume" advise="1">
        <values>
          <value>
            <val>715</val>
          </value>
        </values>
      </ddeItem>
      <ddeItem name="2548.Price" advise="1">
        <values>
          <value>
            <val>87.2</val>
          </value>
        </values>
      </ddeItem>
      <ddeItem name="2548.Volume" advise="1">
        <values>
          <value>
            <val>38</val>
          </value>
        </values>
      </ddeItem>
      <ddeItem name="2603.AskPrice" advise="1">
        <values>
          <value>
            <val>12.45</val>
          </value>
        </values>
      </ddeItem>
      <ddeItem name="2603.BidPrice" advise="1">
        <values>
          <value>
            <val>12.4</val>
          </value>
        </values>
      </ddeItem>
      <ddeItem name="2603.Change" advise="1">
        <values>
          <value>
            <val>-0.05</val>
          </value>
        </values>
      </ddeItem>
      <ddeItem name="2603.ChangePercent" advise="1">
        <values>
          <value>
            <val>-4.0000000000000001E-3</val>
          </value>
        </values>
      </ddeItem>
      <ddeItem name="2603.CumulativeVolume" advise="1">
        <values>
          <value>
            <val>95780</val>
          </value>
        </values>
      </ddeItem>
      <ddeItem name="2603.Open" advise="1">
        <values>
          <value>
            <val>12.5</val>
          </value>
        </values>
      </ddeItem>
      <ddeItem name="2603.PreOpenPrice" advise="1">
        <values>
          <value>
            <val>12.45</val>
          </value>
        </values>
      </ddeItem>
      <ddeItem name="2603.PreviousPrice" advise="1">
        <values>
          <value>
            <val>12.5</val>
          </value>
        </values>
      </ddeItem>
      <ddeItem name="2603.PreviousVolume" advise="1">
        <values>
          <value>
            <val>78297</val>
          </value>
        </values>
      </ddeItem>
      <ddeItem name="2603.Price" advise="1">
        <values>
          <value>
            <val>12.45</val>
          </value>
        </values>
      </ddeItem>
      <ddeItem name="2603.Volume" advise="1">
        <values>
          <value>
            <val>1925</val>
          </value>
        </values>
      </ddeItem>
      <ddeItem name="2606.AskPrice" advise="1">
        <values>
          <value>
            <val>29.8</val>
          </value>
        </values>
      </ddeItem>
      <ddeItem name="2606.BidPrice" advise="1">
        <values>
          <value>
            <val>29.75</val>
          </value>
        </values>
      </ddeItem>
      <ddeItem name="2606.Change" advise="1">
        <values>
          <value>
            <val>0.3</val>
          </value>
        </values>
      </ddeItem>
      <ddeItem name="2606.ChangePercent" advise="1">
        <values>
          <value>
            <val>1.0200000000000001E-2</val>
          </value>
        </values>
      </ddeItem>
      <ddeItem name="2606.CumulativeVolume" advise="1">
        <values>
          <value>
            <val>4463</val>
          </value>
        </values>
      </ddeItem>
      <ddeItem name="2606.Open" advise="1">
        <values>
          <value>
            <val>29.65</val>
          </value>
        </values>
      </ddeItem>
      <ddeItem name="2606.PreOpenPrice" advise="1">
        <values>
          <value>
            <val>29.8</val>
          </value>
        </values>
      </ddeItem>
      <ddeItem name="2606.PreviousPrice" advise="1">
        <values>
          <value>
            <val>29.5</val>
          </value>
        </values>
      </ddeItem>
      <ddeItem name="2606.PreviousVolume" advise="1">
        <values>
          <value>
            <val>3991</val>
          </value>
        </values>
      </ddeItem>
      <ddeItem name="2606.Price" advise="1">
        <values>
          <value>
            <val>29.8</val>
          </value>
        </values>
      </ddeItem>
      <ddeItem name="2606.Volume" advise="1">
        <values>
          <value>
            <val>58</val>
          </value>
        </values>
      </ddeItem>
      <ddeItem name="2607.AskPrice" advise="1">
        <values>
          <value>
            <val>13.5</val>
          </value>
        </values>
      </ddeItem>
      <ddeItem name="2607.BidPrice" advise="1">
        <values>
          <value>
            <val>13.4</val>
          </value>
        </values>
      </ddeItem>
      <ddeItem name="2607.Change" advise="1">
        <values>
          <value>
            <val>0</val>
          </value>
        </values>
      </ddeItem>
      <ddeItem name="2607.ChangePercent" advise="1">
        <values>
          <value>
            <val>0</val>
          </value>
        </values>
      </ddeItem>
      <ddeItem name="2607.CumulativeVolume" advise="1">
        <values>
          <value>
            <val>1014</val>
          </value>
        </values>
      </ddeItem>
      <ddeItem name="2607.Open" advise="1">
        <values>
          <value>
            <val>13.5</val>
          </value>
        </values>
      </ddeItem>
      <ddeItem name="2607.PreOpenPrice" advise="1">
        <values>
          <value>
            <val>13.45</val>
          </value>
        </values>
      </ddeItem>
      <ddeItem name="2607.PreviousPrice" advise="1">
        <values>
          <value>
            <val>13.45</val>
          </value>
        </values>
      </ddeItem>
      <ddeItem name="2607.PreviousVolume" advise="1">
        <values>
          <value>
            <val>1710</val>
          </value>
        </values>
      </ddeItem>
      <ddeItem name="2607.Price" advise="1">
        <values>
          <value>
            <val>13.45</val>
          </value>
        </values>
      </ddeItem>
      <ddeItem name="2607.Volume" advise="1">
        <values>
          <value>
            <val>20</val>
          </value>
        </values>
      </ddeItem>
      <ddeItem name="2608.AskPrice" advise="1">
        <values>
          <value>
            <val>39.700000000000003</val>
          </value>
        </values>
      </ddeItem>
      <ddeItem name="2608.BidPrice" advise="1">
        <values>
          <value>
            <val>39.6</val>
          </value>
        </values>
      </ddeItem>
      <ddeItem name="2608.Change" advise="1">
        <values>
          <value>
            <val>0</val>
          </value>
        </values>
      </ddeItem>
      <ddeItem name="2608.ChangePercent" advise="1">
        <values>
          <value>
            <val>0</val>
          </value>
        </values>
      </ddeItem>
      <ddeItem name="2608.CumulativeVolume" advise="1">
        <values>
          <value>
            <val>57</val>
          </value>
        </values>
      </ddeItem>
      <ddeItem name="2608.Open" advise="1">
        <values>
          <value>
            <val>39.700000000000003</val>
          </value>
        </values>
      </ddeItem>
      <ddeItem name="2608.PreOpenPrice" advise="1">
        <values>
          <value>
            <val>39.700000000000003</val>
          </value>
        </values>
      </ddeItem>
      <ddeItem name="2608.PreviousPrice" advise="1">
        <values>
          <value>
            <val>39.700000000000003</val>
          </value>
        </values>
      </ddeItem>
      <ddeItem name="2608.PreviousVolume" advise="1">
        <values>
          <value>
            <val>100</val>
          </value>
        </values>
      </ddeItem>
      <ddeItem name="2608.Price" advise="1">
        <values>
          <value>
            <val>39.700000000000003</val>
          </value>
        </values>
      </ddeItem>
      <ddeItem name="2608.Volume" advise="1">
        <values>
          <value>
            <val>2</val>
          </value>
        </values>
      </ddeItem>
      <ddeItem name="2610.AskPrice" advise="1">
        <values>
          <value>
            <val>8.25</val>
          </value>
        </values>
      </ddeItem>
      <ddeItem name="2610.BidPrice" advise="1">
        <values>
          <value>
            <val>8.24</val>
          </value>
        </values>
      </ddeItem>
      <ddeItem name="2610.Change" advise="1">
        <values>
          <value>
            <val>-0.15</val>
          </value>
        </values>
      </ddeItem>
      <ddeItem name="2610.ChangePercent" advise="1">
        <values>
          <value>
            <val>-1.7899999999999999E-2</val>
          </value>
        </values>
      </ddeItem>
      <ddeItem name="2610.CumulativeVolume" advise="1">
        <values>
          <value>
            <val>22404</val>
          </value>
        </values>
      </ddeItem>
      <ddeItem name="2610.Open" advise="1">
        <values>
          <value>
            <val>8.4499999999999993</val>
          </value>
        </values>
      </ddeItem>
      <ddeItem name="2610.PreOpenPrice" advise="1">
        <values>
          <value>
            <val>8.24</val>
          </value>
        </values>
      </ddeItem>
      <ddeItem name="2610.PreviousPrice" advise="1">
        <values>
          <value>
            <val>8.39</val>
          </value>
        </values>
      </ddeItem>
      <ddeItem name="2610.PreviousVolume" advise="1">
        <values>
          <value>
            <val>46117</val>
          </value>
        </values>
      </ddeItem>
      <ddeItem name="2610.Price" advise="1">
        <values>
          <value>
            <val>8.24</val>
          </value>
        </values>
      </ddeItem>
      <ddeItem name="2610.Volume" advise="1">
        <values>
          <value>
            <val>1010</val>
          </value>
        </values>
      </ddeItem>
      <ddeItem name="2615.AskPrice" advise="1">
        <values>
          <value>
            <val>18.8</val>
          </value>
        </values>
      </ddeItem>
      <ddeItem name="2615.BidPrice" advise="1">
        <values>
          <value>
            <val>18.7</val>
          </value>
        </values>
      </ddeItem>
      <ddeItem name="2615.Change" advise="1">
        <values>
          <value>
            <val>-0.2</val>
          </value>
        </values>
      </ddeItem>
      <ddeItem name="2615.ChangePercent" advise="1">
        <values>
          <value>
            <val>-1.0500000000000001E-2</val>
          </value>
        </values>
      </ddeItem>
      <ddeItem name="2615.CumulativeVolume" advise="1">
        <values>
          <value>
            <val>4225</val>
          </value>
        </values>
      </ddeItem>
      <ddeItem name="2615.Open" advise="1">
        <values>
          <value>
            <val>19</val>
          </value>
        </values>
      </ddeItem>
      <ddeItem name="2615.PreOpenPrice" advise="1">
        <values>
          <value>
            <val>18.8</val>
          </value>
        </values>
      </ddeItem>
      <ddeItem name="2615.PreviousPrice" advise="1">
        <values>
          <value>
            <val>19</val>
          </value>
        </values>
      </ddeItem>
      <ddeItem name="2615.PreviousVolume" advise="1">
        <values>
          <value>
            <val>8067</val>
          </value>
        </values>
      </ddeItem>
      <ddeItem name="2615.Price" advise="1">
        <values>
          <value>
            <val>18.8</val>
          </value>
        </values>
      </ddeItem>
      <ddeItem name="2615.Volume" advise="1">
        <values>
          <value>
            <val>228</val>
          </value>
        </values>
      </ddeItem>
      <ddeItem name="2618.AskPrice" advise="1">
        <values>
          <value>
            <val>10.95</val>
          </value>
        </values>
      </ddeItem>
      <ddeItem name="2618.BidPrice" advise="1">
        <values>
          <value>
            <val>10.9</val>
          </value>
        </values>
      </ddeItem>
      <ddeItem name="2618.Change" advise="1">
        <values>
          <value>
            <val>-0.15</val>
          </value>
        </values>
      </ddeItem>
      <ddeItem name="2618.ChangePercent" advise="1">
        <values>
          <value>
            <val>-1.35E-2</val>
          </value>
        </values>
      </ddeItem>
      <ddeItem name="2618.CumulativeVolume" advise="1">
        <values>
          <value>
            <val>11881</val>
          </value>
        </values>
      </ddeItem>
      <ddeItem name="2618.Open" advise="1">
        <values>
          <value>
            <val>11.1</val>
          </value>
        </values>
      </ddeItem>
      <ddeItem name="2618.PreOpenPrice" advise="1">
        <values>
          <value>
            <val>10.95</val>
          </value>
        </values>
      </ddeItem>
      <ddeItem name="2618.PreviousPrice" advise="1">
        <values>
          <value>
            <val>11.1</val>
          </value>
        </values>
      </ddeItem>
      <ddeItem name="2618.PreviousVolume" advise="1">
        <values>
          <value>
            <val>28529</val>
          </value>
        </values>
      </ddeItem>
      <ddeItem name="2618.Price" advise="1">
        <values>
          <value>
            <val>10.95</val>
          </value>
        </values>
      </ddeItem>
      <ddeItem name="2618.Volume" advise="1">
        <values>
          <value>
            <val>731</val>
          </value>
        </values>
      </ddeItem>
      <ddeItem name="2633.AskPrice" advise="1">
        <values>
          <value>
            <val>32.25</val>
          </value>
        </values>
      </ddeItem>
      <ddeItem name="2633.BidPrice" advise="1">
        <values>
          <value>
            <val>32.200000000000003</val>
          </value>
        </values>
      </ddeItem>
      <ddeItem name="2633.Change" advise="1">
        <values>
          <value>
            <val>-0.4</val>
          </value>
        </values>
      </ddeItem>
      <ddeItem name="2633.ChangePercent" advise="1">
        <values>
          <value>
            <val>-1.23E-2</val>
          </value>
        </values>
      </ddeItem>
      <ddeItem name="2633.CumulativeVolume" advise="1">
        <values>
          <value>
            <val>6071</val>
          </value>
        </values>
      </ddeItem>
      <ddeItem name="2633.Open" advise="1">
        <values>
          <value>
            <val>32.6</val>
          </value>
        </values>
      </ddeItem>
      <ddeItem name="2633.PreOpenPrice" advise="1">
        <values>
          <value>
            <val>32.200000000000003</val>
          </value>
        </values>
      </ddeItem>
      <ddeItem name="2633.PreviousPrice" advise="1">
        <values>
          <value>
            <val>32.6</val>
          </value>
        </values>
      </ddeItem>
      <ddeItem name="2633.PreviousVolume" advise="1">
        <values>
          <value>
            <val>4047</val>
          </value>
        </values>
      </ddeItem>
      <ddeItem name="2633.Price" advise="1">
        <values>
          <value>
            <val>32.200000000000003</val>
          </value>
        </values>
      </ddeItem>
      <ddeItem name="2633.Volume" advise="1">
        <values>
          <value>
            <val>541</val>
          </value>
        </values>
      </ddeItem>
      <ddeItem name="2634.AskPrice" advise="1">
        <values>
          <value>
            <val>27.4</val>
          </value>
        </values>
      </ddeItem>
      <ddeItem name="2634.BidPrice" advise="1">
        <values>
          <value>
            <val>27.3</val>
          </value>
        </values>
      </ddeItem>
      <ddeItem name="2634.Change" advise="1">
        <values>
          <value>
            <val>0.1</val>
          </value>
        </values>
      </ddeItem>
      <ddeItem name="2634.ChangePercent" advise="1">
        <values>
          <value>
            <val>3.7000000000000002E-3</val>
          </value>
        </values>
      </ddeItem>
      <ddeItem name="2634.CumulativeVolume" advise="1">
        <values>
          <value>
            <val>2461</val>
          </value>
        </values>
      </ddeItem>
      <ddeItem name="2634.Open" advise="1">
        <values>
          <value>
            <val>27.25</val>
          </value>
        </values>
      </ddeItem>
      <ddeItem name="2634.PreOpenPrice" advise="1">
        <values>
          <value>
            <val>27.3</val>
          </value>
        </values>
      </ddeItem>
      <ddeItem name="2634.PreviousPrice" advise="1">
        <values>
          <value>
            <val>27.2</val>
          </value>
        </values>
      </ddeItem>
      <ddeItem name="2634.PreviousVolume" advise="1">
        <values>
          <value>
            <val>2570</val>
          </value>
        </values>
      </ddeItem>
      <ddeItem name="2634.Price" advise="1">
        <values>
          <value>
            <val>27.3</val>
          </value>
        </values>
      </ddeItem>
      <ddeItem name="2634.Volume" advise="1">
        <values>
          <value>
            <val>54</val>
          </value>
        </values>
      </ddeItem>
      <ddeItem name="2637.AskPrice" advise="1">
        <values>
          <value>
            <val>22.8</val>
          </value>
        </values>
      </ddeItem>
      <ddeItem name="2637.BidPrice" advise="1">
        <values>
          <value>
            <val>22.75</val>
          </value>
        </values>
      </ddeItem>
      <ddeItem name="2637.Change" advise="1">
        <values>
          <value>
            <val>0.2</val>
          </value>
        </values>
      </ddeItem>
      <ddeItem name="2637.ChangePercent" advise="1">
        <values>
          <value>
            <val>8.8000000000000005E-3</val>
          </value>
        </values>
      </ddeItem>
      <ddeItem name="2637.CumulativeVolume" advise="1">
        <values>
          <value>
            <val>1547</val>
          </value>
        </values>
      </ddeItem>
      <ddeItem name="2637.Open" advise="1">
        <values>
          <value>
            <val>22.65</val>
          </value>
        </values>
      </ddeItem>
      <ddeItem name="2637.PreOpenPrice" advise="1">
        <values>
          <value>
            <val>22.8</val>
          </value>
        </values>
      </ddeItem>
      <ddeItem name="2637.PreviousPrice" advise="1">
        <values>
          <value>
            <val>22.6</val>
          </value>
        </values>
      </ddeItem>
      <ddeItem name="2637.PreviousVolume" advise="1">
        <values>
          <value>
            <val>1459</val>
          </value>
        </values>
      </ddeItem>
      <ddeItem name="2637.Price" advise="1">
        <values>
          <value>
            <val>22.8</val>
          </value>
        </values>
      </ddeItem>
      <ddeItem name="2637.Volume" advise="1">
        <values>
          <value>
            <val>19</val>
          </value>
        </values>
      </ddeItem>
      <ddeItem name="2707.AskPrice" advise="1">
        <values>
          <value>
            <val>134.5</val>
          </value>
        </values>
      </ddeItem>
      <ddeItem name="2707.BidPrice" advise="1">
        <values>
          <value>
            <val>134</val>
          </value>
        </values>
      </ddeItem>
      <ddeItem name="2707.Change" advise="1">
        <values>
          <value>
            <val>1</val>
          </value>
        </values>
      </ddeItem>
      <ddeItem name="2707.ChangePercent" advise="1">
        <values>
          <value>
            <val>7.4999999999999997E-3</val>
          </value>
        </values>
      </ddeItem>
      <ddeItem name="2707.CumulativeVolume" advise="1">
        <values>
          <value>
            <val>153</val>
          </value>
        </values>
      </ddeItem>
      <ddeItem name="2707.Open" advise="1">
        <values>
          <value>
            <val>133.5</val>
          </value>
        </values>
      </ddeItem>
      <ddeItem name="2707.PreOpenPrice" advise="1">
        <values>
          <value>
            <val>134.5</val>
          </value>
        </values>
      </ddeItem>
      <ddeItem name="2707.PreviousPrice" advise="1">
        <values>
          <value>
            <val>133.5</val>
          </value>
        </values>
      </ddeItem>
      <ddeItem name="2707.PreviousVolume" advise="1">
        <values>
          <value>
            <val>163</val>
          </value>
        </values>
      </ddeItem>
      <ddeItem name="2707.Price" advise="1">
        <values>
          <value>
            <val>134.5</val>
          </value>
        </values>
      </ddeItem>
      <ddeItem name="2707.Volume" advise="1">
        <values>
          <value>
            <val>6</val>
          </value>
        </values>
      </ddeItem>
      <ddeItem name="2723.AskPrice" advise="1">
        <values>
          <value>
            <val>100.5</val>
          </value>
        </values>
      </ddeItem>
      <ddeItem name="2723.BidPrice" advise="1">
        <values>
          <value>
            <val>100</val>
          </value>
        </values>
      </ddeItem>
      <ddeItem name="2723.Change" advise="1">
        <values>
          <value>
            <val>3.6</val>
          </value>
        </values>
      </ddeItem>
      <ddeItem name="2723.ChangePercent" advise="1">
        <values>
          <value>
            <val>3.73E-2</val>
          </value>
        </values>
      </ddeItem>
      <ddeItem name="2723.CumulativeVolume" advise="1">
        <values>
          <value>
            <val>2374</val>
          </value>
        </values>
      </ddeItem>
      <ddeItem name="2723.Open" advise="1">
        <values>
          <value>
            <val>98.5</val>
          </value>
        </values>
      </ddeItem>
      <ddeItem name="2723.PreOpenPrice" advise="1">
        <values>
          <value>
            <val>100</val>
          </value>
        </values>
      </ddeItem>
      <ddeItem name="2723.PreviousPrice" advise="1">
        <values>
          <value>
            <val>96.4</val>
          </value>
        </values>
      </ddeItem>
      <ddeItem name="2723.PreviousVolume" advise="1">
        <values>
          <value>
            <val>913</val>
          </value>
        </values>
      </ddeItem>
      <ddeItem name="2723.Price" advise="1">
        <values>
          <value>
            <val>100</val>
          </value>
        </values>
      </ddeItem>
      <ddeItem name="2723.Volume" advise="1">
        <values>
          <value>
            <val>78</val>
          </value>
        </values>
      </ddeItem>
      <ddeItem name="2801.AskPrice" advise="1">
        <values>
          <value>
            <val>18.350000000000001</val>
          </value>
        </values>
      </ddeItem>
      <ddeItem name="2801.BidPrice" advise="1">
        <values>
          <value>
            <val>18.3</val>
          </value>
        </values>
      </ddeItem>
      <ddeItem name="2801.Change" advise="1">
        <values>
          <value>
            <val>0.05</val>
          </value>
        </values>
      </ddeItem>
      <ddeItem name="2801.ChangePercent" advise="1">
        <values>
          <value>
            <val>2.7000000000000001E-3</val>
          </value>
        </values>
      </ddeItem>
      <ddeItem name="2801.CumulativeVolume" advise="1">
        <values>
          <value>
            <val>12530</val>
          </value>
        </values>
      </ddeItem>
      <ddeItem name="2801.Open" advise="1">
        <values>
          <value>
            <val>18.45</val>
          </value>
        </values>
      </ddeItem>
      <ddeItem name="2801.PreOpenPrice" advise="1">
        <values>
          <value>
            <val>18.3</val>
          </value>
        </values>
      </ddeItem>
      <ddeItem name="2801.PreviousPrice" advise="1">
        <values>
          <value>
            <val>19.399999999999999</val>
          </value>
        </values>
      </ddeItem>
      <ddeItem name="2801.PreviousVolume" advise="1">
        <values>
          <value>
            <val>11064</val>
          </value>
        </values>
      </ddeItem>
      <ddeItem name="2801.Price" advise="1">
        <values>
          <value>
            <val>18.3</val>
          </value>
        </values>
      </ddeItem>
      <ddeItem name="2801.Volume" advise="1">
        <values>
          <value>
            <val>851</val>
          </value>
        </values>
      </ddeItem>
      <ddeItem name="2809.AskPrice" advise="1">
        <values>
          <value>
            <val>35.9</val>
          </value>
        </values>
      </ddeItem>
      <ddeItem name="2809.BidPrice" advise="1">
        <values>
          <value>
            <val>35.85</val>
          </value>
        </values>
      </ddeItem>
      <ddeItem name="2809.Change" advise="1">
        <values>
          <value>
            <val>-0.4</val>
          </value>
        </values>
      </ddeItem>
      <ddeItem name="2809.ChangePercent" advise="1">
        <values>
          <value>
            <val>-1.0999999999999999E-2</val>
          </value>
        </values>
      </ddeItem>
      <ddeItem name="2809.CumulativeVolume" advise="1">
        <values>
          <value>
            <val>1555</val>
          </value>
        </values>
      </ddeItem>
      <ddeItem name="2809.Open" advise="1">
        <values>
          <value>
            <val>36.25</val>
          </value>
        </values>
      </ddeItem>
      <ddeItem name="2809.PreOpenPrice" advise="1">
        <values>
          <value>
            <val>35.85</val>
          </value>
        </values>
      </ddeItem>
      <ddeItem name="2809.PreviousPrice" advise="1">
        <values>
          <value>
            <val>36.25</val>
          </value>
        </values>
      </ddeItem>
      <ddeItem name="2809.PreviousVolume" advise="1">
        <values>
          <value>
            <val>1114</val>
          </value>
        </values>
      </ddeItem>
      <ddeItem name="2809.Price" advise="1">
        <values>
          <value>
            <val>35.85</val>
          </value>
        </values>
      </ddeItem>
      <ddeItem name="2809.Volume" advise="1">
        <values>
          <value>
            <val>12</val>
          </value>
        </values>
      </ddeItem>
      <ddeItem name="2812.AskPrice" advise="1">
        <values>
          <value>
            <val>12</val>
          </value>
        </values>
      </ddeItem>
      <ddeItem name="2812.BidPrice" advise="1">
        <values>
          <value>
            <val>11.95</val>
          </value>
        </values>
      </ddeItem>
      <ddeItem name="2812.Change" advise="1">
        <values>
          <value>
            <val>-0.05</val>
          </value>
        </values>
      </ddeItem>
      <ddeItem name="2812.ChangePercent" advise="1">
        <values>
          <value>
            <val>-4.1999999999999997E-3</val>
          </value>
        </values>
      </ddeItem>
      <ddeItem name="2812.CumulativeVolume" advise="1">
        <values>
          <value>
            <val>5316</val>
          </value>
        </values>
      </ddeItem>
      <ddeItem name="2812.Open" advise="1">
        <values>
          <value>
            <val>12</val>
          </value>
        </values>
      </ddeItem>
      <ddeItem name="2812.PreOpenPrice" advise="1">
        <values>
          <value>
            <val>11.95</val>
          </value>
        </values>
      </ddeItem>
      <ddeItem name="2812.PreviousPrice" advise="1">
        <values>
          <value>
            <val>12</val>
          </value>
        </values>
      </ddeItem>
      <ddeItem name="2812.PreviousVolume" advise="1">
        <values>
          <value>
            <val>7005</val>
          </value>
        </values>
      </ddeItem>
      <ddeItem name="2812.Price" advise="1">
        <values>
          <value>
            <val>11.95</val>
          </value>
        </values>
      </ddeItem>
      <ddeItem name="2812.Volume" advise="1">
        <values>
          <value>
            <val>218</val>
          </value>
        </values>
      </ddeItem>
      <ddeItem name="2816.AskPrice" advise="1">
        <values>
          <value>
            <val>17.95</val>
          </value>
        </values>
      </ddeItem>
      <ddeItem name="2816.BidPrice" advise="1">
        <values>
          <value>
            <val>17.850000000000001</val>
          </value>
        </values>
      </ddeItem>
      <ddeItem name="2816.Change" advise="1">
        <values>
          <value>
            <val>-0.2</val>
          </value>
        </values>
      </ddeItem>
      <ddeItem name="2816.ChangePercent" advise="1">
        <values>
          <value>
            <val>-1.11E-2</val>
          </value>
        </values>
      </ddeItem>
      <ddeItem name="2816.CumulativeVolume" advise="1">
        <values>
          <value>
            <val>163</val>
          </value>
        </values>
      </ddeItem>
      <ddeItem name="2816.Open" advise="1">
        <values>
          <value>
            <val>18.100000000000001</val>
          </value>
        </values>
      </ddeItem>
      <ddeItem name="2816.PreOpenPrice" advise="1">
        <values>
          <value>
            <val>18</val>
          </value>
        </values>
      </ddeItem>
      <ddeItem name="2816.PreviousPrice" advise="1">
        <values>
          <value>
            <val>18.05</val>
          </value>
        </values>
      </ddeItem>
      <ddeItem name="2816.PreviousVolume" advise="1">
        <values>
          <value>
            <val>211</val>
          </value>
        </values>
      </ddeItem>
      <ddeItem name="2816.Price" advise="1">
        <values>
          <value>
            <val>17.850000000000001</val>
          </value>
        </values>
      </ddeItem>
      <ddeItem name="2816.Volume" advise="1">
        <values>
          <value>
            <val>1</val>
          </value>
        </values>
      </ddeItem>
      <ddeItem name="2820.AskPrice" advise="1">
        <values>
          <value>
            <val>14.85</val>
          </value>
        </values>
      </ddeItem>
      <ddeItem name="2820.BidPrice" advise="1">
        <values>
          <value>
            <val>14.8</val>
          </value>
        </values>
      </ddeItem>
      <ddeItem name="2820.Change" advise="1">
        <values>
          <value>
            <val>0.05</val>
          </value>
        </values>
      </ddeItem>
      <ddeItem name="2820.ChangePercent" advise="1">
        <values>
          <value>
            <val>3.3999999999999998E-3</val>
          </value>
        </values>
      </ddeItem>
      <ddeItem name="2820.CumulativeVolume" advise="1">
        <values>
          <value>
            <val>962</val>
          </value>
        </values>
      </ddeItem>
      <ddeItem name="2820.Open" advise="1">
        <values>
          <value>
            <val>14.8</val>
          </value>
        </values>
      </ddeItem>
      <ddeItem name="2820.PreOpenPrice" advise="1">
        <values>
          <value>
            <val>14.85</val>
          </value>
        </values>
      </ddeItem>
      <ddeItem name="2820.PreviousPrice" advise="1">
        <values>
          <value>
            <val>14.8</val>
          </value>
        </values>
      </ddeItem>
      <ddeItem name="2820.PreviousVolume" advise="1">
        <values>
          <value>
            <val>452</val>
          </value>
        </values>
      </ddeItem>
      <ddeItem name="2820.Price" advise="1">
        <values>
          <value>
            <val>14.85</val>
          </value>
        </values>
      </ddeItem>
      <ddeItem name="2820.Volume" advise="1">
        <values>
          <value>
            <val>25</val>
          </value>
        </values>
      </ddeItem>
      <ddeItem name="2823.AskPrice" advise="1">
        <values>
          <value>
            <val>20.5</val>
          </value>
        </values>
      </ddeItem>
      <ddeItem name="2823.BidPrice" advise="1">
        <values>
          <value>
            <val>20.45</val>
          </value>
        </values>
      </ddeItem>
      <ddeItem name="2823.Change" advise="1">
        <values>
          <value>
            <val>-0.1</val>
          </value>
        </values>
      </ddeItem>
      <ddeItem name="2823.ChangePercent" advise="1">
        <values>
          <value>
            <val>-4.8999999999999998E-3</val>
          </value>
        </values>
      </ddeItem>
      <ddeItem name="2823.CumulativeVolume" advise="1">
        <values>
          <value>
            <val>9756</val>
          </value>
        </values>
      </ddeItem>
      <ddeItem name="2823.Open" advise="1">
        <values>
          <value>
            <val>20.75</val>
          </value>
        </values>
      </ddeItem>
      <ddeItem name="2823.PreOpenPrice" advise="1">
        <values>
          <value>
            <val>20.45</val>
          </value>
        </values>
      </ddeItem>
      <ddeItem name="2823.PreviousPrice" advise="1">
        <values>
          <value>
            <val>20.55</val>
          </value>
        </values>
      </ddeItem>
      <ddeItem name="2823.PreviousVolume" advise="1">
        <values>
          <value>
            <val>8299</val>
          </value>
        </values>
      </ddeItem>
      <ddeItem name="2823.Price" advise="1">
        <values>
          <value>
            <val>20.45</val>
          </value>
        </values>
      </ddeItem>
      <ddeItem name="2823.Volume" advise="1">
        <values>
          <value>
            <val>1416</val>
          </value>
        </values>
      </ddeItem>
      <ddeItem name="2832.AskPrice" advise="1">
        <values>
          <value>
            <val>19.850000000000001</val>
          </value>
        </values>
      </ddeItem>
      <ddeItem name="2832.BidPrice" advise="1">
        <values>
          <value>
            <val>19.8</val>
          </value>
        </values>
      </ddeItem>
      <ddeItem name="2832.Change" advise="1">
        <values>
          <value>
            <val>0</val>
          </value>
        </values>
      </ddeItem>
      <ddeItem name="2832.ChangePercent" advise="1">
        <values>
          <value>
            <val>0</val>
          </value>
        </values>
      </ddeItem>
      <ddeItem name="2832.CumulativeVolume" advise="1">
        <values>
          <value>
            <val>113</val>
          </value>
        </values>
      </ddeItem>
      <ddeItem name="2832.Open" advise="1">
        <values>
          <value>
            <val>19.850000000000001</val>
          </value>
        </values>
      </ddeItem>
      <ddeItem name="2832.PreOpenPrice" advise="1">
        <values>
          <value>
            <val>19.850000000000001</val>
          </value>
        </values>
      </ddeItem>
      <ddeItem name="2832.PreviousPrice" advise="1">
        <values>
          <value>
            <val>19.8</val>
          </value>
        </values>
      </ddeItem>
      <ddeItem name="2832.PreviousVolume" advise="1">
        <values>
          <value>
            <val>251</val>
          </value>
        </values>
      </ddeItem>
      <ddeItem name="2832.Price" advise="1">
        <values>
          <value>
            <val>19.8</val>
          </value>
        </values>
      </ddeItem>
      <ddeItem name="2832.Volume" advise="1">
        <values>
          <value>
            <val>8</val>
          </value>
        </values>
      </ddeItem>
      <ddeItem name="2834.AskPrice" advise="1">
        <values>
          <value>
            <val>10.15</val>
          </value>
        </values>
      </ddeItem>
      <ddeItem name="2834.BidPrice" advise="1">
        <values>
          <value>
            <val>10.1</val>
          </value>
        </values>
      </ddeItem>
      <ddeItem name="2834.Change" advise="1">
        <values>
          <value>
            <val>-0.1</val>
          </value>
        </values>
      </ddeItem>
      <ddeItem name="2834.ChangePercent" advise="1">
        <values>
          <value>
            <val>-9.7999999999999997E-3</val>
          </value>
        </values>
      </ddeItem>
      <ddeItem name="2834.CumulativeVolume" advise="1">
        <values>
          <value>
            <val>11619</val>
          </value>
        </values>
      </ddeItem>
      <ddeItem name="2834.Open" advise="1">
        <values>
          <value>
            <val>10.15</val>
          </value>
        </values>
      </ddeItem>
      <ddeItem name="2834.PreOpenPrice" advise="1">
        <values>
          <value>
            <val>10.1</val>
          </value>
        </values>
      </ddeItem>
      <ddeItem name="2834.PreviousPrice" advise="1">
        <values>
          <value>
            <val>10.199999999999999</val>
          </value>
        </values>
      </ddeItem>
      <ddeItem name="2834.PreviousVolume" advise="1">
        <values>
          <value>
            <val>13060</val>
          </value>
        </values>
      </ddeItem>
      <ddeItem name="2834.Price" advise="1">
        <values>
          <value>
            <val>10.1</val>
          </value>
        </values>
      </ddeItem>
      <ddeItem name="2834.Volume" advise="1">
        <values>
          <value>
            <val>1017</val>
          </value>
        </values>
      </ddeItem>
      <ddeItem name="2836.AskPrice" advise="1">
        <values>
          <value>
            <val>10.050000000000001</val>
          </value>
        </values>
      </ddeItem>
      <ddeItem name="2836.BidPrice" advise="1">
        <values>
          <value>
            <val>10</val>
          </value>
        </values>
      </ddeItem>
      <ddeItem name="2836.Change" advise="1">
        <values>
          <value>
            <val>0.05</val>
          </value>
        </values>
      </ddeItem>
      <ddeItem name="2836.ChangePercent" advise="1">
        <values>
          <value>
            <val>5.0000000000000001E-3</val>
          </value>
        </values>
      </ddeItem>
      <ddeItem name="2836.CumulativeVolume" advise="1">
        <values>
          <value>
            <val>1105</val>
          </value>
        </values>
      </ddeItem>
      <ddeItem name="2836.Open" advise="1">
        <values>
          <value>
            <val>9.98</val>
          </value>
        </values>
      </ddeItem>
      <ddeItem name="2836.PreOpenPrice" advise="1">
        <values>
          <value>
            <val>10</val>
          </value>
        </values>
      </ddeItem>
      <ddeItem name="2836.PreviousPrice" advise="1">
        <values>
          <value>
            <val>9.9499999999999993</val>
          </value>
        </values>
      </ddeItem>
      <ddeItem name="2836.PreviousVolume" advise="1">
        <values>
          <value>
            <val>817</val>
          </value>
        </values>
      </ddeItem>
      <ddeItem name="2836.Price" advise="1">
        <values>
          <value>
            <val>10</val>
          </value>
        </values>
      </ddeItem>
      <ddeItem name="2836.Volume" advise="1">
        <values>
          <value>
            <val>45</val>
          </value>
        </values>
      </ddeItem>
      <ddeItem name="2838.AskPrice" advise="1">
        <values>
          <value>
            <val>10.4</val>
          </value>
        </values>
      </ddeItem>
      <ddeItem name="2838.BidPrice" advise="1">
        <values>
          <value>
            <val>10.35</val>
          </value>
        </values>
      </ddeItem>
      <ddeItem name="2838.Change" advise="1">
        <values>
          <value>
            <val>-0.1</val>
          </value>
        </values>
      </ddeItem>
      <ddeItem name="2838.ChangePercent" advise="1">
        <values>
          <value>
            <val>-9.5999999999999992E-3</val>
          </value>
        </values>
      </ddeItem>
      <ddeItem name="2838.CumulativeVolume" advise="1">
        <values>
          <value>
            <val>1362</val>
          </value>
        </values>
      </ddeItem>
      <ddeItem name="2838.Open" advise="1">
        <values>
          <value>
            <val>10.45</val>
          </value>
        </values>
      </ddeItem>
      <ddeItem name="2838.PreOpenPrice" advise="1">
        <values>
          <value>
            <val>10.35</val>
          </value>
        </values>
      </ddeItem>
      <ddeItem name="2838.PreviousPrice" advise="1">
        <values>
          <value>
            <val>10.45</val>
          </value>
        </values>
      </ddeItem>
      <ddeItem name="2838.PreviousVolume" advise="1">
        <values>
          <value>
            <val>834</val>
          </value>
        </values>
      </ddeItem>
      <ddeItem name="2838.Price" advise="1">
        <values>
          <value>
            <val>10.35</val>
          </value>
        </values>
      </ddeItem>
      <ddeItem name="2838.Volume" advise="1">
        <values>
          <value>
            <val>60</val>
          </value>
        </values>
      </ddeItem>
      <ddeItem name="2845.AskPrice" advise="1">
        <values>
          <value>
            <val>11.35</val>
          </value>
        </values>
      </ddeItem>
      <ddeItem name="2845.BidPrice" advise="1">
        <values>
          <value>
            <val>11.3</val>
          </value>
        </values>
      </ddeItem>
      <ddeItem name="2845.Change" advise="1">
        <values>
          <value>
            <val>0</val>
          </value>
        </values>
      </ddeItem>
      <ddeItem name="2845.ChangePercent" advise="1">
        <values>
          <value>
            <val>0</val>
          </value>
        </values>
      </ddeItem>
      <ddeItem name="2845.CumulativeVolume" advise="1">
        <values>
          <value>
            <val>2243</val>
          </value>
        </values>
      </ddeItem>
      <ddeItem name="2845.Open" advise="1">
        <values>
          <value>
            <val>11.35</val>
          </value>
        </values>
      </ddeItem>
      <ddeItem name="2845.PreOpenPrice" advise="1">
        <values>
          <value>
            <val>11.3</val>
          </value>
        </values>
      </ddeItem>
      <ddeItem name="2845.PreviousPrice" advise="1">
        <values>
          <value>
            <val>11.3</val>
          </value>
        </values>
      </ddeItem>
      <ddeItem name="2845.PreviousVolume" advise="1">
        <values>
          <value>
            <val>2226</val>
          </value>
        </values>
      </ddeItem>
      <ddeItem name="2845.Price" advise="1">
        <values>
          <value>
            <val>11.3</val>
          </value>
        </values>
      </ddeItem>
      <ddeItem name="2845.Volume" advise="1">
        <values>
          <value>
            <val>130</val>
          </value>
        </values>
      </ddeItem>
      <ddeItem name="2849.AskPrice" advise="1">
        <values>
          <value>
            <val>13.95</val>
          </value>
        </values>
      </ddeItem>
      <ddeItem name="2849.BidPrice" advise="1">
        <values>
          <value>
            <val>13.9</val>
          </value>
        </values>
      </ddeItem>
      <ddeItem name="2849.Change" advise="1">
        <values>
          <value>
            <val>0</val>
          </value>
        </values>
      </ddeItem>
      <ddeItem name="2849.ChangePercent" advise="1">
        <values>
          <value>
            <val>0</val>
          </value>
        </values>
      </ddeItem>
      <ddeItem name="2849.CumulativeVolume" advise="1">
        <values>
          <value>
            <val>14</val>
          </value>
        </values>
      </ddeItem>
      <ddeItem name="2849.Open" advise="1">
        <values>
          <value>
            <val>14</val>
          </value>
        </values>
      </ddeItem>
      <ddeItem name="2849.PreOpenPrice" advise="1">
        <values>
          <value>
            <val>13.95</val>
          </value>
        </values>
      </ddeItem>
      <ddeItem name="2849.PreviousPrice" advise="1">
        <values>
          <value>
            <val>13.95</val>
          </value>
        </values>
      </ddeItem>
      <ddeItem name="2849.PreviousVolume" advise="1">
        <values>
          <value>
            <val>39</val>
          </value>
        </values>
      </ddeItem>
      <ddeItem name="2849.Price" advise="1">
        <values>
          <value>
            <val>13.95</val>
          </value>
        </values>
      </ddeItem>
      <ddeItem name="2849.Volume" advise="1">
        <values>
          <value>
            <val>1</val>
          </value>
        </values>
      </ddeItem>
      <ddeItem name="2850.AskPrice" advise="1">
        <values>
          <value>
            <val>34.35</val>
          </value>
        </values>
      </ddeItem>
      <ddeItem name="2850.BidPrice" advise="1">
        <values>
          <value>
            <val>34.200000000000003</val>
          </value>
        </values>
      </ddeItem>
      <ddeItem name="2850.Change" advise="1">
        <values>
          <value>
            <val>-0.05</val>
          </value>
        </values>
      </ddeItem>
      <ddeItem name="2850.ChangePercent" advise="1">
        <values>
          <value>
            <val>-1.5E-3</val>
          </value>
        </values>
      </ddeItem>
      <ddeItem name="2850.CumulativeVolume" advise="1">
        <values>
          <value>
            <val>86</val>
          </value>
        </values>
      </ddeItem>
      <ddeItem name="2850.Open" advise="1">
        <values>
          <value>
            <val>34.299999999999997</val>
          </value>
        </values>
      </ddeItem>
      <ddeItem name="2850.PreOpenPrice" advise="1">
        <values>
          <value>
            <val>34.200000000000003</val>
          </value>
        </values>
      </ddeItem>
      <ddeItem name="2850.PreviousPrice" advise="1">
        <values>
          <value>
            <val>34.25</val>
          </value>
        </values>
      </ddeItem>
      <ddeItem name="2850.PreviousVolume" advise="1">
        <values>
          <value>
            <val>116</val>
          </value>
        </values>
      </ddeItem>
      <ddeItem name="2850.Price" advise="1">
        <values>
          <value>
            <val>34.200000000000003</val>
          </value>
        </values>
      </ddeItem>
      <ddeItem name="2850.Volume" advise="1">
        <values>
          <value>
            <val>2</val>
          </value>
        </values>
      </ddeItem>
      <ddeItem name="2851.AskPrice" advise="1">
        <values>
          <value>
            <val>19.05</val>
          </value>
        </values>
      </ddeItem>
      <ddeItem name="2851.BidPrice" advise="1">
        <values>
          <value>
            <val>19</val>
          </value>
        </values>
      </ddeItem>
      <ddeItem name="2851.Change" advise="1">
        <values>
          <value>
            <val>-0.05</val>
          </value>
        </values>
      </ddeItem>
      <ddeItem name="2851.ChangePercent" advise="1">
        <values>
          <value>
            <val>-2.5999999999999999E-3</val>
          </value>
        </values>
      </ddeItem>
      <ddeItem name="2851.CumulativeVolume" advise="1">
        <values>
          <value>
            <val>122</val>
          </value>
        </values>
      </ddeItem>
      <ddeItem name="2851.Open" advise="1">
        <values>
          <value>
            <val>19.100000000000001</val>
          </value>
        </values>
      </ddeItem>
      <ddeItem name="2851.PreOpenPrice" advise="1">
        <values>
          <value>
            <val>19</val>
          </value>
        </values>
      </ddeItem>
      <ddeItem name="2851.PreviousPrice" advise="1">
        <values>
          <value>
            <val>19.05</val>
          </value>
        </values>
      </ddeItem>
      <ddeItem name="2851.PreviousVolume" advise="1">
        <values>
          <value>
            <val>704</val>
          </value>
        </values>
      </ddeItem>
      <ddeItem name="2851.Price" advise="1">
        <values>
          <value>
            <val>19</val>
          </value>
        </values>
      </ddeItem>
      <ddeItem name="2851.Volume" advise="1">
        <values>
          <value>
            <val>8</val>
          </value>
        </values>
      </ddeItem>
      <ddeItem name="2852.AskPrice" advise="1">
        <values>
          <value>
            <val>13</val>
          </value>
        </values>
      </ddeItem>
      <ddeItem name="2852.BidPrice" advise="1">
        <values>
          <value>
            <val>12.95</val>
          </value>
        </values>
      </ddeItem>
      <ddeItem name="2852.Change" advise="1">
        <values>
          <value>
            <val>0.05</val>
          </value>
        </values>
      </ddeItem>
      <ddeItem name="2852.ChangePercent" advise="1">
        <values>
          <value>
            <val>3.8999999999999998E-3</val>
          </value>
        </values>
      </ddeItem>
      <ddeItem name="2852.CumulativeVolume" advise="1">
        <values>
          <value>
            <val>165</val>
          </value>
        </values>
      </ddeItem>
      <ddeItem name="2852.Open" advise="1">
        <values>
          <value>
            <val>13</val>
          </value>
        </values>
      </ddeItem>
      <ddeItem name="2852.PreOpenPrice" advise="1">
        <values>
          <value>
            <val>13</val>
          </value>
        </values>
      </ddeItem>
      <ddeItem name="2852.PreviousPrice" advise="1">
        <values>
          <value>
            <val>12.95</val>
          </value>
        </values>
      </ddeItem>
      <ddeItem name="2852.PreviousVolume" advise="1">
        <values>
          <value>
            <val>295</val>
          </value>
        </values>
      </ddeItem>
      <ddeItem name="2852.Price" advise="1">
        <values>
          <value>
            <val>13</val>
          </value>
        </values>
      </ddeItem>
      <ddeItem name="2852.Volume" advise="1">
        <values>
          <value>
            <val>10</val>
          </value>
        </values>
      </ddeItem>
      <ddeItem name="2855.AskPrice" advise="1">
        <values>
          <value>
            <val>15.9</val>
          </value>
        </values>
      </ddeItem>
      <ddeItem name="2855.BidPrice" advise="1">
        <values>
          <value>
            <val>15.8</val>
          </value>
        </values>
      </ddeItem>
      <ddeItem name="2855.Change" advise="1">
        <values>
          <value>
            <val>-0.2</val>
          </value>
        </values>
      </ddeItem>
      <ddeItem name="2855.ChangePercent" advise="1">
        <values>
          <value>
            <val>-1.2500000000000001E-2</val>
          </value>
        </values>
      </ddeItem>
      <ddeItem name="2855.CumulativeVolume" advise="1">
        <values>
          <value>
            <val>7116</val>
          </value>
        </values>
      </ddeItem>
      <ddeItem name="2855.Open" advise="1">
        <values>
          <value>
            <val>16.25</val>
          </value>
        </values>
      </ddeItem>
      <ddeItem name="2855.PreOpenPrice" advise="1">
        <values>
          <value>
            <val>15.85</val>
          </value>
        </values>
      </ddeItem>
      <ddeItem name="2855.PreviousPrice" advise="1">
        <values>
          <value>
            <val>16.05</val>
          </value>
        </values>
      </ddeItem>
      <ddeItem name="2855.PreviousVolume" advise="1">
        <values>
          <value>
            <val>13065</val>
          </value>
        </values>
      </ddeItem>
      <ddeItem name="2855.Price" advise="1">
        <values>
          <value>
            <val>15.85</val>
          </value>
        </values>
      </ddeItem>
      <ddeItem name="2855.Volume" advise="1">
        <values>
          <value>
            <val>135</val>
          </value>
        </values>
      </ddeItem>
      <ddeItem name="2867.AskPrice" advise="1">
        <values>
          <value>
            <val>9.75</val>
          </value>
        </values>
      </ddeItem>
      <ddeItem name="2867.BidPrice" advise="1">
        <values>
          <value>
            <val>9.74</val>
          </value>
        </values>
      </ddeItem>
      <ddeItem name="2867.Change" advise="1">
        <values>
          <value>
            <val>0.1</val>
          </value>
        </values>
      </ddeItem>
      <ddeItem name="2867.ChangePercent" advise="1">
        <values>
          <value>
            <val>1.04E-2</val>
          </value>
        </values>
      </ddeItem>
      <ddeItem name="2867.CumulativeVolume" advise="1">
        <values>
          <value>
            <val>2442</val>
          </value>
        </values>
      </ddeItem>
      <ddeItem name="2867.Open" advise="1">
        <values>
          <value>
            <val>9.65</val>
          </value>
        </values>
      </ddeItem>
      <ddeItem name="2867.PreOpenPrice" advise="1">
        <values>
          <value>
            <val>9.74</val>
          </value>
        </values>
      </ddeItem>
      <ddeItem name="2867.PreviousPrice" advise="1">
        <values>
          <value>
            <val>9.64</val>
          </value>
        </values>
      </ddeItem>
      <ddeItem name="2867.PreviousVolume" advise="1">
        <values>
          <value>
            <val>1770</val>
          </value>
        </values>
      </ddeItem>
      <ddeItem name="2867.Price" advise="1">
        <values>
          <value>
            <val>9.74</val>
          </value>
        </values>
      </ddeItem>
      <ddeItem name="2867.Volume" advise="1">
        <values>
          <value>
            <val>58</val>
          </value>
        </values>
      </ddeItem>
      <ddeItem name="2880.AskPrice" advise="1">
        <values>
          <value>
            <val>20.2</val>
          </value>
        </values>
      </ddeItem>
      <ddeItem name="2880.BidPrice" advise="1">
        <values>
          <value>
            <val>20.149999999999999</val>
          </value>
        </values>
      </ddeItem>
      <ddeItem name="2880.Change" advise="1">
        <values>
          <value>
            <val>-0.15</val>
          </value>
        </values>
      </ddeItem>
      <ddeItem name="2880.ChangePercent" advise="1">
        <values>
          <value>
            <val>-7.4000000000000003E-3</val>
          </value>
        </values>
      </ddeItem>
      <ddeItem name="2880.CumulativeVolume" advise="1">
        <values>
          <value>
            <val>27042</val>
          </value>
        </values>
      </ddeItem>
      <ddeItem name="2880.Open" advise="1">
        <values>
          <value>
            <val>20.3</val>
          </value>
        </values>
      </ddeItem>
      <ddeItem name="2880.PreOpenPrice" advise="1">
        <values>
          <value>
            <val>20.149999999999999</val>
          </value>
        </values>
      </ddeItem>
      <ddeItem name="2880.PreviousPrice" advise="1">
        <values>
          <value>
            <val>20.3</val>
          </value>
        </values>
      </ddeItem>
      <ddeItem name="2880.PreviousVolume" advise="1">
        <values>
          <value>
            <val>17268</val>
          </value>
        </values>
      </ddeItem>
      <ddeItem name="2880.Price" advise="1">
        <values>
          <value>
            <val>20.149999999999999</val>
          </value>
        </values>
      </ddeItem>
      <ddeItem name="2880.Volume" advise="1">
        <values>
          <value>
            <val>1679</val>
          </value>
        </values>
      </ddeItem>
      <ddeItem name="2881.AskPrice" advise="1">
        <values>
          <value>
            <val>41.8</val>
          </value>
        </values>
      </ddeItem>
      <ddeItem name="2881.BidPrice" advise="1">
        <values>
          <value>
            <val>41.75</val>
          </value>
        </values>
      </ddeItem>
      <ddeItem name="2881.Change" advise="1">
        <values>
          <value>
            <val>0</val>
          </value>
        </values>
      </ddeItem>
      <ddeItem name="2881.ChangePercent" advise="1">
        <values>
          <value>
            <val>0</val>
          </value>
        </values>
      </ddeItem>
      <ddeItem name="2881.CumulativeVolume" advise="1">
        <values>
          <value>
            <val>23368</val>
          </value>
        </values>
      </ddeItem>
      <ddeItem name="2881.Open" advise="1">
        <values>
          <value>
            <val>42.3</val>
          </value>
        </values>
      </ddeItem>
      <ddeItem name="2881.PreOpenPrice" advise="1">
        <values>
          <value>
            <val>41.75</val>
          </value>
        </values>
      </ddeItem>
      <ddeItem name="2881.PreviousPrice" advise="1">
        <values>
          <value>
            <val>41.75</val>
          </value>
        </values>
      </ddeItem>
      <ddeItem name="2881.PreviousVolume" advise="1">
        <values>
          <value>
            <val>12703</val>
          </value>
        </values>
      </ddeItem>
      <ddeItem name="2881.Price" advise="1">
        <values>
          <value>
            <val>41.75</val>
          </value>
        </values>
      </ddeItem>
      <ddeItem name="2881.Volume" advise="1">
        <values>
          <value>
            <val>2196</val>
          </value>
        </values>
      </ddeItem>
      <ddeItem name="2882.AskPrice" advise="1">
        <values>
          <value>
            <val>40</val>
          </value>
        </values>
      </ddeItem>
      <ddeItem name="2882.BidPrice" advise="1">
        <values>
          <value>
            <val>39.950000000000003</val>
          </value>
        </values>
      </ddeItem>
      <ddeItem name="2882.Change" advise="1">
        <values>
          <value>
            <val>-0.5</val>
          </value>
        </values>
      </ddeItem>
      <ddeItem name="2882.ChangePercent" advise="1">
        <values>
          <value>
            <val>-1.24E-2</val>
          </value>
        </values>
      </ddeItem>
      <ddeItem name="2882.CumulativeVolume" advise="1">
        <values>
          <value>
            <val>18729</val>
          </value>
        </values>
      </ddeItem>
      <ddeItem name="2882.Open" advise="1">
        <values>
          <value>
            <val>40</val>
          </value>
        </values>
      </ddeItem>
      <ddeItem name="2882.PreOpenPrice" advise="1">
        <values>
          <value>
            <val>39.950000000000003</val>
          </value>
        </values>
      </ddeItem>
      <ddeItem name="2882.PreviousPrice" advise="1">
        <values>
          <value>
            <val>40.450000000000003</val>
          </value>
        </values>
      </ddeItem>
      <ddeItem name="2882.PreviousVolume" advise="1">
        <values>
          <value>
            <val>14209</val>
          </value>
        </values>
      </ddeItem>
      <ddeItem name="2882.Price" advise="1">
        <values>
          <value>
            <val>39.950000000000003</val>
          </value>
        </values>
      </ddeItem>
      <ddeItem name="2882.Volume" advise="1">
        <values>
          <value>
            <val>1533</val>
          </value>
        </values>
      </ddeItem>
      <ddeItem name="2883.AskPrice" advise="1">
        <values>
          <value>
            <val>8.69</val>
          </value>
        </values>
      </ddeItem>
      <ddeItem name="2883.BidPrice" advise="1">
        <values>
          <value>
            <val>8.68</val>
          </value>
        </values>
      </ddeItem>
      <ddeItem name="2883.Change" advise="1">
        <values>
          <value>
            <val>-0.04</val>
          </value>
        </values>
      </ddeItem>
      <ddeItem name="2883.ChangePercent" advise="1">
        <values>
          <value>
            <val>-4.5999999999999999E-3</val>
          </value>
        </values>
      </ddeItem>
      <ddeItem name="2883.CumulativeVolume" advise="1">
        <values>
          <value>
            <val>15412</val>
          </value>
        </values>
      </ddeItem>
      <ddeItem name="2883.Open" advise="1">
        <values>
          <value>
            <val>8.73</val>
          </value>
        </values>
      </ddeItem>
      <ddeItem name="2883.PreOpenPrice" advise="1">
        <values>
          <value>
            <val>8.68</val>
          </value>
        </values>
      </ddeItem>
      <ddeItem name="2883.PreviousPrice" advise="1">
        <values>
          <value>
            <val>8.7200000000000006</val>
          </value>
        </values>
      </ddeItem>
      <ddeItem name="2883.PreviousVolume" advise="1">
        <values>
          <value>
            <val>21869</val>
          </value>
        </values>
      </ddeItem>
      <ddeItem name="2883.Price" advise="1">
        <values>
          <value>
            <val>8.68</val>
          </value>
        </values>
      </ddeItem>
      <ddeItem name="2883.Volume" advise="1">
        <values>
          <value>
            <val>1507</val>
          </value>
        </values>
      </ddeItem>
      <ddeItem name="2884.AskPrice" advise="1">
        <values>
          <value>
            <val>26.9</val>
          </value>
        </values>
      </ddeItem>
      <ddeItem name="2884.BidPrice" advise="1">
        <values>
          <value>
            <val>26.85</val>
          </value>
        </values>
      </ddeItem>
      <ddeItem name="2884.Change" advise="1">
        <values>
          <value>
            <val>0</val>
          </value>
        </values>
      </ddeItem>
      <ddeItem name="2884.ChangePercent" advise="1">
        <values>
          <value>
            <val>0</val>
          </value>
        </values>
      </ddeItem>
      <ddeItem name="2884.CumulativeVolume" advise="1">
        <values>
          <value>
            <val>15937</val>
          </value>
        </values>
      </ddeItem>
      <ddeItem name="2884.Open" advise="1">
        <values>
          <value>
            <val>26.85</val>
          </value>
        </values>
      </ddeItem>
      <ddeItem name="2884.PreOpenPrice" advise="1">
        <values>
          <value>
            <val>26.85</val>
          </value>
        </values>
      </ddeItem>
      <ddeItem name="2884.PreviousPrice" advise="1">
        <values>
          <value>
            <val>26.85</val>
          </value>
        </values>
      </ddeItem>
      <ddeItem name="2884.PreviousVolume" advise="1">
        <values>
          <value>
            <val>18934</val>
          </value>
        </values>
      </ddeItem>
      <ddeItem name="2884.Price" advise="1">
        <values>
          <value>
            <val>26.85</val>
          </value>
        </values>
      </ddeItem>
      <ddeItem name="2884.Volume" advise="1">
        <values>
          <value>
            <val>1924</val>
          </value>
        </values>
      </ddeItem>
      <ddeItem name="2885.AskPrice" advise="1">
        <values>
          <value>
            <val>19.2</val>
          </value>
        </values>
      </ddeItem>
      <ddeItem name="2885.BidPrice" advise="1">
        <values>
          <value>
            <val>19.149999999999999</val>
          </value>
        </values>
      </ddeItem>
      <ddeItem name="2885.Change" advise="1">
        <values>
          <value>
            <val>0</val>
          </value>
        </values>
      </ddeItem>
      <ddeItem name="2885.ChangePercent" advise="1">
        <values>
          <value>
            <val>0</val>
          </value>
        </values>
      </ddeItem>
      <ddeItem name="2885.CumulativeVolume" advise="1">
        <values>
          <value>
            <val>29341</val>
          </value>
        </values>
      </ddeItem>
      <ddeItem name="2885.Open" advise="1">
        <values>
          <value>
            <val>19.3</val>
          </value>
        </values>
      </ddeItem>
      <ddeItem name="2885.PreOpenPrice" advise="1">
        <values>
          <value>
            <val>19.149999999999999</val>
          </value>
        </values>
      </ddeItem>
      <ddeItem name="2885.PreviousPrice" advise="1">
        <values>
          <value>
            <val>19.149999999999999</val>
          </value>
        </values>
      </ddeItem>
      <ddeItem name="2885.PreviousVolume" advise="1">
        <values>
          <value>
            <val>66511</val>
          </value>
        </values>
      </ddeItem>
      <ddeItem name="2885.Price" advise="1">
        <values>
          <value>
            <val>19.149999999999999</val>
          </value>
        </values>
      </ddeItem>
      <ddeItem name="2885.Volume" advise="1">
        <values>
          <value>
            <val>2182</val>
          </value>
        </values>
      </ddeItem>
      <ddeItem name="2886.AskPrice" advise="1">
        <values>
          <value>
            <val>32.5</val>
          </value>
        </values>
      </ddeItem>
      <ddeItem name="2886.BidPrice" advise="1">
        <values>
          <value>
            <val>32.450000000000003</val>
          </value>
        </values>
      </ddeItem>
      <ddeItem name="2886.Change" advise="1">
        <values>
          <value>
            <val>-0.05</val>
          </value>
        </values>
      </ddeItem>
      <ddeItem name="2886.ChangePercent" advise="1">
        <values>
          <value>
            <val>-1.5E-3</val>
          </value>
        </values>
      </ddeItem>
      <ddeItem name="2886.CumulativeVolume" advise="1">
        <values>
          <value>
            <val>27927</val>
          </value>
        </values>
      </ddeItem>
      <ddeItem name="2886.Open" advise="1">
        <values>
          <value>
            <val>32.4</val>
          </value>
        </values>
      </ddeItem>
      <ddeItem name="2886.PreOpenPrice" advise="1">
        <values>
          <value>
            <val>32.450000000000003</val>
          </value>
        </values>
      </ddeItem>
      <ddeItem name="2886.PreviousPrice" advise="1">
        <values>
          <value>
            <val>32.5</val>
          </value>
        </values>
      </ddeItem>
      <ddeItem name="2886.PreviousVolume" advise="1">
        <values>
          <value>
            <val>26139</val>
          </value>
        </values>
      </ddeItem>
      <ddeItem name="2886.Price" advise="1">
        <values>
          <value>
            <val>32.450000000000003</val>
          </value>
        </values>
      </ddeItem>
      <ddeItem name="2886.Volume" advise="1">
        <values>
          <value>
            <val>2347</val>
          </value>
        </values>
      </ddeItem>
      <ddeItem name="2887.AskPrice" advise="1">
        <values>
          <value>
            <val>13.15</val>
          </value>
        </values>
      </ddeItem>
      <ddeItem name="2887.BidPrice" advise="1">
        <values>
          <value>
            <val>13.1</val>
          </value>
        </values>
      </ddeItem>
      <ddeItem name="2887.Change" advise="1">
        <values>
          <value>
            <val>0.1</val>
          </value>
        </values>
      </ddeItem>
      <ddeItem name="2887.ChangePercent" advise="1">
        <values>
          <value>
            <val>7.7000000000000002E-3</val>
          </value>
        </values>
      </ddeItem>
      <ddeItem name="2887.CumulativeVolume" advise="1">
        <values>
          <value>
            <val>52033</val>
          </value>
        </values>
      </ddeItem>
      <ddeItem name="2887.Open" advise="1">
        <values>
          <value>
            <val>13.1</val>
          </value>
        </values>
      </ddeItem>
      <ddeItem name="2887.PreOpenPrice" advise="1">
        <values>
          <value>
            <val>13.1</val>
          </value>
        </values>
      </ddeItem>
      <ddeItem name="2887.PreviousPrice" advise="1">
        <values>
          <value>
            <val>13.85</val>
          </value>
        </values>
      </ddeItem>
      <ddeItem name="2887.PreviousVolume" advise="1">
        <values>
          <value>
            <val>56414</val>
          </value>
        </values>
      </ddeItem>
      <ddeItem name="2887.Price" advise="1">
        <values>
          <value>
            <val>13.1</val>
          </value>
        </values>
      </ddeItem>
      <ddeItem name="2887.Volume" advise="1">
        <values>
          <value>
            <val>2693</val>
          </value>
        </values>
      </ddeItem>
      <ddeItem name="2888.AskPrice" advise="1">
        <values>
          <value>
            <val>8.51</val>
          </value>
        </values>
      </ddeItem>
      <ddeItem name="2888.BidPrice" advise="1">
        <values>
          <value>
            <val>8.5</val>
          </value>
        </values>
      </ddeItem>
      <ddeItem name="2888.Change" advise="1">
        <values>
          <value>
            <val>-0.03</val>
          </value>
        </values>
      </ddeItem>
      <ddeItem name="2888.ChangePercent" advise="1">
        <values>
          <value>
            <val>-3.5000000000000001E-3</val>
          </value>
        </values>
      </ddeItem>
      <ddeItem name="2888.CumulativeVolume" advise="1">
        <values>
          <value>
            <val>62355</val>
          </value>
        </values>
      </ddeItem>
      <ddeItem name="2888.Open" advise="1">
        <values>
          <value>
            <val>8.59</val>
          </value>
        </values>
      </ddeItem>
      <ddeItem name="2888.PreOpenPrice" advise="1">
        <values>
          <value>
            <val>8.5</val>
          </value>
        </values>
      </ddeItem>
      <ddeItem name="2888.PreviousPrice" advise="1">
        <values>
          <value>
            <val>8.5299999999999994</val>
          </value>
        </values>
      </ddeItem>
      <ddeItem name="2888.PreviousVolume" advise="1">
        <values>
          <value>
            <val>115569</val>
          </value>
        </values>
      </ddeItem>
      <ddeItem name="2888.Price" advise="1">
        <values>
          <value>
            <val>8.5</val>
          </value>
        </values>
      </ddeItem>
      <ddeItem name="2888.Volume" advise="1">
        <values>
          <value>
            <val>3393</val>
          </value>
        </values>
      </ddeItem>
      <ddeItem name="2889.AskPrice" advise="1">
        <values>
          <value>
            <val>11.9</val>
          </value>
        </values>
      </ddeItem>
      <ddeItem name="2889.BidPrice" advise="1">
        <values>
          <value>
            <val>11.85</val>
          </value>
        </values>
      </ddeItem>
      <ddeItem name="2889.Change" advise="1">
        <values>
          <value>
            <val>0.1</val>
          </value>
        </values>
      </ddeItem>
      <ddeItem name="2889.ChangePercent" advise="1">
        <values>
          <value>
            <val>8.5000000000000006E-3</val>
          </value>
        </values>
      </ddeItem>
      <ddeItem name="2889.CumulativeVolume" advise="1">
        <values>
          <value>
            <val>7572</val>
          </value>
        </values>
      </ddeItem>
      <ddeItem name="2889.Open" advise="1">
        <values>
          <value>
            <val>11.9</val>
          </value>
        </values>
      </ddeItem>
      <ddeItem name="2889.PreOpenPrice" advise="1">
        <values>
          <value>
            <val>11.9</val>
          </value>
        </values>
      </ddeItem>
      <ddeItem name="2889.PreviousPrice" advise="1">
        <values>
          <value>
            <val>11.8</val>
          </value>
        </values>
      </ddeItem>
      <ddeItem name="2889.PreviousVolume" advise="1">
        <values>
          <value>
            <val>6889</val>
          </value>
        </values>
      </ddeItem>
      <ddeItem name="2889.Price" advise="1">
        <values>
          <value>
            <val>11.9</val>
          </value>
        </values>
      </ddeItem>
      <ddeItem name="2889.Volume" advise="1">
        <values>
          <value>
            <val>1948</val>
          </value>
        </values>
      </ddeItem>
      <ddeItem name="2890.AskPrice" advise="1">
        <values>
          <value>
            <val>10.95</val>
          </value>
        </values>
      </ddeItem>
      <ddeItem name="2890.BidPrice" advise="1">
        <values>
          <value>
            <val>10.9</val>
          </value>
        </values>
      </ddeItem>
      <ddeItem name="2890.Change" advise="1">
        <values>
          <value>
            <val>-0.05</val>
          </value>
        </values>
      </ddeItem>
      <ddeItem name="2890.ChangePercent" advise="1">
        <values>
          <value>
            <val>-4.5999999999999999E-3</val>
          </value>
        </values>
      </ddeItem>
      <ddeItem name="2890.CumulativeVolume" advise="1">
        <values>
          <value>
            <val>22423</val>
          </value>
        </values>
      </ddeItem>
      <ddeItem name="2890.Open" advise="1">
        <values>
          <value>
            <val>11</val>
          </value>
        </values>
      </ddeItem>
      <ddeItem name="2890.PreOpenPrice" advise="1">
        <values>
          <value>
            <val>10.9</val>
          </value>
        </values>
      </ddeItem>
      <ddeItem name="2890.PreviousPrice" advise="1">
        <values>
          <value>
            <val>10.95</val>
          </value>
        </values>
      </ddeItem>
      <ddeItem name="2890.PreviousVolume" advise="1">
        <values>
          <value>
            <val>18839</val>
          </value>
        </values>
      </ddeItem>
      <ddeItem name="2890.Price" advise="1">
        <values>
          <value>
            <val>10.9</val>
          </value>
        </values>
      </ddeItem>
      <ddeItem name="2890.Volume" advise="1">
        <values>
          <value>
            <val>1626</val>
          </value>
        </values>
      </ddeItem>
      <ddeItem name="2891.AskPrice" advise="1">
        <values>
          <value>
            <val>19.45</val>
          </value>
        </values>
      </ddeItem>
      <ddeItem name="2891.BidPrice" advise="1">
        <values>
          <value>
            <val>19.399999999999999</val>
          </value>
        </values>
      </ddeItem>
      <ddeItem name="2891.Change" advise="1">
        <values>
          <value>
            <val>0</val>
          </value>
        </values>
      </ddeItem>
      <ddeItem name="2891.ChangePercent" advise="1">
        <values>
          <value>
            <val>0</val>
          </value>
        </values>
      </ddeItem>
      <ddeItem name="2891.CumulativeVolume" advise="1">
        <values>
          <value>
            <val>25512</val>
          </value>
        </values>
      </ddeItem>
      <ddeItem name="2891.Open" advise="1">
        <values>
          <value>
            <val>19.45</val>
          </value>
        </values>
      </ddeItem>
      <ddeItem name="2891.PreOpenPrice" advise="1">
        <values>
          <value>
            <val>19.399999999999999</val>
          </value>
        </values>
      </ddeItem>
      <ddeItem name="2891.PreviousPrice" advise="1">
        <values>
          <value>
            <val>19.399999999999999</val>
          </value>
        </values>
      </ddeItem>
      <ddeItem name="2891.PreviousVolume" advise="1">
        <values>
          <value>
            <val>29853</val>
          </value>
        </values>
      </ddeItem>
      <ddeItem name="2891.Price" advise="1">
        <values>
          <value>
            <val>19.399999999999999</val>
          </value>
        </values>
      </ddeItem>
      <ddeItem name="2891.Volume" advise="1">
        <values>
          <value>
            <val>4038</val>
          </value>
        </values>
      </ddeItem>
      <ddeItem name="2892.AskPrice" advise="1">
        <values>
          <value>
            <val>21.95</val>
          </value>
        </values>
      </ddeItem>
      <ddeItem name="2892.BidPrice" advise="1">
        <values>
          <value>
            <val>21.9</val>
          </value>
        </values>
      </ddeItem>
      <ddeItem name="2892.Change" advise="1">
        <values>
          <value>
            <val>-0.15</val>
          </value>
        </values>
      </ddeItem>
      <ddeItem name="2892.ChangePercent" advise="1">
        <values>
          <value>
            <val>-6.7999999999999996E-3</val>
          </value>
        </values>
      </ddeItem>
      <ddeItem name="2892.CumulativeVolume" advise="1">
        <values>
          <value>
            <val>24221</val>
          </value>
        </values>
      </ddeItem>
      <ddeItem name="2892.Open" advise="1">
        <values>
          <value>
            <val>22.05</val>
          </value>
        </values>
      </ddeItem>
      <ddeItem name="2892.PreOpenPrice" advise="1">
        <values>
          <value>
            <val>21.9</val>
          </value>
        </values>
      </ddeItem>
      <ddeItem name="2892.PreviousPrice" advise="1">
        <values>
          <value>
            <val>22.05</val>
          </value>
        </values>
      </ddeItem>
      <ddeItem name="2892.PreviousVolume" advise="1">
        <values>
          <value>
            <val>23834</val>
          </value>
        </values>
      </ddeItem>
      <ddeItem name="2892.Price" advise="1">
        <values>
          <value>
            <val>21.9</val>
          </value>
        </values>
      </ddeItem>
      <ddeItem name="2892.Volume" advise="1">
        <values>
          <value>
            <val>2359</val>
          </value>
        </values>
      </ddeItem>
      <ddeItem name="2897.AskPrice" advise="1">
        <values>
          <value>
            <val>6.83</val>
          </value>
        </values>
      </ddeItem>
      <ddeItem name="2897.BidPrice" advise="1">
        <values>
          <value>
            <val>6.82</val>
          </value>
        </values>
      </ddeItem>
      <ddeItem name="2897.Change" advise="1">
        <values>
          <value>
            <val>7.0000000000000007E-2</val>
          </value>
        </values>
      </ddeItem>
      <ddeItem name="2897.ChangePercent" advise="1">
        <values>
          <value>
            <val>1.04E-2</val>
          </value>
        </values>
      </ddeItem>
      <ddeItem name="2897.CumulativeVolume" advise="1">
        <values>
          <value>
            <val>2328</val>
          </value>
        </values>
      </ddeItem>
      <ddeItem name="2897.Open" advise="1">
        <values>
          <value>
            <val>6.76</val>
          </value>
        </values>
      </ddeItem>
      <ddeItem name="2897.PreOpenPrice" advise="1">
        <values>
          <value>
            <val>6.83</val>
          </value>
        </values>
      </ddeItem>
      <ddeItem name="2897.PreviousPrice" advise="1">
        <values>
          <value>
            <val>6.76</val>
          </value>
        </values>
      </ddeItem>
      <ddeItem name="2897.PreviousVolume" advise="1">
        <values>
          <value>
            <val>1718</val>
          </value>
        </values>
      </ddeItem>
      <ddeItem name="2897.Price" advise="1">
        <values>
          <value>
            <val>6.83</val>
          </value>
        </values>
      </ddeItem>
      <ddeItem name="2897.Volume" advise="1">
        <values>
          <value>
            <val>13</val>
          </value>
        </values>
      </ddeItem>
      <ddeItem name="2903.AskPrice" advise="1">
        <values>
          <value>
            <val>24.8</val>
          </value>
        </values>
      </ddeItem>
      <ddeItem name="2903.BidPrice" advise="1">
        <values>
          <value>
            <val>24.75</val>
          </value>
        </values>
      </ddeItem>
      <ddeItem name="2903.Change" advise="1">
        <values>
          <value>
            <val>-0.1</val>
          </value>
        </values>
      </ddeItem>
      <ddeItem name="2903.ChangePercent" advise="1">
        <values>
          <value>
            <val>-4.0000000000000001E-3</val>
          </value>
        </values>
      </ddeItem>
      <ddeItem name="2903.CumulativeVolume" advise="1">
        <values>
          <value>
            <val>506</val>
          </value>
        </values>
      </ddeItem>
      <ddeItem name="2903.Open" advise="1">
        <values>
          <value>
            <val>24.75</val>
          </value>
        </values>
      </ddeItem>
      <ddeItem name="2903.PreOpenPrice" advise="1">
        <values>
          <value>
            <val>24.75</val>
          </value>
        </values>
      </ddeItem>
      <ddeItem name="2903.PreviousPrice" advise="1">
        <values>
          <value>
            <val>24.85</val>
          </value>
        </values>
      </ddeItem>
      <ddeItem name="2903.PreviousVolume" advise="1">
        <values>
          <value>
            <val>367</val>
          </value>
        </values>
      </ddeItem>
      <ddeItem name="2903.Price" advise="1">
        <values>
          <value>
            <val>24.75</val>
          </value>
        </values>
      </ddeItem>
      <ddeItem name="2903.Volume" advise="1">
        <values>
          <value>
            <val>4</val>
          </value>
        </values>
      </ddeItem>
      <ddeItem name="2905.AskPrice" advise="1">
        <values>
          <value>
            <val>25.2</val>
          </value>
        </values>
      </ddeItem>
      <ddeItem name="2905.BidPrice" advise="1">
        <values>
          <value>
            <val>25.15</val>
          </value>
        </values>
      </ddeItem>
      <ddeItem name="2905.Change" advise="1">
        <values>
          <value>
            <val>-0.35</val>
          </value>
        </values>
      </ddeItem>
      <ddeItem name="2905.ChangePercent" advise="1">
        <values>
          <value>
            <val>-1.37E-2</val>
          </value>
        </values>
      </ddeItem>
      <ddeItem name="2905.CumulativeVolume" advise="1">
        <values>
          <value>
            <val>1160</val>
          </value>
        </values>
      </ddeItem>
      <ddeItem name="2905.Open" advise="1">
        <values>
          <value>
            <val>25.3</val>
          </value>
        </values>
      </ddeItem>
      <ddeItem name="2905.PreOpenPrice" advise="1">
        <values>
          <value>
            <val>25.2</val>
          </value>
        </values>
      </ddeItem>
      <ddeItem name="2905.PreviousPrice" advise="1">
        <values>
          <value>
            <val>25.55</val>
          </value>
        </values>
      </ddeItem>
      <ddeItem name="2905.PreviousVolume" advise="1">
        <values>
          <value>
            <val>1268</val>
          </value>
        </values>
      </ddeItem>
      <ddeItem name="2905.Price" advise="1">
        <values>
          <value>
            <val>25.2</val>
          </value>
        </values>
      </ddeItem>
      <ddeItem name="2905.Volume" advise="1">
        <values>
          <value>
            <val>36</val>
          </value>
        </values>
      </ddeItem>
      <ddeItem name="2912.AskPrice" advise="1">
        <values>
          <value>
            <val>277</val>
          </value>
        </values>
      </ddeItem>
      <ddeItem name="2912.BidPrice" advise="1">
        <values>
          <value>
            <val>276</val>
          </value>
        </values>
      </ddeItem>
      <ddeItem name="2912.Change" advise="1">
        <values>
          <value>
            <val>1</val>
          </value>
        </values>
      </ddeItem>
      <ddeItem name="2912.ChangePercent" advise="1">
        <values>
          <value>
            <val>3.5999999999999999E-3</val>
          </value>
        </values>
      </ddeItem>
      <ddeItem name="2912.CumulativeVolume" advise="1">
        <values>
          <value>
            <val>1513</val>
          </value>
        </values>
      </ddeItem>
      <ddeItem name="2912.Open" advise="1">
        <values>
          <value>
            <val>276</val>
          </value>
        </values>
      </ddeItem>
      <ddeItem name="2912.PreOpenPrice" advise="1">
        <values>
          <value>
            <val>276</val>
          </value>
        </values>
      </ddeItem>
      <ddeItem name="2912.PreviousPrice" advise="1">
        <values>
          <value>
            <val>275</val>
          </value>
        </values>
      </ddeItem>
      <ddeItem name="2912.PreviousVolume" advise="1">
        <values>
          <value>
            <val>755</val>
          </value>
        </values>
      </ddeItem>
      <ddeItem name="2912.Price" advise="1">
        <values>
          <value>
            <val>276</val>
          </value>
        </values>
      </ddeItem>
      <ddeItem name="2912.Volume" advise="1">
        <values>
          <value>
            <val>189</val>
          </value>
        </values>
      </ddeItem>
      <ddeItem name="2915.AskPrice" advise="1">
        <values>
          <value>
            <val>66.400000000000006</val>
          </value>
        </values>
      </ddeItem>
      <ddeItem name="2915.BidPrice" advise="1">
        <values>
          <value>
            <val>66.3</val>
          </value>
        </values>
      </ddeItem>
      <ddeItem name="2915.Change" advise="1">
        <values>
          <value>
            <val>0.5</val>
          </value>
        </values>
      </ddeItem>
      <ddeItem name="2915.ChangePercent" advise="1">
        <values>
          <value>
            <val>7.6E-3</val>
          </value>
        </values>
      </ddeItem>
      <ddeItem name="2915.CumulativeVolume" advise="1">
        <values>
          <value>
            <val>2475</val>
          </value>
        </values>
      </ddeItem>
      <ddeItem name="2915.Open" advise="1">
        <values>
          <value>
            <val>66.099999999999994</val>
          </value>
        </values>
      </ddeItem>
      <ddeItem name="2915.PreOpenPrice" advise="1">
        <values>
          <value>
            <val>66.3</val>
          </value>
        </values>
      </ddeItem>
      <ddeItem name="2915.PreviousPrice" advise="1">
        <values>
          <value>
            <val>65.900000000000006</val>
          </value>
        </values>
      </ddeItem>
      <ddeItem name="2915.PreviousVolume" advise="1">
        <values>
          <value>
            <val>959</val>
          </value>
        </values>
      </ddeItem>
      <ddeItem name="2915.Price" advise="1">
        <values>
          <value>
            <val>66.400000000000006</val>
          </value>
        </values>
      </ddeItem>
      <ddeItem name="2915.Volume" advise="1">
        <values>
          <value>
            <val>89</val>
          </value>
        </values>
      </ddeItem>
      <ddeItem name="2923.AskPrice" advise="1">
        <values>
          <value>
            <val>25.25</val>
          </value>
        </values>
      </ddeItem>
      <ddeItem name="2923.BidPrice" advise="1">
        <values>
          <value>
            <val>25.1</val>
          </value>
        </values>
      </ddeItem>
      <ddeItem name="2923.Change" advise="1">
        <values>
          <value>
            <val>0.05</val>
          </value>
        </values>
      </ddeItem>
      <ddeItem name="2923.ChangePercent" advise="1">
        <values>
          <value>
            <val>2E-3</val>
          </value>
        </values>
      </ddeItem>
      <ddeItem name="2923.CumulativeVolume" advise="1">
        <values>
          <value>
            <val>68</val>
          </value>
        </values>
      </ddeItem>
      <ddeItem name="2923.Open" advise="1">
        <values>
          <value>
            <val>25</val>
          </value>
        </values>
      </ddeItem>
      <ddeItem name="2923.PreOpenPrice" advise="1"/>
      <ddeItem name="2923.PreviousPrice" advise="1">
        <values>
          <value>
            <val>25.1</val>
          </value>
        </values>
      </ddeItem>
      <ddeItem name="2923.PreviousVolume" advise="1">
        <values>
          <value>
            <val>113</val>
          </value>
        </values>
      </ddeItem>
      <ddeItem name="2923.Price" advise="1">
        <values>
          <value>
            <val>25.15</val>
          </value>
        </values>
      </ddeItem>
      <ddeItem name="2923.Volume" advise="1">
        <values>
          <value>
            <val>1</val>
          </value>
        </values>
      </ddeItem>
      <ddeItem name="3005.AskPrice" advise="1">
        <values>
          <value>
            <val>42.7</val>
          </value>
        </values>
      </ddeItem>
      <ddeItem name="3005.BidPrice" advise="1">
        <values>
          <value>
            <val>42.65</val>
          </value>
        </values>
      </ddeItem>
      <ddeItem name="3005.Change" advise="1">
        <values>
          <value>
            <val>-0.4</val>
          </value>
        </values>
      </ddeItem>
      <ddeItem name="3005.ChangePercent" advise="1">
        <values>
          <value>
            <val>-9.2999999999999992E-3</val>
          </value>
        </values>
      </ddeItem>
      <ddeItem name="3005.CumulativeVolume" advise="1">
        <values>
          <value>
            <val>887</val>
          </value>
        </values>
      </ddeItem>
      <ddeItem name="3005.Open" advise="1">
        <values>
          <value>
            <val>43.3</val>
          </value>
        </values>
      </ddeItem>
      <ddeItem name="3005.PreOpenPrice" advise="1">
        <values>
          <value>
            <val>42.65</val>
          </value>
        </values>
      </ddeItem>
      <ddeItem name="3005.PreviousPrice" advise="1">
        <values>
          <value>
            <val>43.05</val>
          </value>
        </values>
      </ddeItem>
      <ddeItem name="3005.PreviousVolume" advise="1">
        <values>
          <value>
            <val>1844</val>
          </value>
        </values>
      </ddeItem>
      <ddeItem name="3005.Price" advise="1">
        <values>
          <value>
            <val>42.65</val>
          </value>
        </values>
      </ddeItem>
      <ddeItem name="3005.Volume" advise="1">
        <values>
          <value>
            <val>33</val>
          </value>
        </values>
      </ddeItem>
      <ddeItem name="3008.AskPrice" advise="1">
        <values>
          <value>
            <val>3890</val>
          </value>
        </values>
      </ddeItem>
      <ddeItem name="3008.BidPrice" advise="1">
        <values>
          <value>
            <val>3885</val>
          </value>
        </values>
      </ddeItem>
      <ddeItem name="3008.Change" advise="1">
        <values>
          <value>
            <val>-35</val>
          </value>
        </values>
      </ddeItem>
      <ddeItem name="3008.ChangePercent" advise="1">
        <values>
          <value>
            <val>-8.8999999999999999E-3</val>
          </value>
        </values>
      </ddeItem>
      <ddeItem name="3008.CumulativeVolume" advise="1">
        <values>
          <value>
            <val>604</val>
          </value>
        </values>
      </ddeItem>
      <ddeItem name="3008.Open" advise="1">
        <values>
          <value>
            <val>3925</val>
          </value>
        </values>
      </ddeItem>
      <ddeItem name="3008.PreOpenPrice" advise="1">
        <values>
          <value>
            <val>3885</val>
          </value>
        </values>
      </ddeItem>
      <ddeItem name="3008.PreviousPrice" advise="1">
        <values>
          <value>
            <val>4000</val>
          </value>
        </values>
      </ddeItem>
      <ddeItem name="3008.PreviousVolume" advise="1">
        <values>
          <value>
            <val>936</val>
          </value>
        </values>
      </ddeItem>
      <ddeItem name="3008.Price" advise="1">
        <values>
          <value>
            <val>3885</val>
          </value>
        </values>
      </ddeItem>
      <ddeItem name="3008.Volume" advise="1">
        <values>
          <value>
            <val>72</val>
          </value>
        </values>
      </ddeItem>
      <ddeItem name="3016.AskPrice" advise="1">
        <values>
          <value>
            <val>68.7</val>
          </value>
        </values>
      </ddeItem>
      <ddeItem name="3016.BidPrice" advise="1">
        <values>
          <value>
            <val>68.599999999999994</val>
          </value>
        </values>
      </ddeItem>
      <ddeItem name="3016.Change" advise="1">
        <values>
          <value>
            <val>-1.2</val>
          </value>
        </values>
      </ddeItem>
      <ddeItem name="3016.ChangePercent" advise="1">
        <values>
          <value>
            <val>-1.72E-2</val>
          </value>
        </values>
      </ddeItem>
      <ddeItem name="3016.CumulativeVolume" advise="1">
        <values>
          <value>
            <val>6695</val>
          </value>
        </values>
      </ddeItem>
      <ddeItem name="3016.Open" advise="1">
        <values>
          <value>
            <val>69.8</val>
          </value>
        </values>
      </ddeItem>
      <ddeItem name="3016.PreOpenPrice" advise="1">
        <values>
          <value>
            <val>68.599999999999994</val>
          </value>
        </values>
      </ddeItem>
      <ddeItem name="3016.PreviousPrice" advise="1">
        <values>
          <value>
            <val>69.8</val>
          </value>
        </values>
      </ddeItem>
      <ddeItem name="3016.PreviousVolume" advise="1">
        <values>
          <value>
            <val>6093</val>
          </value>
        </values>
      </ddeItem>
      <ddeItem name="3016.Price" advise="1">
        <values>
          <value>
            <val>68.599999999999994</val>
          </value>
        </values>
      </ddeItem>
      <ddeItem name="3016.Volume" advise="1">
        <values>
          <value>
            <val>325</val>
          </value>
        </values>
      </ddeItem>
      <ddeItem name="3017.AskPrice" advise="1">
        <values>
          <value>
            <val>46.1</val>
          </value>
        </values>
      </ddeItem>
      <ddeItem name="3017.BidPrice" advise="1">
        <values>
          <value>
            <val>46.05</val>
          </value>
        </values>
      </ddeItem>
      <ddeItem name="3017.Change" advise="1">
        <values>
          <value>
            <val>-1.1499999999999999</val>
          </value>
        </values>
      </ddeItem>
      <ddeItem name="3017.ChangePercent" advise="1">
        <values>
          <value>
            <val>-2.4400000000000002E-2</val>
          </value>
        </values>
      </ddeItem>
      <ddeItem name="3017.CumulativeVolume" advise="1">
        <values>
          <value>
            <val>20629</val>
          </value>
        </values>
      </ddeItem>
      <ddeItem name="3017.Open" advise="1">
        <values>
          <value>
            <val>47.4</val>
          </value>
        </values>
      </ddeItem>
      <ddeItem name="3017.PreOpenPrice" advise="1">
        <values>
          <value>
            <val>46.05</val>
          </value>
        </values>
      </ddeItem>
      <ddeItem name="3017.PreviousPrice" advise="1">
        <values>
          <value>
            <val>47.2</val>
          </value>
        </values>
      </ddeItem>
      <ddeItem name="3017.PreviousVolume" advise="1">
        <values>
          <value>
            <val>46916</val>
          </value>
        </values>
      </ddeItem>
      <ddeItem name="3017.Price" advise="1">
        <values>
          <value>
            <val>46.05</val>
          </value>
        </values>
      </ddeItem>
      <ddeItem name="3017.Volume" advise="1">
        <values>
          <value>
            <val>953</val>
          </value>
        </values>
      </ddeItem>
      <ddeItem name="3019.AskPrice" advise="1">
        <values>
          <value>
            <val>71.099999999999994</val>
          </value>
        </values>
      </ddeItem>
      <ddeItem name="3019.BidPrice" advise="1">
        <values>
          <value>
            <val>71</val>
          </value>
        </values>
      </ddeItem>
      <ddeItem name="3019.Change" advise="1">
        <values>
          <value>
            <val>1.2</val>
          </value>
        </values>
      </ddeItem>
      <ddeItem name="3019.ChangePercent" advise="1">
        <values>
          <value>
            <val>1.72E-2</val>
          </value>
        </values>
      </ddeItem>
      <ddeItem name="3019.CumulativeVolume" advise="1">
        <values>
          <value>
            <val>2974</val>
          </value>
        </values>
      </ddeItem>
      <ddeItem name="3019.Open" advise="1">
        <values>
          <value>
            <val>70.2</val>
          </value>
        </values>
      </ddeItem>
      <ddeItem name="3019.PreOpenPrice" advise="1">
        <values>
          <value>
            <val>71.099999999999994</val>
          </value>
        </values>
      </ddeItem>
      <ddeItem name="3019.PreviousPrice" advise="1">
        <values>
          <value>
            <val>69.900000000000006</val>
          </value>
        </values>
      </ddeItem>
      <ddeItem name="3019.PreviousVolume" advise="1">
        <values>
          <value>
            <val>1454</val>
          </value>
        </values>
      </ddeItem>
      <ddeItem name="3019.Price" advise="1">
        <values>
          <value>
            <val>71.099999999999994</val>
          </value>
        </values>
      </ddeItem>
      <ddeItem name="3019.Volume" advise="1">
        <values>
          <value>
            <val>77</val>
          </value>
        </values>
      </ddeItem>
      <ddeItem name="3023.AskPrice" advise="1">
        <values>
          <value>
            <val>175</val>
          </value>
        </values>
      </ddeItem>
      <ddeItem name="3023.BidPrice" advise="1">
        <values>
          <value>
            <val>174.5</val>
          </value>
        </values>
      </ddeItem>
      <ddeItem name="3023.Change" advise="1">
        <values>
          <value>
            <val>0.5</val>
          </value>
        </values>
      </ddeItem>
      <ddeItem name="3023.ChangePercent" advise="1">
        <values>
          <value>
            <val>2.8999999999999998E-3</val>
          </value>
        </values>
      </ddeItem>
      <ddeItem name="3023.CumulativeVolume" advise="1">
        <values>
          <value>
            <val>851</val>
          </value>
        </values>
      </ddeItem>
      <ddeItem name="3023.Open" advise="1">
        <values>
          <value>
            <val>175</val>
          </value>
        </values>
      </ddeItem>
      <ddeItem name="3023.PreOpenPrice" advise="1">
        <values>
          <value>
            <val>175</val>
          </value>
        </values>
      </ddeItem>
      <ddeItem name="3023.PreviousPrice" advise="1">
        <values>
          <value>
            <val>174.5</val>
          </value>
        </values>
      </ddeItem>
      <ddeItem name="3023.PreviousVolume" advise="1">
        <values>
          <value>
            <val>1548</val>
          </value>
        </values>
      </ddeItem>
      <ddeItem name="3023.Price" advise="1">
        <values>
          <value>
            <val>175</val>
          </value>
        </values>
      </ddeItem>
      <ddeItem name="3023.Volume" advise="1">
        <values>
          <value>
            <val>59</val>
          </value>
        </values>
      </ddeItem>
      <ddeItem name="3026.AskPrice" advise="1">
        <values>
          <value>
            <val>109.5</val>
          </value>
        </values>
      </ddeItem>
      <ddeItem name="3026.BidPrice" advise="1">
        <values>
          <value>
            <val>109</val>
          </value>
        </values>
      </ddeItem>
      <ddeItem name="3026.Change" advise="1">
        <values>
          <value>
            <val>0</val>
          </value>
        </values>
      </ddeItem>
      <ddeItem name="3026.ChangePercent" advise="1">
        <values>
          <value>
            <val>0</val>
          </value>
        </values>
      </ddeItem>
      <ddeItem name="3026.CumulativeVolume" advise="1">
        <values>
          <value>
            <val>1056</val>
          </value>
        </values>
      </ddeItem>
      <ddeItem name="3026.Open" advise="1">
        <values>
          <value>
            <val>110.5</val>
          </value>
        </values>
      </ddeItem>
      <ddeItem name="3026.PreOpenPrice" advise="1">
        <values>
          <value>
            <val>109</val>
          </value>
        </values>
      </ddeItem>
      <ddeItem name="3026.PreviousPrice" advise="1">
        <values>
          <value>
            <val>109</val>
          </value>
        </values>
      </ddeItem>
      <ddeItem name="3026.PreviousVolume" advise="1">
        <values>
          <value>
            <val>1988</val>
          </value>
        </values>
      </ddeItem>
      <ddeItem name="3026.Price" advise="1">
        <values>
          <value>
            <val>109</val>
          </value>
        </values>
      </ddeItem>
      <ddeItem name="3026.Volume" advise="1">
        <values>
          <value>
            <val>82</val>
          </value>
        </values>
      </ddeItem>
      <ddeItem name="3034.AskPrice" advise="1">
        <values>
          <value>
            <val>290</val>
          </value>
        </values>
      </ddeItem>
      <ddeItem name="3034.BidPrice" advise="1">
        <values>
          <value>
            <val>289.5</val>
          </value>
        </values>
      </ddeItem>
      <ddeItem name="3034.Change" advise="1">
        <values>
          <value>
            <val>2.5</val>
          </value>
        </values>
      </ddeItem>
      <ddeItem name="3034.ChangePercent" advise="1">
        <values>
          <value>
            <val>8.6999999999999994E-3</val>
          </value>
        </values>
      </ddeItem>
      <ddeItem name="3034.CumulativeVolume" advise="1">
        <values>
          <value>
            <val>6624</val>
          </value>
        </values>
      </ddeItem>
      <ddeItem name="3034.Open" advise="1">
        <values>
          <value>
            <val>288</val>
          </value>
        </values>
      </ddeItem>
      <ddeItem name="3034.PreOpenPrice" advise="1">
        <values>
          <value>
            <val>289.5</val>
          </value>
        </values>
      </ddeItem>
      <ddeItem name="3034.PreviousPrice" advise="1">
        <values>
          <value>
            <val>287</val>
          </value>
        </values>
      </ddeItem>
      <ddeItem name="3034.PreviousVolume" advise="1">
        <values>
          <value>
            <val>8434</val>
          </value>
        </values>
      </ddeItem>
      <ddeItem name="3034.Price" advise="1">
        <values>
          <value>
            <val>289.5</val>
          </value>
        </values>
      </ddeItem>
      <ddeItem name="3034.Volume" advise="1">
        <values>
          <value>
            <val>416</val>
          </value>
        </values>
      </ddeItem>
      <ddeItem name="3036.AskPrice" advise="1">
        <values>
          <value>
            <val>42.25</val>
          </value>
        </values>
      </ddeItem>
      <ddeItem name="3036.BidPrice" advise="1">
        <values>
          <value>
            <val>42.2</val>
          </value>
        </values>
      </ddeItem>
      <ddeItem name="3036.Change" advise="1">
        <values>
          <value>
            <val>-0.05</val>
          </value>
        </values>
      </ddeItem>
      <ddeItem name="3036.ChangePercent" advise="1">
        <values>
          <value>
            <val>-1.1999999999999999E-3</val>
          </value>
        </values>
      </ddeItem>
      <ddeItem name="3036.CumulativeVolume" advise="1">
        <values>
          <value>
            <val>1508</val>
          </value>
        </values>
      </ddeItem>
      <ddeItem name="3036.Open" advise="1">
        <values>
          <value>
            <val>42.25</val>
          </value>
        </values>
      </ddeItem>
      <ddeItem name="3036.PreOpenPrice" advise="1">
        <values>
          <value>
            <val>42.2</val>
          </value>
        </values>
      </ddeItem>
      <ddeItem name="3036.PreviousPrice" advise="1">
        <values>
          <value>
            <val>42.25</val>
          </value>
        </values>
      </ddeItem>
      <ddeItem name="3036.PreviousVolume" advise="1">
        <values>
          <value>
            <val>1528</val>
          </value>
        </values>
      </ddeItem>
      <ddeItem name="3036.Price" advise="1">
        <values>
          <value>
            <val>42.2</val>
          </value>
        </values>
      </ddeItem>
      <ddeItem name="3036.Volume" advise="1">
        <values>
          <value>
            <val>14</val>
          </value>
        </values>
      </ddeItem>
      <ddeItem name="3037.AskPrice" advise="1">
        <values>
          <value>
            <val>81.599999999999994</val>
          </value>
        </values>
      </ddeItem>
      <ddeItem name="3037.BidPrice" advise="1">
        <values>
          <value>
            <val>81.5</val>
          </value>
        </values>
      </ddeItem>
      <ddeItem name="3037.Change" advise="1">
        <values>
          <value>
            <val>5.6</val>
          </value>
        </values>
      </ddeItem>
      <ddeItem name="3037.ChangePercent" advise="1">
        <values>
          <value>
            <val>7.3700000000000002E-2</val>
          </value>
        </values>
      </ddeItem>
      <ddeItem name="3037.CumulativeVolume" advise="1">
        <values>
          <value>
            <val>141266</val>
          </value>
        </values>
      </ddeItem>
      <ddeItem name="3037.Open" advise="1">
        <values>
          <value>
            <val>77.5</val>
          </value>
        </values>
      </ddeItem>
      <ddeItem name="3037.PreOpenPrice" advise="1">
        <values>
          <value>
            <val>81.599999999999994</val>
          </value>
        </values>
      </ddeItem>
      <ddeItem name="3037.PreviousPrice" advise="1">
        <values>
          <value>
            <val>76</val>
          </value>
        </values>
      </ddeItem>
      <ddeItem name="3037.PreviousVolume" advise="1">
        <values>
          <value>
            <val>61912</val>
          </value>
        </values>
      </ddeItem>
      <ddeItem name="3037.Price" advise="1">
        <values>
          <value>
            <val>81.599999999999994</val>
          </value>
        </values>
      </ddeItem>
      <ddeItem name="3037.Volume" advise="1">
        <values>
          <value>
            <val>3144</val>
          </value>
        </values>
      </ddeItem>
      <ddeItem name="3042.AskPrice" advise="1">
        <values>
          <value>
            <val>83.7</val>
          </value>
        </values>
      </ddeItem>
      <ddeItem name="3042.BidPrice" advise="1">
        <values>
          <value>
            <val>83.6</val>
          </value>
        </values>
      </ddeItem>
      <ddeItem name="3042.Change" advise="1">
        <values>
          <value>
            <val>2</val>
          </value>
        </values>
      </ddeItem>
      <ddeItem name="3042.ChangePercent" advise="1">
        <values>
          <value>
            <val>2.4500000000000001E-2</val>
          </value>
        </values>
      </ddeItem>
      <ddeItem name="3042.CumulativeVolume" advise="1">
        <values>
          <value>
            <val>13116</val>
          </value>
        </values>
      </ddeItem>
      <ddeItem name="3042.Open" advise="1">
        <values>
          <value>
            <val>82.8</val>
          </value>
        </values>
      </ddeItem>
      <ddeItem name="3042.PreOpenPrice" advise="1">
        <values>
          <value>
            <val>83.8</val>
          </value>
        </values>
      </ddeItem>
      <ddeItem name="3042.PreviousPrice" advise="1">
        <values>
          <value>
            <val>81.7</val>
          </value>
        </values>
      </ddeItem>
      <ddeItem name="3042.PreviousVolume" advise="1">
        <values>
          <value>
            <val>8318</val>
          </value>
        </values>
      </ddeItem>
      <ddeItem name="3042.Price" advise="1">
        <values>
          <value>
            <val>83.7</val>
          </value>
        </values>
      </ddeItem>
      <ddeItem name="3042.Volume" advise="1">
        <values>
          <value>
            <val>421</val>
          </value>
        </values>
      </ddeItem>
      <ddeItem name="3044.AskPrice" advise="1">
        <values>
          <value>
            <val>122.5</val>
          </value>
        </values>
      </ddeItem>
      <ddeItem name="3044.BidPrice" advise="1">
        <values>
          <value>
            <val>122</val>
          </value>
        </values>
      </ddeItem>
      <ddeItem name="3044.Change" advise="1">
        <values>
          <value>
            <val>-3.5</val>
          </value>
        </values>
      </ddeItem>
      <ddeItem name="3044.ChangePercent" advise="1">
        <values>
          <value>
            <val>-2.7900000000000001E-2</val>
          </value>
        </values>
      </ddeItem>
      <ddeItem name="3044.CumulativeVolume" advise="1">
        <values>
          <value>
            <val>6271</val>
          </value>
        </values>
      </ddeItem>
      <ddeItem name="3044.Open" advise="1">
        <values>
          <value>
            <val>123.5</val>
          </value>
        </values>
      </ddeItem>
      <ddeItem name="3044.PreOpenPrice" advise="1">
        <values>
          <value>
            <val>122</val>
          </value>
        </values>
      </ddeItem>
      <ddeItem name="3044.PreviousPrice" advise="1">
        <values>
          <value>
            <val>125.5</val>
          </value>
        </values>
      </ddeItem>
      <ddeItem name="3044.PreviousVolume" advise="1">
        <values>
          <value>
            <val>4515</val>
          </value>
        </values>
      </ddeItem>
      <ddeItem name="3044.Price" advise="1">
        <values>
          <value>
            <val>122</val>
          </value>
        </values>
      </ddeItem>
      <ddeItem name="3044.Volume" advise="1">
        <values>
          <value>
            <val>214</val>
          </value>
        </values>
      </ddeItem>
      <ddeItem name="3045.AskPrice" advise="1">
        <values>
          <value>
            <val>103</val>
          </value>
        </values>
      </ddeItem>
      <ddeItem name="3045.BidPrice" advise="1">
        <values>
          <value>
            <val>102.5</val>
          </value>
        </values>
      </ddeItem>
      <ddeItem name="3045.Change" advise="1">
        <values>
          <value>
            <val>-0.5</val>
          </value>
        </values>
      </ddeItem>
      <ddeItem name="3045.ChangePercent" advise="1">
        <values>
          <value>
            <val>-4.8999999999999998E-3</val>
          </value>
        </values>
      </ddeItem>
      <ddeItem name="3045.CumulativeVolume" advise="1">
        <values>
          <value>
            <val>6090</val>
          </value>
        </values>
      </ddeItem>
      <ddeItem name="3045.Open" advise="1">
        <values>
          <value>
            <val>103</val>
          </value>
        </values>
      </ddeItem>
      <ddeItem name="3045.PreOpenPrice" advise="1">
        <values>
          <value>
            <val>102.5</val>
          </value>
        </values>
      </ddeItem>
      <ddeItem name="3045.PreviousPrice" advise="1">
        <values>
          <value>
            <val>103</val>
          </value>
        </values>
      </ddeItem>
      <ddeItem name="3045.PreviousVolume" advise="1">
        <values>
          <value>
            <val>6288</val>
          </value>
        </values>
      </ddeItem>
      <ddeItem name="3045.Price" advise="1">
        <values>
          <value>
            <val>102.5</val>
          </value>
        </values>
      </ddeItem>
      <ddeItem name="3045.Volume" advise="1">
        <values>
          <value>
            <val>1730</val>
          </value>
        </values>
      </ddeItem>
      <ddeItem name="3189.AskPrice" advise="1">
        <values>
          <value>
            <val>82.6</val>
          </value>
        </values>
      </ddeItem>
      <ddeItem name="3189.BidPrice" advise="1">
        <values>
          <value>
            <val>82.5</val>
          </value>
        </values>
      </ddeItem>
      <ddeItem name="3189.Change" advise="1">
        <values>
          <value>
            <val>-0.1</val>
          </value>
        </values>
      </ddeItem>
      <ddeItem name="3189.ChangePercent" advise="1">
        <values>
          <value>
            <val>-1.1999999999999999E-3</val>
          </value>
        </values>
      </ddeItem>
      <ddeItem name="3189.CumulativeVolume" advise="1">
        <values>
          <value>
            <val>24034</val>
          </value>
        </values>
      </ddeItem>
      <ddeItem name="3189.Open" advise="1">
        <values>
          <value>
            <val>83.6</val>
          </value>
        </values>
      </ddeItem>
      <ddeItem name="3189.PreOpenPrice" advise="1">
        <values>
          <value>
            <val>82.5</val>
          </value>
        </values>
      </ddeItem>
      <ddeItem name="3189.PreviousPrice" advise="1">
        <values>
          <value>
            <val>82.6</val>
          </value>
        </values>
      </ddeItem>
      <ddeItem name="3189.PreviousVolume" advise="1">
        <values>
          <value>
            <val>14307</val>
          </value>
        </values>
      </ddeItem>
      <ddeItem name="3189.Price" advise="1">
        <values>
          <value>
            <val>82.5</val>
          </value>
        </values>
      </ddeItem>
      <ddeItem name="3189.Volume" advise="1">
        <values>
          <value>
            <val>582</val>
          </value>
        </values>
      </ddeItem>
      <ddeItem name="3231.AskPrice" advise="1">
        <values>
          <value>
            <val>34</val>
          </value>
        </values>
      </ddeItem>
      <ddeItem name="3231.BidPrice" advise="1">
        <values>
          <value>
            <val>33.950000000000003</val>
          </value>
        </values>
      </ddeItem>
      <ddeItem name="3231.Change" advise="1">
        <values>
          <value>
            <val>-0.5</val>
          </value>
        </values>
      </ddeItem>
      <ddeItem name="3231.ChangePercent" advise="1">
        <values>
          <value>
            <val>-1.4500000000000001E-2</val>
          </value>
        </values>
      </ddeItem>
      <ddeItem name="3231.CumulativeVolume" advise="1">
        <values>
          <value>
            <val>14969</val>
          </value>
        </values>
      </ddeItem>
      <ddeItem name="3231.Open" advise="1">
        <values>
          <value>
            <val>34.6</val>
          </value>
        </values>
      </ddeItem>
      <ddeItem name="3231.PreOpenPrice" advise="1">
        <values>
          <value>
            <val>34</val>
          </value>
        </values>
      </ddeItem>
      <ddeItem name="3231.PreviousPrice" advise="1">
        <values>
          <value>
            <val>34.5</val>
          </value>
        </values>
      </ddeItem>
      <ddeItem name="3231.PreviousVolume" advise="1">
        <values>
          <value>
            <val>18560</val>
          </value>
        </values>
      </ddeItem>
      <ddeItem name="3231.Price" advise="1">
        <values>
          <value>
            <val>34</val>
          </value>
        </values>
      </ddeItem>
      <ddeItem name="3231.Volume" advise="1">
        <values>
          <value>
            <val>1219</val>
          </value>
        </values>
      </ddeItem>
      <ddeItem name="3376.AskPrice" advise="1">
        <values>
          <value>
            <val>153</val>
          </value>
        </values>
      </ddeItem>
      <ddeItem name="3376.BidPrice" advise="1">
        <values>
          <value>
            <val>152.5</val>
          </value>
        </values>
      </ddeItem>
      <ddeItem name="3376.Change" advise="1">
        <values>
          <value>
            <val>3</val>
          </value>
        </values>
      </ddeItem>
      <ddeItem name="3376.ChangePercent" advise="1">
        <values>
          <value>
            <val>2.01E-2</val>
          </value>
        </values>
      </ddeItem>
      <ddeItem name="3376.CumulativeVolume" advise="1">
        <values>
          <value>
            <val>1358</val>
          </value>
        </values>
      </ddeItem>
      <ddeItem name="3376.Open" advise="1">
        <values>
          <value>
            <val>150</val>
          </value>
        </values>
      </ddeItem>
      <ddeItem name="3376.PreOpenPrice" advise="1">
        <values>
          <value>
            <val>153.5</val>
          </value>
        </values>
      </ddeItem>
      <ddeItem name="3376.PreviousPrice" advise="1">
        <values>
          <value>
            <val>149.5</val>
          </value>
        </values>
      </ddeItem>
      <ddeItem name="3376.PreviousVolume" advise="1">
        <values>
          <value>
            <val>1359</val>
          </value>
        </values>
      </ddeItem>
      <ddeItem name="3376.Price" advise="1">
        <values>
          <value>
            <val>152.5</val>
          </value>
        </values>
      </ddeItem>
      <ddeItem name="3376.Volume" advise="1">
        <values>
          <value>
            <val>82</val>
          </value>
        </values>
      </ddeItem>
      <ddeItem name="3406.AskPrice" advise="1">
        <values>
          <value>
            <val>653</val>
          </value>
        </values>
      </ddeItem>
      <ddeItem name="3406.BidPrice" advise="1">
        <values>
          <value>
            <val>652</val>
          </value>
        </values>
      </ddeItem>
      <ddeItem name="3406.Change" advise="1">
        <values>
          <value>
            <val>-10</val>
          </value>
        </values>
      </ddeItem>
      <ddeItem name="3406.ChangePercent" advise="1">
        <values>
          <value>
            <val>-1.5100000000000001E-2</val>
          </value>
        </values>
      </ddeItem>
      <ddeItem name="3406.CumulativeVolume" advise="1">
        <values>
          <value>
            <val>4995</val>
          </value>
        </values>
      </ddeItem>
      <ddeItem name="3406.Open" advise="1">
        <values>
          <value>
            <val>665</val>
          </value>
        </values>
      </ddeItem>
      <ddeItem name="3406.PreOpenPrice" advise="1">
        <values>
          <value>
            <val>652</val>
          </value>
        </values>
      </ddeItem>
      <ddeItem name="3406.PreviousPrice" advise="1">
        <values>
          <value>
            <val>662</val>
          </value>
        </values>
      </ddeItem>
      <ddeItem name="3406.PreviousVolume" advise="1">
        <values>
          <value>
            <val>10597</val>
          </value>
        </values>
      </ddeItem>
      <ddeItem name="3406.Price" advise="1">
        <values>
          <value>
            <val>652</val>
          </value>
        </values>
      </ddeItem>
      <ddeItem name="3406.Volume" advise="1">
        <values>
          <value>
            <val>532</val>
          </value>
        </values>
      </ddeItem>
      <ddeItem name="3413.AskPrice" advise="1">
        <values>
          <value>
            <val>205.5</val>
          </value>
        </values>
      </ddeItem>
      <ddeItem name="3413.BidPrice" advise="1">
        <values>
          <value>
            <val>205</val>
          </value>
        </values>
      </ddeItem>
      <ddeItem name="3413.Change" advise="1">
        <values>
          <value>
            <val>-6.5</val>
          </value>
        </values>
      </ddeItem>
      <ddeItem name="3413.ChangePercent" advise="1">
        <values>
          <value>
            <val>-3.0700000000000002E-2</val>
          </value>
        </values>
      </ddeItem>
      <ddeItem name="3413.CumulativeVolume" advise="1">
        <values>
          <value>
            <val>2545</val>
          </value>
        </values>
      </ddeItem>
      <ddeItem name="3413.Open" advise="1">
        <values>
          <value>
            <val>211</val>
          </value>
        </values>
      </ddeItem>
      <ddeItem name="3413.PreOpenPrice" advise="1">
        <values>
          <value>
            <val>205.5</val>
          </value>
        </values>
      </ddeItem>
      <ddeItem name="3413.PreviousPrice" advise="1">
        <values>
          <value>
            <val>212</val>
          </value>
        </values>
      </ddeItem>
      <ddeItem name="3413.PreviousVolume" advise="1">
        <values>
          <value>
            <val>2665</val>
          </value>
        </values>
      </ddeItem>
      <ddeItem name="3413.Price" advise="1">
        <values>
          <value>
            <val>205.5</val>
          </value>
        </values>
      </ddeItem>
      <ddeItem name="3413.Volume" advise="1">
        <values>
          <value>
            <val>108</val>
          </value>
        </values>
      </ddeItem>
      <ddeItem name="3443.AskPrice" advise="1">
        <values>
          <value>
            <val>301.5</val>
          </value>
        </values>
      </ddeItem>
      <ddeItem name="3443.BidPrice" advise="1">
        <values>
          <value>
            <val>301</val>
          </value>
        </values>
      </ddeItem>
      <ddeItem name="3443.Change" advise="1">
        <values>
          <value>
            <val>0.5</val>
          </value>
        </values>
      </ddeItem>
      <ddeItem name="3443.ChangePercent" advise="1">
        <values>
          <value>
            <val>1.6999999999999999E-3</val>
          </value>
        </values>
      </ddeItem>
      <ddeItem name="3443.CumulativeVolume" advise="1">
        <values>
          <value>
            <val>1813</val>
          </value>
        </values>
      </ddeItem>
      <ddeItem name="3443.Open" advise="1">
        <values>
          <value>
            <val>301</val>
          </value>
        </values>
      </ddeItem>
      <ddeItem name="3443.PreOpenPrice" advise="1">
        <values>
          <value>
            <val>302.5</val>
          </value>
        </values>
      </ddeItem>
      <ddeItem name="3443.PreviousPrice" advise="1">
        <values>
          <value>
            <val>301</val>
          </value>
        </values>
      </ddeItem>
      <ddeItem name="3443.PreviousVolume" advise="1">
        <values>
          <value>
            <val>1928</val>
          </value>
        </values>
      </ddeItem>
      <ddeItem name="3443.Price" advise="1">
        <values>
          <value>
            <val>301.5</val>
          </value>
        </values>
      </ddeItem>
      <ddeItem name="3443.Volume" advise="1">
        <values>
          <value>
            <val>117</val>
          </value>
        </values>
      </ddeItem>
      <ddeItem name="3481.AskPrice" advise="1">
        <values>
          <value>
            <val>8.1199999999999992</val>
          </value>
        </values>
      </ddeItem>
      <ddeItem name="3481.BidPrice" advise="1">
        <values>
          <value>
            <val>8.11</val>
          </value>
        </values>
      </ddeItem>
      <ddeItem name="3481.Change" advise="1">
        <values>
          <value>
            <val>-0.08</val>
          </value>
        </values>
      </ddeItem>
      <ddeItem name="3481.ChangePercent" advise="1">
        <values>
          <value>
            <val>-9.7999999999999997E-3</val>
          </value>
        </values>
      </ddeItem>
      <ddeItem name="3481.CumulativeVolume" advise="1">
        <values>
          <value>
            <val>67680</val>
          </value>
        </values>
      </ddeItem>
      <ddeItem name="3481.Open" advise="1">
        <values>
          <value>
            <val>8.27</val>
          </value>
        </values>
      </ddeItem>
      <ddeItem name="3481.PreOpenPrice" advise="1">
        <values>
          <value>
            <val>8.11</val>
          </value>
        </values>
      </ddeItem>
      <ddeItem name="3481.PreviousPrice" advise="1">
        <values>
          <value>
            <val>8.19</val>
          </value>
        </values>
      </ddeItem>
      <ddeItem name="3481.PreviousVolume" advise="1">
        <values>
          <value>
            <val>71109</val>
          </value>
        </values>
      </ddeItem>
      <ddeItem name="3481.Price" advise="1">
        <values>
          <value>
            <val>8.11</val>
          </value>
        </values>
      </ddeItem>
      <ddeItem name="3481.Volume" advise="1">
        <values>
          <value>
            <val>2941</val>
          </value>
        </values>
      </ddeItem>
      <ddeItem name="3515.AskPrice" advise="1">
        <values>
          <value>
            <val>172.5</val>
          </value>
        </values>
      </ddeItem>
      <ddeItem name="3515.BidPrice" advise="1">
        <values>
          <value>
            <val>172</val>
          </value>
        </values>
      </ddeItem>
      <ddeItem name="3515.Change" advise="1">
        <values>
          <value>
            <val>-1.5</val>
          </value>
        </values>
      </ddeItem>
      <ddeItem name="3515.ChangePercent" advise="1">
        <values>
          <value>
            <val>-8.6E-3</val>
          </value>
        </values>
      </ddeItem>
      <ddeItem name="3515.CumulativeVolume" advise="1">
        <values>
          <value>
            <val>1396</val>
          </value>
        </values>
      </ddeItem>
      <ddeItem name="3515.Open" advise="1">
        <values>
          <value>
            <val>174.5</val>
          </value>
        </values>
      </ddeItem>
      <ddeItem name="3515.PreOpenPrice" advise="1">
        <values>
          <value>
            <val>172</val>
          </value>
        </values>
      </ddeItem>
      <ddeItem name="3515.PreviousPrice" advise="1">
        <values>
          <value>
            <val>173.5</val>
          </value>
        </values>
      </ddeItem>
      <ddeItem name="3515.PreviousVolume" advise="1">
        <values>
          <value>
            <val>2268</val>
          </value>
        </values>
      </ddeItem>
      <ddeItem name="3515.Price" advise="1">
        <values>
          <value>
            <val>172</val>
          </value>
        </values>
      </ddeItem>
      <ddeItem name="3515.Volume" advise="1">
        <values>
          <value>
            <val>82</val>
          </value>
        </values>
      </ddeItem>
      <ddeItem name="3532.AskPrice" advise="1">
        <values>
          <value>
            <val>126.5</val>
          </value>
        </values>
      </ddeItem>
      <ddeItem name="3532.BidPrice" advise="1">
        <values>
          <value>
            <val>126</val>
          </value>
        </values>
      </ddeItem>
      <ddeItem name="3532.Change" advise="1">
        <values>
          <value>
            <val>-0.5</val>
          </value>
        </values>
      </ddeItem>
      <ddeItem name="3532.ChangePercent" advise="1">
        <values>
          <value>
            <val>-4.0000000000000001E-3</val>
          </value>
        </values>
      </ddeItem>
      <ddeItem name="3532.CumulativeVolume" advise="1">
        <values>
          <value>
            <val>641</val>
          </value>
        </values>
      </ddeItem>
      <ddeItem name="3532.Open" advise="1">
        <values>
          <value>
            <val>126.5</val>
          </value>
        </values>
      </ddeItem>
      <ddeItem name="3532.PreOpenPrice" advise="1">
        <values>
          <value>
            <val>126.5</val>
          </value>
        </values>
      </ddeItem>
      <ddeItem name="3532.PreviousPrice" advise="1">
        <values>
          <value>
            <val>126.5</val>
          </value>
        </values>
      </ddeItem>
      <ddeItem name="3532.PreviousVolume" advise="1">
        <values>
          <value>
            <val>436</val>
          </value>
        </values>
      </ddeItem>
      <ddeItem name="3532.Price" advise="1">
        <values>
          <value>
            <val>126</val>
          </value>
        </values>
      </ddeItem>
      <ddeItem name="3532.Volume" advise="1">
        <values>
          <value>
            <val>39</val>
          </value>
        </values>
      </ddeItem>
      <ddeItem name="3533.AskPrice" advise="1">
        <values>
          <value>
            <val>418</val>
          </value>
        </values>
      </ddeItem>
      <ddeItem name="3533.BidPrice" advise="1">
        <values>
          <value>
            <val>416.5</val>
          </value>
        </values>
      </ddeItem>
      <ddeItem name="3533.Change" advise="1">
        <values>
          <value>
            <val>-18</val>
          </value>
        </values>
      </ddeItem>
      <ddeItem name="3533.ChangePercent" advise="1">
        <values>
          <value>
            <val>-4.1300000000000003E-2</val>
          </value>
        </values>
      </ddeItem>
      <ddeItem name="3533.CumulativeVolume" advise="1">
        <values>
          <value>
            <val>2002</val>
          </value>
        </values>
      </ddeItem>
      <ddeItem name="3533.Open" advise="1">
        <values>
          <value>
            <val>430</val>
          </value>
        </values>
      </ddeItem>
      <ddeItem name="3533.PreOpenPrice" advise="1">
        <values>
          <value>
            <val>418.5</val>
          </value>
        </values>
      </ddeItem>
      <ddeItem name="3533.PreviousPrice" advise="1">
        <values>
          <value>
            <val>436</val>
          </value>
        </values>
      </ddeItem>
      <ddeItem name="3533.PreviousVolume" advise="1">
        <values>
          <value>
            <val>1046</val>
          </value>
        </values>
      </ddeItem>
      <ddeItem name="3533.Price" advise="1">
        <values>
          <value>
            <val>418</val>
          </value>
        </values>
      </ddeItem>
      <ddeItem name="3533.Volume" advise="1">
        <values>
          <value>
            <val>80</val>
          </value>
        </values>
      </ddeItem>
      <ddeItem name="3576.AskPrice" advise="1">
        <values>
          <value>
            <val>9.52</val>
          </value>
        </values>
      </ddeItem>
      <ddeItem name="3576.BidPrice" advise="1">
        <values>
          <value>
            <val>9.51</val>
          </value>
        </values>
      </ddeItem>
      <ddeItem name="3576.Change" advise="1">
        <values>
          <value>
            <val>-0.59</val>
          </value>
        </values>
      </ddeItem>
      <ddeItem name="3576.ChangePercent" advise="1">
        <values>
          <value>
            <val>-5.8400000000000001E-2</val>
          </value>
        </values>
      </ddeItem>
      <ddeItem name="3576.CumulativeVolume" advise="1">
        <values>
          <value>
            <val>104192</val>
          </value>
        </values>
      </ddeItem>
      <ddeItem name="3576.Open" advise="1">
        <values>
          <value>
            <val>10.35</val>
          </value>
        </values>
      </ddeItem>
      <ddeItem name="3576.PreOpenPrice" advise="1">
        <values>
          <value>
            <val>9.51</val>
          </value>
        </values>
      </ddeItem>
      <ddeItem name="3576.PreviousPrice" advise="1">
        <values>
          <value>
            <val>10.1</val>
          </value>
        </values>
      </ddeItem>
      <ddeItem name="3576.PreviousVolume" advise="1">
        <values>
          <value>
            <val>83693</val>
          </value>
        </values>
      </ddeItem>
      <ddeItem name="3576.Price" advise="1">
        <values>
          <value>
            <val>9.51</val>
          </value>
        </values>
      </ddeItem>
      <ddeItem name="3576.Volume" advise="1">
        <values>
          <value>
            <val>1654</val>
          </value>
        </values>
      </ddeItem>
      <ddeItem name="3596.AskPrice" advise="1">
        <values>
          <value>
            <val>84.5</val>
          </value>
        </values>
      </ddeItem>
      <ddeItem name="3596.BidPrice" advise="1">
        <values>
          <value>
            <val>84.4</val>
          </value>
        </values>
      </ddeItem>
      <ddeItem name="3596.Change" advise="1">
        <values>
          <value>
            <val>-1</val>
          </value>
        </values>
      </ddeItem>
      <ddeItem name="3596.ChangePercent" advise="1">
        <values>
          <value>
            <val>-1.17E-2</val>
          </value>
        </values>
      </ddeItem>
      <ddeItem name="3596.CumulativeVolume" advise="1">
        <values>
          <value>
            <val>6973</val>
          </value>
        </values>
      </ddeItem>
      <ddeItem name="3596.Open" advise="1">
        <values>
          <value>
            <val>86.2</val>
          </value>
        </values>
      </ddeItem>
      <ddeItem name="3596.PreOpenPrice" advise="1">
        <values>
          <value>
            <val>84.4</val>
          </value>
        </values>
      </ddeItem>
      <ddeItem name="3596.PreviousPrice" advise="1">
        <values>
          <value>
            <val>85.4</val>
          </value>
        </values>
      </ddeItem>
      <ddeItem name="3596.PreviousVolume" advise="1">
        <values>
          <value>
            <val>13068</val>
          </value>
        </values>
      </ddeItem>
      <ddeItem name="3596.Price" advise="1">
        <values>
          <value>
            <val>84.4</val>
          </value>
        </values>
      </ddeItem>
      <ddeItem name="3596.Volume" advise="1">
        <values>
          <value>
            <val>266</val>
          </value>
        </values>
      </ddeItem>
      <ddeItem name="3653.AskPrice" advise="1">
        <values>
          <value>
            <val>314.5</val>
          </value>
        </values>
      </ddeItem>
      <ddeItem name="3653.BidPrice" advise="1">
        <values>
          <value>
            <val>314</val>
          </value>
        </values>
      </ddeItem>
      <ddeItem name="3653.Change" advise="1">
        <values>
          <value>
            <val>-23</val>
          </value>
        </values>
      </ddeItem>
      <ddeItem name="3653.ChangePercent" advise="1">
        <values>
          <value>
            <val>-6.8199999999999997E-2</val>
          </value>
        </values>
      </ddeItem>
      <ddeItem name="3653.CumulativeVolume" advise="1">
        <values>
          <value>
            <val>2976</val>
          </value>
        </values>
      </ddeItem>
      <ddeItem name="3653.Open" advise="1">
        <values>
          <value>
            <val>337</val>
          </value>
        </values>
      </ddeItem>
      <ddeItem name="3653.PreOpenPrice" advise="1">
        <values>
          <value>
            <val>313</val>
          </value>
        </values>
      </ddeItem>
      <ddeItem name="3653.PreviousPrice" advise="1">
        <values>
          <value>
            <val>337</val>
          </value>
        </values>
      </ddeItem>
      <ddeItem name="3653.PreviousVolume" advise="1">
        <values>
          <value>
            <val>4539</val>
          </value>
        </values>
      </ddeItem>
      <ddeItem name="3653.Price" advise="1">
        <values>
          <value>
            <val>314</val>
          </value>
        </values>
      </ddeItem>
      <ddeItem name="3653.Volume" advise="1">
        <values>
          <value>
            <val>163</val>
          </value>
        </values>
      </ddeItem>
      <ddeItem name="3661.AskPrice" advise="1">
        <values>
          <value>
            <val>655</val>
          </value>
        </values>
      </ddeItem>
      <ddeItem name="3661.BidPrice" advise="1">
        <values>
          <value>
            <val>654</val>
          </value>
        </values>
      </ddeItem>
      <ddeItem name="3661.Change" advise="1">
        <values>
          <value>
            <val>-19</val>
          </value>
        </values>
      </ddeItem>
      <ddeItem name="3661.ChangePercent" advise="1">
        <values>
          <value>
            <val>-2.8199999999999999E-2</val>
          </value>
        </values>
      </ddeItem>
      <ddeItem name="3661.CumulativeVolume" advise="1">
        <values>
          <value>
            <val>4844</val>
          </value>
        </values>
      </ddeItem>
      <ddeItem name="3661.Open" advise="1">
        <values>
          <value>
            <val>672</val>
          </value>
        </values>
      </ddeItem>
      <ddeItem name="3661.PreOpenPrice" advise="1">
        <values>
          <value>
            <val>655</val>
          </value>
        </values>
      </ddeItem>
      <ddeItem name="3661.PreviousPrice" advise="1">
        <values>
          <value>
            <val>674</val>
          </value>
        </values>
      </ddeItem>
      <ddeItem name="3661.PreviousVolume" advise="1">
        <values>
          <value>
            <val>6911</val>
          </value>
        </values>
      </ddeItem>
      <ddeItem name="3661.Price" advise="1">
        <values>
          <value>
            <val>655</val>
          </value>
        </values>
      </ddeItem>
      <ddeItem name="3661.Volume" advise="1">
        <values>
          <value>
            <val>341</val>
          </value>
        </values>
      </ddeItem>
      <ddeItem name="3665.AskPrice" advise="1">
        <values>
          <value>
            <val>209</val>
          </value>
        </values>
      </ddeItem>
      <ddeItem name="3665.BidPrice" advise="1">
        <values>
          <value>
            <val>208.5</val>
          </value>
        </values>
      </ddeItem>
      <ddeItem name="3665.Change" advise="1">
        <values>
          <value>
            <val>3</val>
          </value>
        </values>
      </ddeItem>
      <ddeItem name="3665.ChangePercent" advise="1">
        <values>
          <value>
            <val>1.46E-2</val>
          </value>
        </values>
      </ddeItem>
      <ddeItem name="3665.CumulativeVolume" advise="1">
        <values>
          <value>
            <val>1820</val>
          </value>
        </values>
      </ddeItem>
      <ddeItem name="3665.Open" advise="1">
        <values>
          <value>
            <val>208</val>
          </value>
        </values>
      </ddeItem>
      <ddeItem name="3665.PreOpenPrice" advise="1">
        <values>
          <value>
            <val>208.5</val>
          </value>
        </values>
      </ddeItem>
      <ddeItem name="3665.PreviousPrice" advise="1">
        <values>
          <value>
            <val>205.5</val>
          </value>
        </values>
      </ddeItem>
      <ddeItem name="3665.PreviousVolume" advise="1">
        <values>
          <value>
            <val>862</val>
          </value>
        </values>
      </ddeItem>
      <ddeItem name="3665.Price" advise="1">
        <values>
          <value>
            <val>208.5</val>
          </value>
        </values>
      </ddeItem>
      <ddeItem name="3665.Volume" advise="1">
        <values>
          <value>
            <val>63</val>
          </value>
        </values>
      </ddeItem>
      <ddeItem name="3673.AskPrice" advise="1">
        <values>
          <value>
            <val>55.3</val>
          </value>
        </values>
      </ddeItem>
      <ddeItem name="3673.BidPrice" advise="1">
        <values>
          <value>
            <val>55.2</val>
          </value>
        </values>
      </ddeItem>
      <ddeItem name="3673.Change" advise="1">
        <values>
          <value>
            <val>0.6</val>
          </value>
        </values>
      </ddeItem>
      <ddeItem name="3673.ChangePercent" advise="1">
        <values>
          <value>
            <val>1.0999999999999999E-2</val>
          </value>
        </values>
      </ddeItem>
      <ddeItem name="3673.CumulativeVolume" advise="1">
        <values>
          <value>
            <val>5331</val>
          </value>
        </values>
      </ddeItem>
      <ddeItem name="3673.Open" advise="1">
        <values>
          <value>
            <val>55</val>
          </value>
        </values>
      </ddeItem>
      <ddeItem name="3673.PreOpenPrice" advise="1">
        <values>
          <value>
            <val>55.4</val>
          </value>
        </values>
      </ddeItem>
      <ddeItem name="3673.PreviousPrice" advise="1">
        <values>
          <value>
            <val>54.7</val>
          </value>
        </values>
      </ddeItem>
      <ddeItem name="3673.PreviousVolume" advise="1">
        <values>
          <value>
            <val>6851</val>
          </value>
        </values>
      </ddeItem>
      <ddeItem name="3673.Price" advise="1">
        <values>
          <value>
            <val>55.3</val>
          </value>
        </values>
      </ddeItem>
      <ddeItem name="3673.Volume" advise="1">
        <values>
          <value>
            <val>528</val>
          </value>
        </values>
      </ddeItem>
      <ddeItem name="3682.AskPrice" advise="1">
        <values>
          <value>
            <val>7.12</val>
          </value>
        </values>
      </ddeItem>
      <ddeItem name="3682.BidPrice" advise="1">
        <values>
          <value>
            <val>7.11</val>
          </value>
        </values>
      </ddeItem>
      <ddeItem name="3682.Change" advise="1">
        <values>
          <value>
            <val>-0.11</val>
          </value>
        </values>
      </ddeItem>
      <ddeItem name="3682.ChangePercent" advise="1">
        <values>
          <value>
            <val>-1.52E-2</val>
          </value>
        </values>
      </ddeItem>
      <ddeItem name="3682.CumulativeVolume" advise="1">
        <values>
          <value>
            <val>3772</val>
          </value>
        </values>
      </ddeItem>
      <ddeItem name="3682.Open" advise="1">
        <values>
          <value>
            <val>7.22</val>
          </value>
        </values>
      </ddeItem>
      <ddeItem name="3682.PreOpenPrice" advise="1">
        <values>
          <value>
            <val>7.11</val>
          </value>
        </values>
      </ddeItem>
      <ddeItem name="3682.PreviousPrice" advise="1">
        <values>
          <value>
            <val>7.22</val>
          </value>
        </values>
      </ddeItem>
      <ddeItem name="3682.PreviousVolume" advise="1">
        <values>
          <value>
            <val>4721</val>
          </value>
        </values>
      </ddeItem>
      <ddeItem name="3682.Price" advise="1">
        <values>
          <value>
            <val>7.11</val>
          </value>
        </values>
      </ddeItem>
      <ddeItem name="3682.Volume" advise="1">
        <values>
          <value>
            <val>135</val>
          </value>
        </values>
      </ddeItem>
      <ddeItem name="3702.AskPrice" advise="1">
        <values>
          <value>
            <val>40.35</val>
          </value>
        </values>
      </ddeItem>
      <ddeItem name="3702.BidPrice" advise="1">
        <values>
          <value>
            <val>40.299999999999997</val>
          </value>
        </values>
      </ddeItem>
      <ddeItem name="3702.Change" advise="1">
        <values>
          <value>
            <val>0.35</val>
          </value>
        </values>
      </ddeItem>
      <ddeItem name="3702.ChangePercent" advise="1">
        <values>
          <value>
            <val>8.8000000000000005E-3</val>
          </value>
        </values>
      </ddeItem>
      <ddeItem name="3702.CumulativeVolume" advise="1">
        <values>
          <value>
            <val>4520</val>
          </value>
        </values>
      </ddeItem>
      <ddeItem name="3702.Open" advise="1">
        <values>
          <value>
            <val>40.299999999999997</val>
          </value>
        </values>
      </ddeItem>
      <ddeItem name="3702.PreOpenPrice" advise="1">
        <values>
          <value>
            <val>40.35</val>
          </value>
        </values>
      </ddeItem>
      <ddeItem name="3702.PreviousPrice" advise="1">
        <values>
          <value>
            <val>40</val>
          </value>
        </values>
      </ddeItem>
      <ddeItem name="3702.PreviousVolume" advise="1">
        <values>
          <value>
            <val>2298</val>
          </value>
        </values>
      </ddeItem>
      <ddeItem name="3702.Price" advise="1">
        <values>
          <value>
            <val>40.35</val>
          </value>
        </values>
      </ddeItem>
      <ddeItem name="3702.Volume" advise="1">
        <values>
          <value>
            <val>358</val>
          </value>
        </values>
      </ddeItem>
      <ddeItem name="3706.AskPrice" advise="1">
        <values>
          <value>
            <val>29.4</val>
          </value>
        </values>
      </ddeItem>
      <ddeItem name="3706.BidPrice" advise="1">
        <values>
          <value>
            <val>29.35</val>
          </value>
        </values>
      </ddeItem>
      <ddeItem name="3706.Change" advise="1">
        <values>
          <value>
            <val>0.05</val>
          </value>
        </values>
      </ddeItem>
      <ddeItem name="3706.ChangePercent" advise="1">
        <values>
          <value>
            <val>1.6999999999999999E-3</val>
          </value>
        </values>
      </ddeItem>
      <ddeItem name="3706.CumulativeVolume" advise="1">
        <values>
          <value>
            <val>3018</val>
          </value>
        </values>
      </ddeItem>
      <ddeItem name="3706.Open" advise="1">
        <values>
          <value>
            <val>29.4</val>
          </value>
        </values>
      </ddeItem>
      <ddeItem name="3706.PreOpenPrice" advise="1">
        <values>
          <value>
            <val>29.35</val>
          </value>
        </values>
      </ddeItem>
      <ddeItem name="3706.PreviousPrice" advise="1">
        <values>
          <value>
            <val>29.35</val>
          </value>
        </values>
      </ddeItem>
      <ddeItem name="3706.PreviousVolume" advise="1">
        <values>
          <value>
            <val>2244</val>
          </value>
        </values>
      </ddeItem>
      <ddeItem name="3706.Price" advise="1">
        <values>
          <value>
            <val>29.4</val>
          </value>
        </values>
      </ddeItem>
      <ddeItem name="3706.Volume" advise="1">
        <values>
          <value>
            <val>109</val>
          </value>
        </values>
      </ddeItem>
      <ddeItem name="3711.AskPrice" advise="1">
        <values>
          <value>
            <val>70.5</val>
          </value>
        </values>
      </ddeItem>
      <ddeItem name="3711.BidPrice" advise="1">
        <values>
          <value>
            <val>70.400000000000006</val>
          </value>
        </values>
      </ddeItem>
      <ddeItem name="3711.Change" advise="1">
        <values>
          <value>
            <val>0</val>
          </value>
        </values>
      </ddeItem>
      <ddeItem name="3711.ChangePercent" advise="1">
        <values>
          <value>
            <val>0</val>
          </value>
        </values>
      </ddeItem>
      <ddeItem name="3711.CumulativeVolume" advise="1">
        <values>
          <value>
            <val>10193</val>
          </value>
        </values>
      </ddeItem>
      <ddeItem name="3711.Open" advise="1">
        <values>
          <value>
            <val>70.400000000000006</val>
          </value>
        </values>
      </ddeItem>
      <ddeItem name="3711.PreOpenPrice" advise="1">
        <values>
          <value>
            <val>70.400000000000006</val>
          </value>
        </values>
      </ddeItem>
      <ddeItem name="3711.PreviousPrice" advise="1">
        <values>
          <value>
            <val>70.400000000000006</val>
          </value>
        </values>
      </ddeItem>
      <ddeItem name="3711.PreviousVolume" advise="1">
        <values>
          <value>
            <val>9240</val>
          </value>
        </values>
      </ddeItem>
      <ddeItem name="3711.Price" advise="1">
        <values>
          <value>
            <val>70.400000000000006</val>
          </value>
        </values>
      </ddeItem>
      <ddeItem name="3711.Volume" advise="1">
        <values>
          <value>
            <val>1030</val>
          </value>
        </values>
      </ddeItem>
      <ddeItem name="4137.AskPrice" advise="1">
        <values>
          <value>
            <val>202.5</val>
          </value>
        </values>
      </ddeItem>
      <ddeItem name="4137.BidPrice" advise="1">
        <values>
          <value>
            <val>202</val>
          </value>
        </values>
      </ddeItem>
      <ddeItem name="4137.Change" advise="1">
        <values>
          <value>
            <val>-1</val>
          </value>
        </values>
      </ddeItem>
      <ddeItem name="4137.ChangePercent" advise="1">
        <values>
          <value>
            <val>-4.8999999999999998E-3</val>
          </value>
        </values>
      </ddeItem>
      <ddeItem name="4137.CumulativeVolume" advise="1">
        <values>
          <value>
            <val>219</val>
          </value>
        </values>
      </ddeItem>
      <ddeItem name="4137.Open" advise="1">
        <values>
          <value>
            <val>203</val>
          </value>
        </values>
      </ddeItem>
      <ddeItem name="4137.PreOpenPrice" advise="1">
        <values>
          <value>
            <val>202</val>
          </value>
        </values>
      </ddeItem>
      <ddeItem name="4137.PreviousPrice" advise="1">
        <values>
          <value>
            <val>203</val>
          </value>
        </values>
      </ddeItem>
      <ddeItem name="4137.PreviousVolume" advise="1">
        <values>
          <value>
            <val>283</val>
          </value>
        </values>
      </ddeItem>
      <ddeItem name="4137.Price" advise="1">
        <values>
          <value>
            <val>202</val>
          </value>
        </values>
      </ddeItem>
      <ddeItem name="4137.Volume" advise="1">
        <values>
          <value>
            <val>9</val>
          </value>
        </values>
      </ddeItem>
      <ddeItem name="4142.AskPrice" advise="1">
        <values>
          <value>
            <val>66.8</val>
          </value>
        </values>
      </ddeItem>
      <ddeItem name="4142.BidPrice" advise="1">
        <values>
          <value>
            <val>66.7</val>
          </value>
        </values>
      </ddeItem>
      <ddeItem name="4142.Change" advise="1">
        <values>
          <value>
            <val>-3.3</val>
          </value>
        </values>
      </ddeItem>
      <ddeItem name="4142.ChangePercent" advise="1">
        <values>
          <value>
            <val>-4.7100000000000003E-2</val>
          </value>
        </values>
      </ddeItem>
      <ddeItem name="4142.CumulativeVolume" advise="1">
        <values>
          <value>
            <val>34542</val>
          </value>
        </values>
      </ddeItem>
      <ddeItem name="4142.Open" advise="1">
        <values>
          <value>
            <val>70.3</val>
          </value>
        </values>
      </ddeItem>
      <ddeItem name="4142.PreOpenPrice" advise="1">
        <values>
          <value>
            <val>66.8</val>
          </value>
        </values>
      </ddeItem>
      <ddeItem name="4142.PreviousPrice" advise="1">
        <values>
          <value>
            <val>70</val>
          </value>
        </values>
      </ddeItem>
      <ddeItem name="4142.PreviousVolume" advise="1">
        <values>
          <value>
            <val>25461</val>
          </value>
        </values>
      </ddeItem>
      <ddeItem name="4142.Price" advise="1">
        <values>
          <value>
            <val>66.7</val>
          </value>
        </values>
      </ddeItem>
      <ddeItem name="4142.Volume" advise="1">
        <values>
          <value>
            <val>1359</val>
          </value>
        </values>
      </ddeItem>
      <ddeItem name="4438.AskPrice" advise="1">
        <values>
          <value>
            <val>131.5</val>
          </value>
        </values>
      </ddeItem>
      <ddeItem name="4438.BidPrice" advise="1">
        <values>
          <value>
            <val>131</val>
          </value>
        </values>
      </ddeItem>
      <ddeItem name="4438.Change" advise="1">
        <values>
          <value>
            <val>-1.5</val>
          </value>
        </values>
      </ddeItem>
      <ddeItem name="4438.ChangePercent" advise="1">
        <values>
          <value>
            <val>-1.1299999999999999E-2</val>
          </value>
        </values>
      </ddeItem>
      <ddeItem name="4438.CumulativeVolume" advise="1">
        <values>
          <value>
            <val>54</val>
          </value>
        </values>
      </ddeItem>
      <ddeItem name="4438.Open" advise="1">
        <values>
          <value>
            <val>132.5</val>
          </value>
        </values>
      </ddeItem>
      <ddeItem name="4438.PreOpenPrice" advise="1">
        <values>
          <value>
            <val>131</val>
          </value>
        </values>
      </ddeItem>
      <ddeItem name="4438.PreviousPrice" advise="1">
        <values>
          <value>
            <val>132.5</val>
          </value>
        </values>
      </ddeItem>
      <ddeItem name="4438.PreviousVolume" advise="1">
        <values>
          <value>
            <val>67</val>
          </value>
        </values>
      </ddeItem>
      <ddeItem name="4438.Price" advise="1">
        <values>
          <value>
            <val>131</val>
          </value>
        </values>
      </ddeItem>
      <ddeItem name="4438.Volume" advise="1">
        <values>
          <value>
            <val>3</val>
          </value>
        </values>
      </ddeItem>
      <ddeItem name="4536.AskPrice" advise="1">
        <values>
          <value>
            <val>161.5</val>
          </value>
        </values>
      </ddeItem>
      <ddeItem name="4536.BidPrice" advise="1">
        <values>
          <value>
            <val>161</val>
          </value>
        </values>
      </ddeItem>
      <ddeItem name="4536.Change" advise="1">
        <values>
          <value>
            <val>-0.5</val>
          </value>
        </values>
      </ddeItem>
      <ddeItem name="4536.ChangePercent" advise="1">
        <values>
          <value>
            <val>-3.0999999999999999E-3</val>
          </value>
        </values>
      </ddeItem>
      <ddeItem name="4536.CumulativeVolume" advise="1">
        <values>
          <value>
            <val>323</val>
          </value>
        </values>
      </ddeItem>
      <ddeItem name="4536.Open" advise="1">
        <values>
          <value>
            <val>162</val>
          </value>
        </values>
      </ddeItem>
      <ddeItem name="4536.PreOpenPrice" advise="1">
        <values>
          <value>
            <val>161</val>
          </value>
        </values>
      </ddeItem>
      <ddeItem name="4536.PreviousPrice" advise="1">
        <values>
          <value>
            <val>161.5</val>
          </value>
        </values>
      </ddeItem>
      <ddeItem name="4536.PreviousVolume" advise="1">
        <values>
          <value>
            <val>416</val>
          </value>
        </values>
      </ddeItem>
      <ddeItem name="4536.Price" advise="1">
        <values>
          <value>
            <val>161</val>
          </value>
        </values>
      </ddeItem>
      <ddeItem name="4536.Volume" advise="1">
        <values>
          <value>
            <val>28</val>
          </value>
        </values>
      </ddeItem>
      <ddeItem name="4551.AskPrice" advise="1">
        <values>
          <value>
            <val>170.5</val>
          </value>
        </values>
      </ddeItem>
      <ddeItem name="4551.BidPrice" advise="1">
        <values>
          <value>
            <val>170</val>
          </value>
        </values>
      </ddeItem>
      <ddeItem name="4551.Change" advise="1">
        <values>
          <value>
            <val>-6</val>
          </value>
        </values>
      </ddeItem>
      <ddeItem name="4551.ChangePercent" advise="1">
        <values>
          <value>
            <val>-3.4099999999999998E-2</val>
          </value>
        </values>
      </ddeItem>
      <ddeItem name="4551.CumulativeVolume" advise="1">
        <values>
          <value>
            <val>534</val>
          </value>
        </values>
      </ddeItem>
      <ddeItem name="4551.Open" advise="1">
        <values>
          <value>
            <val>178.5</val>
          </value>
        </values>
      </ddeItem>
      <ddeItem name="4551.PreOpenPrice" advise="1">
        <values>
          <value>
            <val>170</val>
          </value>
        </values>
      </ddeItem>
      <ddeItem name="4551.PreviousPrice" advise="1">
        <values>
          <value>
            <val>176</val>
          </value>
        </values>
      </ddeItem>
      <ddeItem name="4551.PreviousVolume" advise="1">
        <values>
          <value>
            <val>468</val>
          </value>
        </values>
      </ddeItem>
      <ddeItem name="4551.Price" advise="1">
        <values>
          <value>
            <val>170</val>
          </value>
        </values>
      </ddeItem>
      <ddeItem name="4551.Volume" advise="1">
        <values>
          <value>
            <val>19</val>
          </value>
        </values>
      </ddeItem>
      <ddeItem name="4766.AskPrice" advise="1">
        <values>
          <value>
            <val>134.5</val>
          </value>
        </values>
      </ddeItem>
      <ddeItem name="4766.BidPrice" advise="1">
        <values>
          <value>
            <val>134</val>
          </value>
        </values>
      </ddeItem>
      <ddeItem name="4766.Change" advise="1">
        <values>
          <value>
            <val>-0.5</val>
          </value>
        </values>
      </ddeItem>
      <ddeItem name="4766.ChangePercent" advise="1">
        <values>
          <value>
            <val>-3.7000000000000002E-3</val>
          </value>
        </values>
      </ddeItem>
      <ddeItem name="4766.CumulativeVolume" advise="1">
        <values>
          <value>
            <val>62</val>
          </value>
        </values>
      </ddeItem>
      <ddeItem name="4766.Open" advise="1">
        <values>
          <value>
            <val>134.5</val>
          </value>
        </values>
      </ddeItem>
      <ddeItem name="4766.PreOpenPrice" advise="1">
        <values>
          <value>
            <val>134.5</val>
          </value>
        </values>
      </ddeItem>
      <ddeItem name="4766.PreviousPrice" advise="1">
        <values>
          <value>
            <val>135</val>
          </value>
        </values>
      </ddeItem>
      <ddeItem name="4766.PreviousVolume" advise="1">
        <values>
          <value>
            <val>165</val>
          </value>
        </values>
      </ddeItem>
      <ddeItem name="4766.Price" advise="1">
        <values>
          <value>
            <val>134.5</val>
          </value>
        </values>
      </ddeItem>
      <ddeItem name="4766.Volume" advise="1">
        <values>
          <value>
            <val>1</val>
          </value>
        </values>
      </ddeItem>
      <ddeItem name="4904.AskPrice" advise="1">
        <values>
          <value>
            <val>62</val>
          </value>
        </values>
      </ddeItem>
      <ddeItem name="4904.BidPrice" advise="1">
        <values>
          <value>
            <val>61.9</val>
          </value>
        </values>
      </ddeItem>
      <ddeItem name="4904.Change" advise="1">
        <values>
          <value>
            <val>-0.1</val>
          </value>
        </values>
      </ddeItem>
      <ddeItem name="4904.ChangePercent" advise="1">
        <values>
          <value>
            <val>-1.6000000000000001E-3</val>
          </value>
        </values>
      </ddeItem>
      <ddeItem name="4904.CumulativeVolume" advise="1">
        <values>
          <value>
            <val>2212</val>
          </value>
        </values>
      </ddeItem>
      <ddeItem name="4904.Open" advise="1">
        <values>
          <value>
            <val>62</val>
          </value>
        </values>
      </ddeItem>
      <ddeItem name="4904.PreOpenPrice" advise="1">
        <values>
          <value>
            <val>62</val>
          </value>
        </values>
      </ddeItem>
      <ddeItem name="4904.PreviousPrice" advise="1">
        <values>
          <value>
            <val>62.1</val>
          </value>
        </values>
      </ddeItem>
      <ddeItem name="4904.PreviousVolume" advise="1">
        <values>
          <value>
            <val>1223</val>
          </value>
        </values>
      </ddeItem>
      <ddeItem name="4904.Price" advise="1">
        <values>
          <value>
            <val>62</val>
          </value>
        </values>
      </ddeItem>
      <ddeItem name="4904.Volume" advise="1">
        <values>
          <value>
            <val>252</val>
          </value>
        </values>
      </ddeItem>
      <ddeItem name="4915.AskPrice" advise="1">
        <values>
          <value>
            <val>41.7</val>
          </value>
        </values>
      </ddeItem>
      <ddeItem name="4915.BidPrice" advise="1">
        <values>
          <value>
            <val>41.65</val>
          </value>
        </values>
      </ddeItem>
      <ddeItem name="4915.Change" advise="1">
        <values>
          <value>
            <val>-0.5</val>
          </value>
        </values>
      </ddeItem>
      <ddeItem name="4915.ChangePercent" advise="1">
        <values>
          <value>
            <val>-1.18E-2</val>
          </value>
        </values>
      </ddeItem>
      <ddeItem name="4915.CumulativeVolume" advise="1">
        <values>
          <value>
            <val>2936</val>
          </value>
        </values>
      </ddeItem>
      <ddeItem name="4915.Open" advise="1">
        <values>
          <value>
            <val>42.2</val>
          </value>
        </values>
      </ddeItem>
      <ddeItem name="4915.PreOpenPrice" advise="1">
        <values>
          <value>
            <val>41.7</val>
          </value>
        </values>
      </ddeItem>
      <ddeItem name="4915.PreviousPrice" advise="1">
        <values>
          <value>
            <val>42.2</val>
          </value>
        </values>
      </ddeItem>
      <ddeItem name="4915.PreviousVolume" advise="1">
        <values>
          <value>
            <val>3462</val>
          </value>
        </values>
      </ddeItem>
      <ddeItem name="4915.Price" advise="1">
        <values>
          <value>
            <val>41.7</val>
          </value>
        </values>
      </ddeItem>
      <ddeItem name="4915.Volume" advise="1">
        <values>
          <value>
            <val>122</val>
          </value>
        </values>
      </ddeItem>
      <ddeItem name="4919.AskPrice" advise="1">
        <values>
          <value>
            <val>45</val>
          </value>
        </values>
      </ddeItem>
      <ddeItem name="4919.BidPrice" advise="1">
        <values>
          <value>
            <val>44.95</val>
          </value>
        </values>
      </ddeItem>
      <ddeItem name="4919.Change" advise="1">
        <values>
          <value>
            <val>-1.1499999999999999</val>
          </value>
        </values>
      </ddeItem>
      <ddeItem name="4919.ChangePercent" advise="1">
        <values>
          <value>
            <val>-2.4899999999999999E-2</val>
          </value>
        </values>
      </ddeItem>
      <ddeItem name="4919.CumulativeVolume" advise="1">
        <values>
          <value>
            <val>5059</val>
          </value>
        </values>
      </ddeItem>
      <ddeItem name="4919.Open" advise="1">
        <values>
          <value>
            <val>45.85</val>
          </value>
        </values>
      </ddeItem>
      <ddeItem name="4919.PreOpenPrice" advise="1">
        <values>
          <value>
            <val>44.95</val>
          </value>
        </values>
      </ddeItem>
      <ddeItem name="4919.PreviousPrice" advise="1">
        <values>
          <value>
            <val>47.3</val>
          </value>
        </values>
      </ddeItem>
      <ddeItem name="4919.PreviousVolume" advise="1">
        <values>
          <value>
            <val>7733</val>
          </value>
        </values>
      </ddeItem>
      <ddeItem name="4919.Price" advise="1">
        <values>
          <value>
            <val>44.95</val>
          </value>
        </values>
      </ddeItem>
      <ddeItem name="4919.Volume" advise="1">
        <values>
          <value>
            <val>125</val>
          </value>
        </values>
      </ddeItem>
      <ddeItem name="4927.AskPrice" advise="1">
        <values>
          <value>
            <val>75.900000000000006</val>
          </value>
        </values>
      </ddeItem>
      <ddeItem name="4927.BidPrice" advise="1">
        <values>
          <value>
            <val>75.8</val>
          </value>
        </values>
      </ddeItem>
      <ddeItem name="4927.Change" advise="1">
        <values>
          <value>
            <val>1.4</val>
          </value>
        </values>
      </ddeItem>
      <ddeItem name="4927.ChangePercent" advise="1">
        <values>
          <value>
            <val>1.8800000000000001E-2</val>
          </value>
        </values>
      </ddeItem>
      <ddeItem name="4927.CumulativeVolume" advise="1">
        <values>
          <value>
            <val>5203</val>
          </value>
        </values>
      </ddeItem>
      <ddeItem name="4927.Open" advise="1">
        <values>
          <value>
            <val>74.900000000000006</val>
          </value>
        </values>
      </ddeItem>
      <ddeItem name="4927.PreOpenPrice" advise="1">
        <values>
          <value>
            <val>75.8</val>
          </value>
        </values>
      </ddeItem>
      <ddeItem name="4927.PreviousPrice" advise="1">
        <values>
          <value>
            <val>74.400000000000006</val>
          </value>
        </values>
      </ddeItem>
      <ddeItem name="4927.PreviousVolume" advise="1">
        <values>
          <value>
            <val>4859</val>
          </value>
        </values>
      </ddeItem>
      <ddeItem name="4927.Price" advise="1">
        <values>
          <value>
            <val>75.8</val>
          </value>
        </values>
      </ddeItem>
      <ddeItem name="4927.Volume" advise="1">
        <values>
          <value>
            <val>129</val>
          </value>
        </values>
      </ddeItem>
      <ddeItem name="4935.AskPrice" advise="1">
        <values>
          <value>
            <val>113.5</val>
          </value>
        </values>
      </ddeItem>
      <ddeItem name="4935.BidPrice" advise="1">
        <values>
          <value>
            <val>113</val>
          </value>
        </values>
      </ddeItem>
      <ddeItem name="4935.Change" advise="1">
        <values>
          <value>
            <val>0</val>
          </value>
        </values>
      </ddeItem>
      <ddeItem name="4935.ChangePercent" advise="1">
        <values>
          <value>
            <val>0</val>
          </value>
        </values>
      </ddeItem>
      <ddeItem name="4935.CumulativeVolume" advise="1">
        <values>
          <value>
            <val>2274</val>
          </value>
        </values>
      </ddeItem>
      <ddeItem name="4935.Open" advise="1">
        <values>
          <value>
            <val>112.5</val>
          </value>
        </values>
      </ddeItem>
      <ddeItem name="4935.PreOpenPrice" advise="1">
        <values>
          <value>
            <val>113</val>
          </value>
        </values>
      </ddeItem>
      <ddeItem name="4935.PreviousPrice" advise="1">
        <values>
          <value>
            <val>113</val>
          </value>
        </values>
      </ddeItem>
      <ddeItem name="4935.PreviousVolume" advise="1">
        <values>
          <value>
            <val>5452</val>
          </value>
        </values>
      </ddeItem>
      <ddeItem name="4935.Price" advise="1">
        <values>
          <value>
            <val>113</val>
          </value>
        </values>
      </ddeItem>
      <ddeItem name="4935.Volume" advise="1">
        <values>
          <value>
            <val>159</val>
          </value>
        </values>
      </ddeItem>
      <ddeItem name="4938.AskPrice" advise="1">
        <values>
          <value>
            <val>62.1</val>
          </value>
        </values>
      </ddeItem>
      <ddeItem name="4938.BidPrice" advise="1">
        <values>
          <value>
            <val>62</val>
          </value>
        </values>
      </ddeItem>
      <ddeItem name="4938.Change" advise="1">
        <values>
          <value>
            <val>-1.6</val>
          </value>
        </values>
      </ddeItem>
      <ddeItem name="4938.ChangePercent" advise="1">
        <values>
          <value>
            <val>-2.52E-2</val>
          </value>
        </values>
      </ddeItem>
      <ddeItem name="4938.CumulativeVolume" advise="1">
        <values>
          <value>
            <val>7018</val>
          </value>
        </values>
      </ddeItem>
      <ddeItem name="4938.Open" advise="1">
        <values>
          <value>
            <val>63.6</val>
          </value>
        </values>
      </ddeItem>
      <ddeItem name="4938.PreOpenPrice" advise="1">
        <values>
          <value>
            <val>62</val>
          </value>
        </values>
      </ddeItem>
      <ddeItem name="4938.PreviousPrice" advise="1">
        <values>
          <value>
            <val>63.6</val>
          </value>
        </values>
      </ddeItem>
      <ddeItem name="4938.PreviousVolume" advise="1">
        <values>
          <value>
            <val>7480</val>
          </value>
        </values>
      </ddeItem>
      <ddeItem name="4938.Price" advise="1">
        <values>
          <value>
            <val>62</val>
          </value>
        </values>
      </ddeItem>
      <ddeItem name="4938.Volume" advise="1">
        <values>
          <value>
            <val>575</val>
          </value>
        </values>
      </ddeItem>
      <ddeItem name="4943.AskPrice" advise="1">
        <values>
          <value>
            <val>123.5</val>
          </value>
        </values>
      </ddeItem>
      <ddeItem name="4943.BidPrice" advise="1">
        <values>
          <value>
            <val>123</val>
          </value>
        </values>
      </ddeItem>
      <ddeItem name="4943.Change" advise="1">
        <values>
          <value>
            <val>0</val>
          </value>
        </values>
      </ddeItem>
      <ddeItem name="4943.ChangePercent" advise="1">
        <values>
          <value>
            <val>0</val>
          </value>
        </values>
      </ddeItem>
      <ddeItem name="4943.CumulativeVolume" advise="1">
        <values>
          <value>
            <val>1111</val>
          </value>
        </values>
      </ddeItem>
      <ddeItem name="4943.Open" advise="1">
        <values>
          <value>
            <val>123.5</val>
          </value>
        </values>
      </ddeItem>
      <ddeItem name="4943.PreOpenPrice" advise="1">
        <values>
          <value>
            <val>123</val>
          </value>
        </values>
      </ddeItem>
      <ddeItem name="4943.PreviousPrice" advise="1">
        <values>
          <value>
            <val>123</val>
          </value>
        </values>
      </ddeItem>
      <ddeItem name="4943.PreviousVolume" advise="1">
        <values>
          <value>
            <val>1182</val>
          </value>
        </values>
      </ddeItem>
      <ddeItem name="4943.Price" advise="1">
        <values>
          <value>
            <val>123</val>
          </value>
        </values>
      </ddeItem>
      <ddeItem name="4943.Volume" advise="1">
        <values>
          <value>
            <val>69</val>
          </value>
        </values>
      </ddeItem>
      <ddeItem name="4958.AskPrice" advise="1">
        <values>
          <value>
            <val>139.5</val>
          </value>
        </values>
      </ddeItem>
      <ddeItem name="4958.BidPrice" advise="1">
        <values>
          <value>
            <val>139</val>
          </value>
        </values>
      </ddeItem>
      <ddeItem name="4958.Change" advise="1">
        <values>
          <value>
            <val>-5</val>
          </value>
        </values>
      </ddeItem>
      <ddeItem name="4958.ChangePercent" advise="1">
        <values>
          <value>
            <val>-3.4700000000000002E-2</val>
          </value>
        </values>
      </ddeItem>
      <ddeItem name="4958.CumulativeVolume" advise="1">
        <values>
          <value>
            <val>8153</val>
          </value>
        </values>
      </ddeItem>
      <ddeItem name="4958.Open" advise="1">
        <values>
          <value>
            <val>144</val>
          </value>
        </values>
      </ddeItem>
      <ddeItem name="4958.PreOpenPrice" advise="1">
        <values>
          <value>
            <val>139</val>
          </value>
        </values>
      </ddeItem>
      <ddeItem name="4958.PreviousPrice" advise="1">
        <values>
          <value>
            <val>144</val>
          </value>
        </values>
      </ddeItem>
      <ddeItem name="4958.PreviousVolume" advise="1">
        <values>
          <value>
            <val>7731</val>
          </value>
        </values>
      </ddeItem>
      <ddeItem name="4958.Price" advise="1">
        <values>
          <value>
            <val>139</val>
          </value>
        </values>
      </ddeItem>
      <ddeItem name="4958.Volume" advise="1">
        <values>
          <value>
            <val>410</val>
          </value>
        </values>
      </ddeItem>
      <ddeItem name="4968.AskPrice" advise="1">
        <values>
          <value>
            <val>274</val>
          </value>
        </values>
      </ddeItem>
      <ddeItem name="4968.BidPrice" advise="1">
        <values>
          <value>
            <val>273.5</val>
          </value>
        </values>
      </ddeItem>
      <ddeItem name="4968.Change" advise="1">
        <values>
          <value>
            <val>0</val>
          </value>
        </values>
      </ddeItem>
      <ddeItem name="4968.ChangePercent" advise="1">
        <values>
          <value>
            <val>0</val>
          </value>
        </values>
      </ddeItem>
      <ddeItem name="4968.CumulativeVolume" advise="1">
        <values>
          <value>
            <val>7794</val>
          </value>
        </values>
      </ddeItem>
      <ddeItem name="4968.Open" advise="1">
        <values>
          <value>
            <val>278</val>
          </value>
        </values>
      </ddeItem>
      <ddeItem name="4968.PreOpenPrice" advise="1">
        <values>
          <value>
            <val>274</val>
          </value>
        </values>
      </ddeItem>
      <ddeItem name="4968.PreviousPrice" advise="1">
        <values>
          <value>
            <val>274</val>
          </value>
        </values>
      </ddeItem>
      <ddeItem name="4968.PreviousVolume" advise="1">
        <values>
          <value>
            <val>4332</val>
          </value>
        </values>
      </ddeItem>
      <ddeItem name="4968.Price" advise="1">
        <values>
          <value>
            <val>274</val>
          </value>
        </values>
      </ddeItem>
      <ddeItem name="4968.Volume" advise="1">
        <values>
          <value>
            <val>287</val>
          </value>
        </values>
      </ddeItem>
      <ddeItem name="5007.AskPrice" advise="1">
        <values>
          <value>
            <val>45.8</val>
          </value>
        </values>
      </ddeItem>
      <ddeItem name="5007.BidPrice" advise="1">
        <values>
          <value>
            <val>45.3</val>
          </value>
        </values>
      </ddeItem>
      <ddeItem name="5007.Change" advise="1">
        <values>
          <value>
            <val>0.15</val>
          </value>
        </values>
      </ddeItem>
      <ddeItem name="5007.ChangePercent" advise="1">
        <values>
          <value>
            <val>3.3E-3</val>
          </value>
        </values>
      </ddeItem>
      <ddeItem name="5007.CumulativeVolume" advise="1">
        <values>
          <value>
            <val>60</val>
          </value>
        </values>
      </ddeItem>
      <ddeItem name="5007.Open" advise="1">
        <values>
          <value>
            <val>45.6</val>
          </value>
        </values>
      </ddeItem>
      <ddeItem name="5007.PreOpenPrice" advise="1">
        <values>
          <value>
            <val>45.8</val>
          </value>
        </values>
      </ddeItem>
      <ddeItem name="5007.PreviousPrice" advise="1">
        <values>
          <value>
            <val>45.65</val>
          </value>
        </values>
      </ddeItem>
      <ddeItem name="5007.PreviousVolume" advise="1">
        <values>
          <value>
            <val>37</val>
          </value>
        </values>
      </ddeItem>
      <ddeItem name="5007.Price" advise="1">
        <values>
          <value>
            <val>45.8</val>
          </value>
        </values>
      </ddeItem>
      <ddeItem name="5007.Volume" advise="1">
        <values>
          <value>
            <val>5</val>
          </value>
        </values>
      </ddeItem>
      <ddeItem name="5264.AskPrice" advise="1">
        <values>
          <value>
            <val>73.2</val>
          </value>
        </values>
      </ddeItem>
      <ddeItem name="5264.BidPrice" advise="1">
        <values>
          <value>
            <val>73.099999999999994</val>
          </value>
        </values>
      </ddeItem>
      <ddeItem name="5264.Change" advise="1">
        <values>
          <value>
            <val>1.4</val>
          </value>
        </values>
      </ddeItem>
      <ddeItem name="5264.ChangePercent" advise="1">
        <values>
          <value>
            <val>1.95E-2</val>
          </value>
        </values>
      </ddeItem>
      <ddeItem name="5264.CumulativeVolume" advise="1">
        <values>
          <value>
            <val>9183</val>
          </value>
        </values>
      </ddeItem>
      <ddeItem name="5264.Open" advise="1">
        <values>
          <value>
            <val>71.8</val>
          </value>
        </values>
      </ddeItem>
      <ddeItem name="5264.PreOpenPrice" advise="1">
        <values>
          <value>
            <val>73.099999999999994</val>
          </value>
        </values>
      </ddeItem>
      <ddeItem name="5264.PreviousPrice" advise="1">
        <values>
          <value>
            <val>71.7</val>
          </value>
        </values>
      </ddeItem>
      <ddeItem name="5264.PreviousVolume" advise="1">
        <values>
          <value>
            <val>22954</val>
          </value>
        </values>
      </ddeItem>
      <ddeItem name="5264.Price" advise="1">
        <values>
          <value>
            <val>73.099999999999994</val>
          </value>
        </values>
      </ddeItem>
      <ddeItem name="5264.Volume" advise="1">
        <values>
          <value>
            <val>332</val>
          </value>
        </values>
      </ddeItem>
      <ddeItem name="5269.AskPrice" advise="1">
        <values>
          <value>
            <val>1800</val>
          </value>
        </values>
      </ddeItem>
      <ddeItem name="5269.BidPrice" advise="1">
        <values>
          <value>
            <val>1795</val>
          </value>
        </values>
      </ddeItem>
      <ddeItem name="5269.Change" advise="1">
        <values>
          <value>
            <val>-15</val>
          </value>
        </values>
      </ddeItem>
      <ddeItem name="5269.ChangePercent" advise="1">
        <values>
          <value>
            <val>-8.3000000000000001E-3</val>
          </value>
        </values>
      </ddeItem>
      <ddeItem name="5269.CumulativeVolume" advise="1">
        <values>
          <value>
            <val>1142</val>
          </value>
        </values>
      </ddeItem>
      <ddeItem name="5269.Open" advise="1">
        <values>
          <value>
            <val>1825</val>
          </value>
        </values>
      </ddeItem>
      <ddeItem name="5269.PreOpenPrice" advise="1">
        <values>
          <value>
            <val>1800</val>
          </value>
        </values>
      </ddeItem>
      <ddeItem name="5269.PreviousPrice" advise="1">
        <values>
          <value>
            <val>1815</val>
          </value>
        </values>
      </ddeItem>
      <ddeItem name="5269.PreviousVolume" advise="1">
        <values>
          <value>
            <val>1068</val>
          </value>
        </values>
      </ddeItem>
      <ddeItem name="5269.Price" advise="1">
        <values>
          <value>
            <val>1800</val>
          </value>
        </values>
      </ddeItem>
      <ddeItem name="5269.Volume" advise="1">
        <values>
          <value>
            <val>138</val>
          </value>
        </values>
      </ddeItem>
      <ddeItem name="5388.AskPrice" advise="1">
        <values>
          <value>
            <val>81.3</val>
          </value>
        </values>
      </ddeItem>
      <ddeItem name="5388.BidPrice" advise="1">
        <values>
          <value>
            <val>81.2</val>
          </value>
        </values>
      </ddeItem>
      <ddeItem name="5388.Change" advise="1">
        <values>
          <value>
            <val>0.8</val>
          </value>
        </values>
      </ddeItem>
      <ddeItem name="5388.ChangePercent" advise="1">
        <values>
          <value>
            <val>9.9000000000000008E-3</val>
          </value>
        </values>
      </ddeItem>
      <ddeItem name="5388.CumulativeVolume" advise="1">
        <values>
          <value>
            <val>988</val>
          </value>
        </values>
      </ddeItem>
      <ddeItem name="5388.Open" advise="1">
        <values>
          <value>
            <val>81</val>
          </value>
        </values>
      </ddeItem>
      <ddeItem name="5388.PreOpenPrice" advise="1">
        <values>
          <value>
            <val>81.3</val>
          </value>
        </values>
      </ddeItem>
      <ddeItem name="5388.PreviousPrice" advise="1">
        <values>
          <value>
            <val>80.5</val>
          </value>
        </values>
      </ddeItem>
      <ddeItem name="5388.PreviousVolume" advise="1">
        <values>
          <value>
            <val>792</val>
          </value>
        </values>
      </ddeItem>
      <ddeItem name="5388.Price" advise="1">
        <values>
          <value>
            <val>81.3</val>
          </value>
        </values>
      </ddeItem>
      <ddeItem name="5388.Volume" advise="1">
        <values>
          <value>
            <val>39</val>
          </value>
        </values>
      </ddeItem>
      <ddeItem name="5434.AskPrice" advise="1">
        <values>
          <value>
            <val>122</val>
          </value>
        </values>
      </ddeItem>
      <ddeItem name="5434.BidPrice" advise="1">
        <values>
          <value>
            <val>121.5</val>
          </value>
        </values>
      </ddeItem>
      <ddeItem name="5434.Change" advise="1">
        <values>
          <value>
            <val>-2</val>
          </value>
        </values>
      </ddeItem>
      <ddeItem name="5434.ChangePercent" advise="1">
        <values>
          <value>
            <val>-1.61E-2</val>
          </value>
        </values>
      </ddeItem>
      <ddeItem name="5434.CumulativeVolume" advise="1">
        <values>
          <value>
            <val>1225</val>
          </value>
        </values>
      </ddeItem>
      <ddeItem name="5434.Open" advise="1">
        <values>
          <value>
            <val>123.5</val>
          </value>
        </values>
      </ddeItem>
      <ddeItem name="5434.PreOpenPrice" advise="1">
        <values>
          <value>
            <val>122</val>
          </value>
        </values>
      </ddeItem>
      <ddeItem name="5434.PreviousPrice" advise="1">
        <values>
          <value>
            <val>124</val>
          </value>
        </values>
      </ddeItem>
      <ddeItem name="5434.PreviousVolume" advise="1">
        <values>
          <value>
            <val>896</val>
          </value>
        </values>
      </ddeItem>
      <ddeItem name="5434.Price" advise="1">
        <values>
          <value>
            <val>122</val>
          </value>
        </values>
      </ddeItem>
      <ddeItem name="5434.Volume" advise="1">
        <values>
          <value>
            <val>85</val>
          </value>
        </values>
      </ddeItem>
      <ddeItem name="5469.AskPrice" advise="1">
        <values>
          <value>
            <val>42.7</val>
          </value>
        </values>
      </ddeItem>
      <ddeItem name="5469.BidPrice" advise="1">
        <values>
          <value>
            <val>42.55</val>
          </value>
        </values>
      </ddeItem>
      <ddeItem name="5469.Change" advise="1">
        <values>
          <value>
            <val>-1.4</val>
          </value>
        </values>
      </ddeItem>
      <ddeItem name="5469.ChangePercent" advise="1">
        <values>
          <value>
            <val>-3.1899999999999998E-2</val>
          </value>
        </values>
      </ddeItem>
      <ddeItem name="5469.CumulativeVolume" advise="1">
        <values>
          <value>
            <val>6602</val>
          </value>
        </values>
      </ddeItem>
      <ddeItem name="5469.Open" advise="1">
        <values>
          <value>
            <val>44</val>
          </value>
        </values>
      </ddeItem>
      <ddeItem name="5469.PreOpenPrice" advise="1">
        <values>
          <value>
            <val>42.55</val>
          </value>
        </values>
      </ddeItem>
      <ddeItem name="5469.PreviousPrice" advise="1">
        <values>
          <value>
            <val>43.95</val>
          </value>
        </values>
      </ddeItem>
      <ddeItem name="5469.PreviousVolume" advise="1">
        <values>
          <value>
            <val>5244</val>
          </value>
        </values>
      </ddeItem>
      <ddeItem name="5469.Price" advise="1">
        <values>
          <value>
            <val>42.55</val>
          </value>
        </values>
      </ddeItem>
      <ddeItem name="5469.Volume" advise="1">
        <values>
          <value>
            <val>449</val>
          </value>
        </values>
      </ddeItem>
      <ddeItem name="5522.AskPrice" advise="1">
        <values>
          <value>
            <val>44.6</val>
          </value>
        </values>
      </ddeItem>
      <ddeItem name="5522.BidPrice" advise="1">
        <values>
          <value>
            <val>44.55</val>
          </value>
        </values>
      </ddeItem>
      <ddeItem name="5522.Change" advise="1">
        <values>
          <value>
            <val>0.65</val>
          </value>
        </values>
      </ddeItem>
      <ddeItem name="5522.ChangePercent" advise="1">
        <values>
          <value>
            <val>1.4800000000000001E-2</val>
          </value>
        </values>
      </ddeItem>
      <ddeItem name="5522.CumulativeVolume" advise="1">
        <values>
          <value>
            <val>2378</val>
          </value>
        </values>
      </ddeItem>
      <ddeItem name="5522.Open" advise="1">
        <values>
          <value>
            <val>43.95</val>
          </value>
        </values>
      </ddeItem>
      <ddeItem name="5522.PreOpenPrice" advise="1">
        <values>
          <value>
            <val>44.55</val>
          </value>
        </values>
      </ddeItem>
      <ddeItem name="5522.PreviousPrice" advise="1">
        <values>
          <value>
            <val>43.9</val>
          </value>
        </values>
      </ddeItem>
      <ddeItem name="5522.PreviousVolume" advise="1">
        <values>
          <value>
            <val>1594</val>
          </value>
        </values>
      </ddeItem>
      <ddeItem name="5522.Price" advise="1">
        <values>
          <value>
            <val>44.55</val>
          </value>
        </values>
      </ddeItem>
      <ddeItem name="5522.Volume" advise="1">
        <values>
          <value>
            <val>28</val>
          </value>
        </values>
      </ddeItem>
      <ddeItem name="5534.AskPrice" advise="1">
        <values>
          <value>
            <val>90.1</val>
          </value>
        </values>
      </ddeItem>
      <ddeItem name="5534.BidPrice" advise="1">
        <values>
          <value>
            <val>90</val>
          </value>
        </values>
      </ddeItem>
      <ddeItem name="5534.Change" advise="1">
        <values>
          <value>
            <val>0.1</val>
          </value>
        </values>
      </ddeItem>
      <ddeItem name="5534.ChangePercent" advise="1">
        <values>
          <value>
            <val>1.1000000000000001E-3</val>
          </value>
        </values>
      </ddeItem>
      <ddeItem name="5534.CumulativeVolume" advise="1">
        <values>
          <value>
            <val>655</val>
          </value>
        </values>
      </ddeItem>
      <ddeItem name="5534.Open" advise="1">
        <values>
          <value>
            <val>89.9</val>
          </value>
        </values>
      </ddeItem>
      <ddeItem name="5534.PreOpenPrice" advise="1">
        <values>
          <value>
            <val>90.1</val>
          </value>
        </values>
      </ddeItem>
      <ddeItem name="5534.PreviousPrice" advise="1">
        <values>
          <value>
            <val>90</val>
          </value>
        </values>
      </ddeItem>
      <ddeItem name="5534.PreviousVolume" advise="1">
        <values>
          <value>
            <val>375</val>
          </value>
        </values>
      </ddeItem>
      <ddeItem name="5534.Price" advise="1">
        <values>
          <value>
            <val>90.1</val>
          </value>
        </values>
      </ddeItem>
      <ddeItem name="5534.Volume" advise="1">
        <values>
          <value>
            <val>7</val>
          </value>
        </values>
      </ddeItem>
      <ddeItem name="5871.AskPrice" advise="1">
        <values>
          <value>
            <val>124.5</val>
          </value>
        </values>
      </ddeItem>
      <ddeItem name="5871.BidPrice" advise="1">
        <values>
          <value>
            <val>124</val>
          </value>
        </values>
      </ddeItem>
      <ddeItem name="5871.Change" advise="1">
        <values>
          <value>
            <val>0</val>
          </value>
        </values>
      </ddeItem>
      <ddeItem name="5871.ChangePercent" advise="1">
        <values>
          <value>
            <val>0</val>
          </value>
        </values>
      </ddeItem>
      <ddeItem name="5871.CumulativeVolume" advise="1">
        <values>
          <value>
            <val>2576</val>
          </value>
        </values>
      </ddeItem>
      <ddeItem name="5871.Open" advise="1">
        <values>
          <value>
            <val>124.5</val>
          </value>
        </values>
      </ddeItem>
      <ddeItem name="5871.PreOpenPrice" advise="1">
        <values>
          <value>
            <val>124</val>
          </value>
        </values>
      </ddeItem>
      <ddeItem name="5871.PreviousPrice" advise="1">
        <values>
          <value>
            <val>124</val>
          </value>
        </values>
      </ddeItem>
      <ddeItem name="5871.PreviousVolume" advise="1">
        <values>
          <value>
            <val>2437</val>
          </value>
        </values>
      </ddeItem>
      <ddeItem name="5871.Price" advise="1">
        <values>
          <value>
            <val>124</val>
          </value>
        </values>
      </ddeItem>
      <ddeItem name="5871.Volume" advise="1">
        <values>
          <value>
            <val>392</val>
          </value>
        </values>
      </ddeItem>
      <ddeItem name="5876.AskPrice" advise="1">
        <values>
          <value>
            <val>43.55</val>
          </value>
        </values>
      </ddeItem>
      <ddeItem name="5876.BidPrice" advise="1">
        <values>
          <value>
            <val>43.4</val>
          </value>
        </values>
      </ddeItem>
      <ddeItem name="5876.Change" advise="1">
        <values>
          <value>
            <val>-0.3</val>
          </value>
        </values>
      </ddeItem>
      <ddeItem name="5876.ChangePercent" advise="1">
        <values>
          <value>
            <val>-6.8999999999999999E-3</val>
          </value>
        </values>
      </ddeItem>
      <ddeItem name="5876.CumulativeVolume" advise="1">
        <values>
          <value>
            <val>4582</val>
          </value>
        </values>
      </ddeItem>
      <ddeItem name="5876.Open" advise="1">
        <values>
          <value>
            <val>43.45</val>
          </value>
        </values>
      </ddeItem>
      <ddeItem name="5876.PreOpenPrice" advise="1">
        <values>
          <value>
            <val>43.4</val>
          </value>
        </values>
      </ddeItem>
      <ddeItem name="5876.PreviousPrice" advise="1">
        <values>
          <value>
            <val>43.7</val>
          </value>
        </values>
      </ddeItem>
      <ddeItem name="5876.PreviousVolume" advise="1">
        <values>
          <value>
            <val>4076</val>
          </value>
        </values>
      </ddeItem>
      <ddeItem name="5876.Price" advise="1">
        <values>
          <value>
            <val>43.4</val>
          </value>
        </values>
      </ddeItem>
      <ddeItem name="5876.Volume" advise="1">
        <values>
          <value>
            <val>452</val>
          </value>
        </values>
      </ddeItem>
      <ddeItem name="5880.AskPrice" advise="1">
        <values>
          <value>
            <val>21.85</val>
          </value>
        </values>
      </ddeItem>
      <ddeItem name="5880.BidPrice" advise="1">
        <values>
          <value>
            <val>21.8</val>
          </value>
        </values>
      </ddeItem>
      <ddeItem name="5880.Change" advise="1">
        <values>
          <value>
            <val>-0.05</val>
          </value>
        </values>
      </ddeItem>
      <ddeItem name="5880.ChangePercent" advise="1">
        <values>
          <value>
            <val>-2.3E-3</val>
          </value>
        </values>
      </ddeItem>
      <ddeItem name="5880.CumulativeVolume" advise="1">
        <values>
          <value>
            <val>39208</val>
          </value>
        </values>
      </ddeItem>
      <ddeItem name="5880.Open" advise="1">
        <values>
          <value>
            <val>21.95</val>
          </value>
        </values>
      </ddeItem>
      <ddeItem name="5880.PreOpenPrice" advise="1">
        <values>
          <value>
            <val>21.85</val>
          </value>
        </values>
      </ddeItem>
      <ddeItem name="5880.PreviousPrice" advise="1">
        <values>
          <value>
            <val>21.9</val>
          </value>
        </values>
      </ddeItem>
      <ddeItem name="5880.PreviousVolume" advise="1">
        <values>
          <value>
            <val>29339</val>
          </value>
        </values>
      </ddeItem>
      <ddeItem name="5880.Price" advise="1">
        <values>
          <value>
            <val>21.85</val>
          </value>
        </values>
      </ddeItem>
      <ddeItem name="5880.Volume" advise="1">
        <values>
          <value>
            <val>4458</val>
          </value>
        </values>
      </ddeItem>
      <ddeItem name="6005.AskPrice" advise="1">
        <values>
          <value>
            <val>11.8</val>
          </value>
        </values>
      </ddeItem>
      <ddeItem name="6005.BidPrice" advise="1">
        <values>
          <value>
            <val>11.75</val>
          </value>
        </values>
      </ddeItem>
      <ddeItem name="6005.Change" advise="1">
        <values>
          <value>
            <val>-0.05</val>
          </value>
        </values>
      </ddeItem>
      <ddeItem name="6005.ChangePercent" advise="1">
        <values>
          <value>
            <val>-4.1999999999999997E-3</val>
          </value>
        </values>
      </ddeItem>
      <ddeItem name="6005.CumulativeVolume" advise="1">
        <values>
          <value>
            <val>15315</val>
          </value>
        </values>
      </ddeItem>
      <ddeItem name="6005.Open" advise="1">
        <values>
          <value>
            <val>11.85</val>
          </value>
        </values>
      </ddeItem>
      <ddeItem name="6005.PreOpenPrice" advise="1">
        <values>
          <value>
            <val>11.8</val>
          </value>
        </values>
      </ddeItem>
      <ddeItem name="6005.PreviousPrice" advise="1">
        <values>
          <value>
            <val>11.85</val>
          </value>
        </values>
      </ddeItem>
      <ddeItem name="6005.PreviousVolume" advise="1">
        <values>
          <value>
            <val>20240</val>
          </value>
        </values>
      </ddeItem>
      <ddeItem name="6005.Price" advise="1">
        <values>
          <value>
            <val>11.8</val>
          </value>
        </values>
      </ddeItem>
      <ddeItem name="6005.Volume" advise="1">
        <values>
          <value>
            <val>474</val>
          </value>
        </values>
      </ddeItem>
      <ddeItem name="6024.AskPrice" advise="1">
        <values>
          <value>
            <val>38.75</val>
          </value>
        </values>
      </ddeItem>
      <ddeItem name="6024.BidPrice" advise="1">
        <values>
          <value>
            <val>38.700000000000003</val>
          </value>
        </values>
      </ddeItem>
      <ddeItem name="6024.Change" advise="1">
        <values>
          <value>
            <val>-0.25</val>
          </value>
        </values>
      </ddeItem>
      <ddeItem name="6024.ChangePercent" advise="1">
        <values>
          <value>
            <val>-6.4000000000000003E-3</val>
          </value>
        </values>
      </ddeItem>
      <ddeItem name="6024.CumulativeVolume" advise="1">
        <values>
          <value>
            <val>174</val>
          </value>
        </values>
      </ddeItem>
      <ddeItem name="6024.Open" advise="1">
        <values>
          <value>
            <val>39</val>
          </value>
        </values>
      </ddeItem>
      <ddeItem name="6024.PreOpenPrice" advise="1">
        <values>
          <value>
            <val>38.75</val>
          </value>
        </values>
      </ddeItem>
      <ddeItem name="6024.PreviousPrice" advise="1">
        <values>
          <value>
            <val>39</val>
          </value>
        </values>
      </ddeItem>
      <ddeItem name="6024.PreviousVolume" advise="1">
        <values>
          <value>
            <val>683</val>
          </value>
        </values>
      </ddeItem>
      <ddeItem name="6024.Price" advise="1">
        <values>
          <value>
            <val>38.75</val>
          </value>
        </values>
      </ddeItem>
      <ddeItem name="6024.Volume" advise="1">
        <values>
          <value>
            <val>4</val>
          </value>
        </values>
      </ddeItem>
      <ddeItem name="6116.AskPrice" advise="1">
        <values>
          <value>
            <val>7.67</val>
          </value>
        </values>
      </ddeItem>
      <ddeItem name="6116.BidPrice" advise="1">
        <values>
          <value>
            <val>7.66</val>
          </value>
        </values>
      </ddeItem>
      <ddeItem name="6116.Change" advise="1">
        <values>
          <value>
            <val>-0.05</val>
          </value>
        </values>
      </ddeItem>
      <ddeItem name="6116.ChangePercent" advise="1">
        <values>
          <value>
            <val>-6.4999999999999997E-3</val>
          </value>
        </values>
      </ddeItem>
      <ddeItem name="6116.CumulativeVolume" advise="1">
        <values>
          <value>
            <val>29086</val>
          </value>
        </values>
      </ddeItem>
      <ddeItem name="6116.Open" advise="1">
        <values>
          <value>
            <val>7.78</val>
          </value>
        </values>
      </ddeItem>
      <ddeItem name="6116.PreOpenPrice" advise="1">
        <values>
          <value>
            <val>7.66</val>
          </value>
        </values>
      </ddeItem>
      <ddeItem name="6116.PreviousPrice" advise="1">
        <values>
          <value>
            <val>7.71</val>
          </value>
        </values>
      </ddeItem>
      <ddeItem name="6116.PreviousVolume" advise="1">
        <values>
          <value>
            <val>35256</val>
          </value>
        </values>
      </ddeItem>
      <ddeItem name="6116.Price" advise="1">
        <values>
          <value>
            <val>7.66</val>
          </value>
        </values>
      </ddeItem>
      <ddeItem name="6116.Volume" advise="1">
        <values>
          <value>
            <val>1017</val>
          </value>
        </values>
      </ddeItem>
      <ddeItem name="6153.AskPrice" advise="1">
        <values>
          <value>
            <val>29.45</val>
          </value>
        </values>
      </ddeItem>
      <ddeItem name="6153.BidPrice" advise="1">
        <values>
          <value>
            <val>29.4</val>
          </value>
        </values>
      </ddeItem>
      <ddeItem name="6153.Change" advise="1">
        <values>
          <value>
            <val>-0.6</val>
          </value>
        </values>
      </ddeItem>
      <ddeItem name="6153.ChangePercent" advise="1">
        <values>
          <value>
            <val>-0.02</val>
          </value>
        </values>
      </ddeItem>
      <ddeItem name="6153.CumulativeVolume" advise="1">
        <values>
          <value>
            <val>3717</val>
          </value>
        </values>
      </ddeItem>
      <ddeItem name="6153.Open" advise="1">
        <values>
          <value>
            <val>30.1</val>
          </value>
        </values>
      </ddeItem>
      <ddeItem name="6153.PreOpenPrice" advise="1">
        <values>
          <value>
            <val>29.4</val>
          </value>
        </values>
      </ddeItem>
      <ddeItem name="6153.PreviousPrice" advise="1">
        <values>
          <value>
            <val>30</val>
          </value>
        </values>
      </ddeItem>
      <ddeItem name="6153.PreviousVolume" advise="1">
        <values>
          <value>
            <val>3869</val>
          </value>
        </values>
      </ddeItem>
      <ddeItem name="6153.Price" advise="1">
        <values>
          <value>
            <val>29.4</val>
          </value>
        </values>
      </ddeItem>
      <ddeItem name="6153.Volume" advise="1">
        <values>
          <value>
            <val>233</val>
          </value>
        </values>
      </ddeItem>
      <ddeItem name="6166.AskPrice" advise="1">
        <values>
          <value>
            <val>66.5</val>
          </value>
        </values>
      </ddeItem>
      <ddeItem name="6166.BidPrice" advise="1">
        <values>
          <value>
            <val>66.2</val>
          </value>
        </values>
      </ddeItem>
      <ddeItem name="6166.Change" advise="1">
        <values>
          <value>
            <val>-1.1000000000000001</val>
          </value>
        </values>
      </ddeItem>
      <ddeItem name="6166.ChangePercent" advise="1">
        <values>
          <value>
            <val>-1.6299999999999999E-2</val>
          </value>
        </values>
      </ddeItem>
      <ddeItem name="6166.CumulativeVolume" advise="1">
        <values>
          <value>
            <val>270</val>
          </value>
        </values>
      </ddeItem>
      <ddeItem name="6166.Open" advise="1">
        <values>
          <value>
            <val>67</val>
          </value>
        </values>
      </ddeItem>
      <ddeItem name="6166.PreOpenPrice" advise="1">
        <values>
          <value>
            <val>66.2</val>
          </value>
        </values>
      </ddeItem>
      <ddeItem name="6166.PreviousPrice" advise="1">
        <values>
          <value>
            <val>67.3</val>
          </value>
        </values>
      </ddeItem>
      <ddeItem name="6166.PreviousVolume" advise="1">
        <values>
          <value>
            <val>353</val>
          </value>
        </values>
      </ddeItem>
      <ddeItem name="6166.Price" advise="1">
        <values>
          <value>
            <val>66.2</val>
          </value>
        </values>
      </ddeItem>
      <ddeItem name="6166.Volume" advise="1">
        <values>
          <value>
            <val>10</val>
          </value>
        </values>
      </ddeItem>
      <ddeItem name="6176.AskPrice" advise="1">
        <values>
          <value>
            <val>116.5</val>
          </value>
        </values>
      </ddeItem>
      <ddeItem name="6176.BidPrice" advise="1">
        <values>
          <value>
            <val>116</val>
          </value>
        </values>
      </ddeItem>
      <ddeItem name="6176.Change" advise="1">
        <values>
          <value>
            <val>-2.5</val>
          </value>
        </values>
      </ddeItem>
      <ddeItem name="6176.ChangePercent" advise="1">
        <values>
          <value>
            <val>-2.1100000000000001E-2</val>
          </value>
        </values>
      </ddeItem>
      <ddeItem name="6176.CumulativeVolume" advise="1">
        <values>
          <value>
            <val>6410</val>
          </value>
        </values>
      </ddeItem>
      <ddeItem name="6176.Open" advise="1">
        <values>
          <value>
            <val>117.5</val>
          </value>
        </values>
      </ddeItem>
      <ddeItem name="6176.PreOpenPrice" advise="1">
        <values>
          <value>
            <val>116</val>
          </value>
        </values>
      </ddeItem>
      <ddeItem name="6176.PreviousPrice" advise="1">
        <values>
          <value>
            <val>118.5</val>
          </value>
        </values>
      </ddeItem>
      <ddeItem name="6176.PreviousVolume" advise="1">
        <values>
          <value>
            <val>6518</val>
          </value>
        </values>
      </ddeItem>
      <ddeItem name="6176.Price" advise="1">
        <values>
          <value>
            <val>116</val>
          </value>
        </values>
      </ddeItem>
      <ddeItem name="6176.Volume" advise="1">
        <values>
          <value>
            <val>342</val>
          </value>
        </values>
      </ddeItem>
      <ddeItem name="6196.AskPrice" advise="1">
        <values>
          <value>
            <val>109</val>
          </value>
        </values>
      </ddeItem>
      <ddeItem name="6196.BidPrice" advise="1">
        <values>
          <value>
            <val>108.5</val>
          </value>
        </values>
      </ddeItem>
      <ddeItem name="6196.Change" advise="1">
        <values>
          <value>
            <val>-7</val>
          </value>
        </values>
      </ddeItem>
      <ddeItem name="6196.ChangePercent" advise="1">
        <values>
          <value>
            <val>-6.0299999999999999E-2</val>
          </value>
        </values>
      </ddeItem>
      <ddeItem name="6196.CumulativeVolume" advise="1">
        <values>
          <value>
            <val>5594</val>
          </value>
        </values>
      </ddeItem>
      <ddeItem name="6196.Open" advise="1">
        <values>
          <value>
            <val>111.5</val>
          </value>
        </values>
      </ddeItem>
      <ddeItem name="6196.PreOpenPrice" advise="1">
        <values>
          <value>
            <val>109</val>
          </value>
        </values>
      </ddeItem>
      <ddeItem name="6196.PreviousPrice" advise="1">
        <values>
          <value>
            <val>116</val>
          </value>
        </values>
      </ddeItem>
      <ddeItem name="6196.PreviousVolume" advise="1">
        <values>
          <value>
            <val>4303</val>
          </value>
        </values>
      </ddeItem>
      <ddeItem name="6196.Price" advise="1">
        <values>
          <value>
            <val>109</val>
          </value>
        </values>
      </ddeItem>
      <ddeItem name="6196.Volume" advise="1">
        <values>
          <value>
            <val>188</val>
          </value>
        </values>
      </ddeItem>
      <ddeItem name="6202.AskPrice" advise="1">
        <values>
          <value>
            <val>67.5</val>
          </value>
        </values>
      </ddeItem>
      <ddeItem name="6202.BidPrice" advise="1">
        <values>
          <value>
            <val>67.3</val>
          </value>
        </values>
      </ddeItem>
      <ddeItem name="6202.Change" advise="1">
        <values>
          <value>
            <val>-1.3</val>
          </value>
        </values>
      </ddeItem>
      <ddeItem name="6202.ChangePercent" advise="1">
        <values>
          <value>
            <val>-1.89E-2</val>
          </value>
        </values>
      </ddeItem>
      <ddeItem name="6202.CumulativeVolume" advise="1">
        <values>
          <value>
            <val>3253</val>
          </value>
        </values>
      </ddeItem>
      <ddeItem name="6202.Open" advise="1">
        <values>
          <value>
            <val>68.900000000000006</val>
          </value>
        </values>
      </ddeItem>
      <ddeItem name="6202.PreOpenPrice" advise="1">
        <values>
          <value>
            <val>67.400000000000006</val>
          </value>
        </values>
      </ddeItem>
      <ddeItem name="6202.PreviousPrice" advise="1">
        <values>
          <value>
            <val>72.7</val>
          </value>
        </values>
      </ddeItem>
      <ddeItem name="6202.PreviousVolume" advise="1">
        <values>
          <value>
            <val>2961</val>
          </value>
        </values>
      </ddeItem>
      <ddeItem name="6202.Price" advise="1">
        <values>
          <value>
            <val>67.400000000000006</val>
          </value>
        </values>
      </ddeItem>
      <ddeItem name="6202.Volume" advise="1">
        <values>
          <value>
            <val>39</val>
          </value>
        </values>
      </ddeItem>
      <ddeItem name="6213.AskPrice" advise="1">
        <values>
          <value>
            <val>127</val>
          </value>
        </values>
      </ddeItem>
      <ddeItem name="6213.BidPrice" advise="1">
        <values>
          <value>
            <val>126.5</val>
          </value>
        </values>
      </ddeItem>
      <ddeItem name="6213.Change" advise="1">
        <values>
          <value>
            <val>-4.5</val>
          </value>
        </values>
      </ddeItem>
      <ddeItem name="6213.ChangePercent" advise="1">
        <values>
          <value>
            <val>-3.44E-2</val>
          </value>
        </values>
      </ddeItem>
      <ddeItem name="6213.CumulativeVolume" advise="1">
        <values>
          <value>
            <val>4694</val>
          </value>
        </values>
      </ddeItem>
      <ddeItem name="6213.Open" advise="1">
        <values>
          <value>
            <val>131</val>
          </value>
        </values>
      </ddeItem>
      <ddeItem name="6213.PreOpenPrice" advise="1">
        <values>
          <value>
            <val>126.5</val>
          </value>
        </values>
      </ddeItem>
      <ddeItem name="6213.PreviousPrice" advise="1">
        <values>
          <value>
            <val>131</val>
          </value>
        </values>
      </ddeItem>
      <ddeItem name="6213.PreviousVolume" advise="1">
        <values>
          <value>
            <val>2837</val>
          </value>
        </values>
      </ddeItem>
      <ddeItem name="6213.Price" advise="1">
        <values>
          <value>
            <val>126.5</val>
          </value>
        </values>
      </ddeItem>
      <ddeItem name="6213.Volume" advise="1">
        <values>
          <value>
            <val>317</val>
          </value>
        </values>
      </ddeItem>
      <ddeItem name="6214.AskPrice" advise="1">
        <values>
          <value>
            <val>83.6</val>
          </value>
        </values>
      </ddeItem>
      <ddeItem name="6214.BidPrice" advise="1">
        <values>
          <value>
            <val>83.4</val>
          </value>
        </values>
      </ddeItem>
      <ddeItem name="6214.Change" advise="1">
        <values>
          <value>
            <val>-0.6</val>
          </value>
        </values>
      </ddeItem>
      <ddeItem name="6214.ChangePercent" advise="1">
        <values>
          <value>
            <val>-7.1000000000000004E-3</val>
          </value>
        </values>
      </ddeItem>
      <ddeItem name="6214.CumulativeVolume" advise="1">
        <values>
          <value>
            <val>882</val>
          </value>
        </values>
      </ddeItem>
      <ddeItem name="6214.Open" advise="1">
        <values>
          <value>
            <val>84.1</val>
          </value>
        </values>
      </ddeItem>
      <ddeItem name="6214.PreOpenPrice" advise="1">
        <values>
          <value>
            <val>83.5</val>
          </value>
        </values>
      </ddeItem>
      <ddeItem name="6214.PreviousPrice" advise="1">
        <values>
          <value>
            <val>84.1</val>
          </value>
        </values>
      </ddeItem>
      <ddeItem name="6214.PreviousVolume" advise="1">
        <values>
          <value>
            <val>1462</val>
          </value>
        </values>
      </ddeItem>
      <ddeItem name="6214.Price" advise="1">
        <values>
          <value>
            <val>83.5</val>
          </value>
        </values>
      </ddeItem>
      <ddeItem name="6214.Volume" advise="1">
        <values>
          <value>
            <val>9</val>
          </value>
        </values>
      </ddeItem>
      <ddeItem name="6230.AskPrice" advise="1">
        <values>
          <value>
            <val>247.5</val>
          </value>
        </values>
      </ddeItem>
      <ddeItem name="6230.BidPrice" advise="1">
        <values>
          <value>
            <val>247</val>
          </value>
        </values>
      </ddeItem>
      <ddeItem name="6230.Change" advise="1">
        <values>
          <value>
            <val>-2</val>
          </value>
        </values>
      </ddeItem>
      <ddeItem name="6230.ChangePercent" advise="1">
        <values>
          <value>
            <val>-8.0000000000000002E-3</val>
          </value>
        </values>
      </ddeItem>
      <ddeItem name="6230.CumulativeVolume" advise="1">
        <values>
          <value>
            <val>448</val>
          </value>
        </values>
      </ddeItem>
      <ddeItem name="6230.Open" advise="1">
        <values>
          <value>
            <val>249</val>
          </value>
        </values>
      </ddeItem>
      <ddeItem name="6230.PreOpenPrice" advise="1">
        <values>
          <value>
            <val>247</val>
          </value>
        </values>
      </ddeItem>
      <ddeItem name="6230.PreviousPrice" advise="1">
        <values>
          <value>
            <val>249</val>
          </value>
        </values>
      </ddeItem>
      <ddeItem name="6230.PreviousVolume" advise="1">
        <values>
          <value>
            <val>661</val>
          </value>
        </values>
      </ddeItem>
      <ddeItem name="6230.Price" advise="1">
        <values>
          <value>
            <val>247</val>
          </value>
        </values>
      </ddeItem>
      <ddeItem name="6230.Volume" advise="1">
        <values>
          <value>
            <val>39</val>
          </value>
        </values>
      </ddeItem>
      <ddeItem name="6239.AskPrice" advise="1">
        <values>
          <value>
            <val>93.3</val>
          </value>
        </values>
      </ddeItem>
      <ddeItem name="6239.BidPrice" advise="1">
        <values>
          <value>
            <val>93.2</val>
          </value>
        </values>
      </ddeItem>
      <ddeItem name="6239.Change" advise="1">
        <values>
          <value>
            <val>-0.9</val>
          </value>
        </values>
      </ddeItem>
      <ddeItem name="6239.ChangePercent" advise="1">
        <values>
          <value>
            <val>-9.5999999999999992E-3</val>
          </value>
        </values>
      </ddeItem>
      <ddeItem name="6239.CumulativeVolume" advise="1">
        <values>
          <value>
            <val>8479</val>
          </value>
        </values>
      </ddeItem>
      <ddeItem name="6239.Open" advise="1">
        <values>
          <value>
            <val>94.4</val>
          </value>
        </values>
      </ddeItem>
      <ddeItem name="6239.PreOpenPrice" advise="1">
        <values>
          <value>
            <val>93.2</val>
          </value>
        </values>
      </ddeItem>
      <ddeItem name="6239.PreviousPrice" advise="1">
        <values>
          <value>
            <val>94.1</val>
          </value>
        </values>
      </ddeItem>
      <ddeItem name="6239.PreviousVolume" advise="1">
        <values>
          <value>
            <val>8019</val>
          </value>
        </values>
      </ddeItem>
      <ddeItem name="6239.Price" advise="1">
        <values>
          <value>
            <val>93.2</val>
          </value>
        </values>
      </ddeItem>
      <ddeItem name="6239.Volume" advise="1">
        <values>
          <value>
            <val>443</val>
          </value>
        </values>
      </ddeItem>
      <ddeItem name="6257.AskPrice" advise="1">
        <values>
          <value>
            <val>43.1</val>
          </value>
        </values>
      </ddeItem>
      <ddeItem name="6257.BidPrice" advise="1">
        <values>
          <value>
            <val>43.05</val>
          </value>
        </values>
      </ddeItem>
      <ddeItem name="6257.Change" advise="1">
        <values>
          <value>
            <val>-0.8</val>
          </value>
        </values>
      </ddeItem>
      <ddeItem name="6257.ChangePercent" advise="1">
        <values>
          <value>
            <val>-1.8200000000000001E-2</val>
          </value>
        </values>
      </ddeItem>
      <ddeItem name="6257.CumulativeVolume" advise="1">
        <values>
          <value>
            <val>3760</val>
          </value>
        </values>
      </ddeItem>
      <ddeItem name="6257.Open" advise="1">
        <values>
          <value>
            <val>44</val>
          </value>
        </values>
      </ddeItem>
      <ddeItem name="6257.PreOpenPrice" advise="1">
        <values>
          <value>
            <val>43.05</val>
          </value>
        </values>
      </ddeItem>
      <ddeItem name="6257.PreviousPrice" advise="1">
        <values>
          <value>
            <val>43.85</val>
          </value>
        </values>
      </ddeItem>
      <ddeItem name="6257.PreviousVolume" advise="1">
        <values>
          <value>
            <val>3611</val>
          </value>
        </values>
      </ddeItem>
      <ddeItem name="6257.Price" advise="1">
        <values>
          <value>
            <val>43.05</val>
          </value>
        </values>
      </ddeItem>
      <ddeItem name="6257.Volume" advise="1">
        <values>
          <value>
            <val>77</val>
          </value>
        </values>
      </ddeItem>
      <ddeItem name="6269.AskPrice" advise="1">
        <values>
          <value>
            <val>137.5</val>
          </value>
        </values>
      </ddeItem>
      <ddeItem name="6269.BidPrice" advise="1">
        <values>
          <value>
            <val>137</val>
          </value>
        </values>
      </ddeItem>
      <ddeItem name="6269.Change" advise="1">
        <values>
          <value>
            <val>4</val>
          </value>
        </values>
      </ddeItem>
      <ddeItem name="6269.ChangePercent" advise="1">
        <values>
          <value>
            <val>0.03</val>
          </value>
        </values>
      </ddeItem>
      <ddeItem name="6269.CumulativeVolume" advise="1">
        <values>
          <value>
            <val>6359</val>
          </value>
        </values>
      </ddeItem>
      <ddeItem name="6269.Open" advise="1">
        <values>
          <value>
            <val>133.5</val>
          </value>
        </values>
      </ddeItem>
      <ddeItem name="6269.PreOpenPrice" advise="1">
        <values>
          <value>
            <val>137.5</val>
          </value>
        </values>
      </ddeItem>
      <ddeItem name="6269.PreviousPrice" advise="1">
        <values>
          <value>
            <val>133.5</val>
          </value>
        </values>
      </ddeItem>
      <ddeItem name="6269.PreviousVolume" advise="1">
        <values>
          <value>
            <val>5170</val>
          </value>
        </values>
      </ddeItem>
      <ddeItem name="6269.Price" advise="1">
        <values>
          <value>
            <val>137.5</val>
          </value>
        </values>
      </ddeItem>
      <ddeItem name="6269.Volume" advise="1">
        <values>
          <value>
            <val>375</val>
          </value>
        </values>
      </ddeItem>
      <ddeItem name="6271.AskPrice" advise="1">
        <values>
          <value>
            <val>142.5</val>
          </value>
        </values>
      </ddeItem>
      <ddeItem name="6271.BidPrice" advise="1">
        <values>
          <value>
            <val>142</val>
          </value>
        </values>
      </ddeItem>
      <ddeItem name="6271.Change" advise="1">
        <values>
          <value>
            <val>0</val>
          </value>
        </values>
      </ddeItem>
      <ddeItem name="6271.ChangePercent" advise="1">
        <values>
          <value>
            <val>0</val>
          </value>
        </values>
      </ddeItem>
      <ddeItem name="6271.CumulativeVolume" advise="1">
        <values>
          <value>
            <val>2554</val>
          </value>
        </values>
      </ddeItem>
      <ddeItem name="6271.Open" advise="1">
        <values>
          <value>
            <val>142.5</val>
          </value>
        </values>
      </ddeItem>
      <ddeItem name="6271.PreOpenPrice" advise="1">
        <values>
          <value>
            <val>142</val>
          </value>
        </values>
      </ddeItem>
      <ddeItem name="6271.PreviousPrice" advise="1">
        <values>
          <value>
            <val>142</val>
          </value>
        </values>
      </ddeItem>
      <ddeItem name="6271.PreviousVolume" advise="1">
        <values>
          <value>
            <val>5058</val>
          </value>
        </values>
      </ddeItem>
      <ddeItem name="6271.Price" advise="1">
        <values>
          <value>
            <val>142</val>
          </value>
        </values>
      </ddeItem>
      <ddeItem name="6271.Volume" advise="1">
        <values>
          <value>
            <val>155</val>
          </value>
        </values>
      </ddeItem>
      <ddeItem name="6278.AskPrice" advise="1">
        <values>
          <value>
            <val>131</val>
          </value>
        </values>
      </ddeItem>
      <ddeItem name="6278.BidPrice" advise="1">
        <values>
          <value>
            <val>130.5</val>
          </value>
        </values>
      </ddeItem>
      <ddeItem name="6278.Change" advise="1">
        <values>
          <value>
            <val>-2</val>
          </value>
        </values>
      </ddeItem>
      <ddeItem name="6278.ChangePercent" advise="1">
        <values>
          <value>
            <val>-1.5100000000000001E-2</val>
          </value>
        </values>
      </ddeItem>
      <ddeItem name="6278.CumulativeVolume" advise="1">
        <values>
          <value>
            <val>7127</val>
          </value>
        </values>
      </ddeItem>
      <ddeItem name="6278.Open" advise="1">
        <values>
          <value>
            <val>132.5</val>
          </value>
        </values>
      </ddeItem>
      <ddeItem name="6278.PreOpenPrice" advise="1">
        <values>
          <value>
            <val>130.5</val>
          </value>
        </values>
      </ddeItem>
      <ddeItem name="6278.PreviousPrice" advise="1">
        <values>
          <value>
            <val>132.5</val>
          </value>
        </values>
      </ddeItem>
      <ddeItem name="6278.PreviousVolume" advise="1">
        <values>
          <value>
            <val>8490</val>
          </value>
        </values>
      </ddeItem>
      <ddeItem name="6278.Price" advise="1">
        <values>
          <value>
            <val>130.5</val>
          </value>
        </values>
      </ddeItem>
      <ddeItem name="6278.Volume" advise="1">
        <values>
          <value>
            <val>302</val>
          </value>
        </values>
      </ddeItem>
      <ddeItem name="6285.AskPrice" advise="1">
        <values>
          <value>
            <val>66.2</val>
          </value>
        </values>
      </ddeItem>
      <ddeItem name="6285.BidPrice" advise="1">
        <values>
          <value>
            <val>66.099999999999994</val>
          </value>
        </values>
      </ddeItem>
      <ddeItem name="6285.Change" advise="1">
        <values>
          <value>
            <val>1.3</val>
          </value>
        </values>
      </ddeItem>
      <ddeItem name="6285.ChangePercent" advise="1">
        <values>
          <value>
            <val>2.01E-2</val>
          </value>
        </values>
      </ddeItem>
      <ddeItem name="6285.CumulativeVolume" advise="1">
        <values>
          <value>
            <val>3262</val>
          </value>
        </values>
      </ddeItem>
      <ddeItem name="6285.Open" advise="1">
        <values>
          <value>
            <val>65.099999999999994</val>
          </value>
        </values>
      </ddeItem>
      <ddeItem name="6285.PreOpenPrice" advise="1">
        <values>
          <value>
            <val>66.099999999999994</val>
          </value>
        </values>
      </ddeItem>
      <ddeItem name="6285.PreviousPrice" advise="1">
        <values>
          <value>
            <val>64.8</val>
          </value>
        </values>
      </ddeItem>
      <ddeItem name="6285.PreviousVolume" advise="1">
        <values>
          <value>
            <val>1077</val>
          </value>
        </values>
      </ddeItem>
      <ddeItem name="6285.Price" advise="1">
        <values>
          <value>
            <val>66.099999999999994</val>
          </value>
        </values>
      </ddeItem>
      <ddeItem name="6285.Volume" advise="1">
        <values>
          <value>
            <val>150</val>
          </value>
        </values>
      </ddeItem>
      <ddeItem name="6409.AskPrice" advise="1">
        <values>
          <value>
            <val>991</val>
          </value>
        </values>
      </ddeItem>
      <ddeItem name="6409.BidPrice" advise="1">
        <values>
          <value>
            <val>975</val>
          </value>
        </values>
      </ddeItem>
      <ddeItem name="6409.Change" advise="1">
        <values>
          <value>
            <val>-5</val>
          </value>
        </values>
      </ddeItem>
      <ddeItem name="6409.ChangePercent" advise="1">
        <values>
          <value>
            <val>-5.1000000000000004E-3</val>
          </value>
        </values>
      </ddeItem>
      <ddeItem name="6409.CumulativeVolume" advise="1">
        <values>
          <value>
            <val>219</val>
          </value>
        </values>
      </ddeItem>
      <ddeItem name="6409.Open" advise="1">
        <values>
          <value>
            <val>980</val>
          </value>
        </values>
      </ddeItem>
      <ddeItem name="6409.PreOpenPrice" advise="1">
        <values>
          <value>
            <val>975</val>
          </value>
        </values>
      </ddeItem>
      <ddeItem name="6409.PreviousPrice" advise="1">
        <values>
          <value>
            <val>980</val>
          </value>
        </values>
      </ddeItem>
      <ddeItem name="6409.PreviousVolume" advise="1">
        <values>
          <value>
            <val>133</val>
          </value>
        </values>
      </ddeItem>
      <ddeItem name="6409.Price" advise="1">
        <values>
          <value>
            <val>975</val>
          </value>
        </values>
      </ddeItem>
      <ddeItem name="6409.Volume" advise="1">
        <values>
          <value>
            <val>8</val>
          </value>
        </values>
      </ddeItem>
      <ddeItem name="6412.AskPrice" advise="1">
        <values>
          <value>
            <val>71.5</val>
          </value>
        </values>
      </ddeItem>
      <ddeItem name="6412.BidPrice" advise="1">
        <values>
          <value>
            <val>71.3</val>
          </value>
        </values>
      </ddeItem>
      <ddeItem name="6412.Change" advise="1">
        <values>
          <value>
            <val>-1.8</val>
          </value>
        </values>
      </ddeItem>
      <ddeItem name="6412.ChangePercent" advise="1">
        <values>
          <value>
            <val>-2.46E-2</val>
          </value>
        </values>
      </ddeItem>
      <ddeItem name="6412.CumulativeVolume" advise="1">
        <values>
          <value>
            <val>2318</val>
          </value>
        </values>
      </ddeItem>
      <ddeItem name="6412.Open" advise="1">
        <values>
          <value>
            <val>73.599999999999994</val>
          </value>
        </values>
      </ddeItem>
      <ddeItem name="6412.PreOpenPrice" advise="1">
        <values>
          <value>
            <val>71.3</val>
          </value>
        </values>
      </ddeItem>
      <ddeItem name="6412.PreviousPrice" advise="1">
        <values>
          <value>
            <val>73.099999999999994</val>
          </value>
        </values>
      </ddeItem>
      <ddeItem name="6412.PreviousVolume" advise="1">
        <values>
          <value>
            <val>2827</val>
          </value>
        </values>
      </ddeItem>
      <ddeItem name="6412.Price" advise="1">
        <values>
          <value>
            <val>71.3</val>
          </value>
        </values>
      </ddeItem>
      <ddeItem name="6412.Volume" advise="1">
        <values>
          <value>
            <val>72</val>
          </value>
        </values>
      </ddeItem>
      <ddeItem name="6414.AskPrice" advise="1">
        <values>
          <value>
            <val>282.5</val>
          </value>
        </values>
      </ddeItem>
      <ddeItem name="6414.BidPrice" advise="1">
        <values>
          <value>
            <val>282</val>
          </value>
        </values>
      </ddeItem>
      <ddeItem name="6414.Change" advise="1">
        <values>
          <value>
            <val>-2</val>
          </value>
        </values>
      </ddeItem>
      <ddeItem name="6414.ChangePercent" advise="1">
        <values>
          <value>
            <val>-7.0000000000000001E-3</val>
          </value>
        </values>
      </ddeItem>
      <ddeItem name="6414.CumulativeVolume" advise="1">
        <values>
          <value>
            <val>1467</val>
          </value>
        </values>
      </ddeItem>
      <ddeItem name="6414.Open" advise="1">
        <values>
          <value>
            <val>280</val>
          </value>
        </values>
      </ddeItem>
      <ddeItem name="6414.PreOpenPrice" advise="1">
        <values>
          <value>
            <val>283</val>
          </value>
        </values>
      </ddeItem>
      <ddeItem name="6414.PreviousPrice" advise="1">
        <values>
          <value>
            <val>284.5</val>
          </value>
        </values>
      </ddeItem>
      <ddeItem name="6414.PreviousVolume" advise="1">
        <values>
          <value>
            <val>1967</val>
          </value>
        </values>
      </ddeItem>
      <ddeItem name="6414.Price" advise="1">
        <values>
          <value>
            <val>282.5</val>
          </value>
        </values>
      </ddeItem>
      <ddeItem name="6414.Volume" advise="1">
        <values>
          <value>
            <val>48</val>
          </value>
        </values>
      </ddeItem>
      <ddeItem name="6415.AskPrice" advise="1">
        <values>
          <value>
            <val>1765</val>
          </value>
        </values>
      </ddeItem>
      <ddeItem name="6415.BidPrice" advise="1">
        <values>
          <value>
            <val>1750</val>
          </value>
        </values>
      </ddeItem>
      <ddeItem name="6415.Change" advise="1">
        <values>
          <value>
            <val>-35</val>
          </value>
        </values>
      </ddeItem>
      <ddeItem name="6415.ChangePercent" advise="1">
        <values>
          <value>
            <val>-1.9599999999999999E-2</val>
          </value>
        </values>
      </ddeItem>
      <ddeItem name="6415.CumulativeVolume" advise="1">
        <values>
          <value>
            <val>225</val>
          </value>
        </values>
      </ddeItem>
      <ddeItem name="6415.Open" advise="1">
        <values>
          <value>
            <val>1780</val>
          </value>
        </values>
      </ddeItem>
      <ddeItem name="6415.PreOpenPrice" advise="1">
        <values>
          <value>
            <val>1750</val>
          </value>
        </values>
      </ddeItem>
      <ddeItem name="6415.PreviousPrice" advise="1">
        <values>
          <value>
            <val>1785</val>
          </value>
        </values>
      </ddeItem>
      <ddeItem name="6415.PreviousVolume" advise="1">
        <values>
          <value>
            <val>181</val>
          </value>
        </values>
      </ddeItem>
      <ddeItem name="6415.Price" advise="1">
        <values>
          <value>
            <val>1750</val>
          </value>
        </values>
      </ddeItem>
      <ddeItem name="6415.Volume" advise="1">
        <values>
          <value>
            <val>34</val>
          </value>
        </values>
      </ddeItem>
      <ddeItem name="6452.AskPrice" advise="1">
        <values>
          <value>
            <val>85.9</val>
          </value>
        </values>
      </ddeItem>
      <ddeItem name="6452.BidPrice" advise="1"/>
      <ddeItem name="6452.Change" advise="1">
        <values>
          <value>
            <val>-9.5</val>
          </value>
        </values>
      </ddeItem>
      <ddeItem name="6452.ChangePercent" advise="1">
        <values>
          <value>
            <val>-9.9599999999999994E-2</val>
          </value>
        </values>
      </ddeItem>
      <ddeItem name="6452.CumulativeVolume" advise="1">
        <values>
          <value>
            <val>144</val>
          </value>
        </values>
      </ddeItem>
      <ddeItem name="6452.Open" advise="1">
        <values>
          <value>
            <val>85.9</val>
          </value>
        </values>
      </ddeItem>
      <ddeItem name="6452.PreOpenPrice" advise="1">
        <values>
          <value>
            <val>85.9</val>
          </value>
        </values>
      </ddeItem>
      <ddeItem name="6452.PreviousPrice" advise="1">
        <values>
          <value>
            <val>95.4</val>
          </value>
        </values>
      </ddeItem>
      <ddeItem name="6452.PreviousVolume" advise="1">
        <values>
          <value>
            <val>360</val>
          </value>
        </values>
      </ddeItem>
      <ddeItem name="6452.Price" advise="1">
        <values>
          <value>
            <val>85.9</val>
          </value>
        </values>
      </ddeItem>
      <ddeItem name="6452.Volume" advise="1">
        <values>
          <value>
            <val>1</val>
          </value>
        </values>
      </ddeItem>
      <ddeItem name="6456.AskPrice" advise="1">
        <values>
          <value>
            <val>131.5</val>
          </value>
        </values>
      </ddeItem>
      <ddeItem name="6456.BidPrice" advise="1">
        <values>
          <value>
            <val>131</val>
          </value>
        </values>
      </ddeItem>
      <ddeItem name="6456.Change" advise="1">
        <values>
          <value>
            <val>-0.5</val>
          </value>
        </values>
      </ddeItem>
      <ddeItem name="6456.ChangePercent" advise="1">
        <values>
          <value>
            <val>-3.8E-3</val>
          </value>
        </values>
      </ddeItem>
      <ddeItem name="6456.CumulativeVolume" advise="1">
        <values>
          <value>
            <val>6996</val>
          </value>
        </values>
      </ddeItem>
      <ddeItem name="6456.Open" advise="1">
        <values>
          <value>
            <val>132</val>
          </value>
        </values>
      </ddeItem>
      <ddeItem name="6456.PreOpenPrice" advise="1">
        <values>
          <value>
            <val>132</val>
          </value>
        </values>
      </ddeItem>
      <ddeItem name="6456.PreviousPrice" advise="1">
        <values>
          <value>
            <val>132</val>
          </value>
        </values>
      </ddeItem>
      <ddeItem name="6456.PreviousVolume" advise="1">
        <values>
          <value>
            <val>11608</val>
          </value>
        </values>
      </ddeItem>
      <ddeItem name="6456.Price" advise="1">
        <values>
          <value>
            <val>131.5</val>
          </value>
        </values>
      </ddeItem>
      <ddeItem name="6456.Volume" advise="1">
        <values>
          <value>
            <val>377</val>
          </value>
        </values>
      </ddeItem>
      <ddeItem name="6464.AskPrice" advise="1">
        <values>
          <value>
            <val>121.5</val>
          </value>
        </values>
      </ddeItem>
      <ddeItem name="6464.BidPrice" advise="1">
        <values>
          <value>
            <val>121</val>
          </value>
        </values>
      </ddeItem>
      <ddeItem name="6464.Change" advise="1">
        <values>
          <value>
            <val>-1</val>
          </value>
        </values>
      </ddeItem>
      <ddeItem name="6464.ChangePercent" advise="1">
        <values>
          <value>
            <val>-8.2000000000000007E-3</val>
          </value>
        </values>
      </ddeItem>
      <ddeItem name="6464.CumulativeVolume" advise="1">
        <values>
          <value>
            <val>12</val>
          </value>
        </values>
      </ddeItem>
      <ddeItem name="6464.Open" advise="1">
        <values>
          <value>
            <val>121</val>
          </value>
        </values>
      </ddeItem>
      <ddeItem name="6464.PreOpenPrice" advise="1">
        <values>
          <value>
            <val>121</val>
          </value>
        </values>
      </ddeItem>
      <ddeItem name="6464.PreviousPrice" advise="1">
        <values>
          <value>
            <val>122.5</val>
          </value>
        </values>
      </ddeItem>
      <ddeItem name="6464.PreviousVolume" advise="1">
        <values>
          <value>
            <val>1</val>
          </value>
        </values>
      </ddeItem>
      <ddeItem name="6464.Price" advise="1">
        <values>
          <value>
            <val>121.5</val>
          </value>
        </values>
      </ddeItem>
      <ddeItem name="6464.Volume" advise="1">
        <values>
          <value>
            <val>2</val>
          </value>
        </values>
      </ddeItem>
      <ddeItem name="6504.AskPrice" advise="1">
        <values>
          <value>
            <val>289.5</val>
          </value>
        </values>
      </ddeItem>
      <ddeItem name="6504.BidPrice" advise="1">
        <values>
          <value>
            <val>289</val>
          </value>
        </values>
      </ddeItem>
      <ddeItem name="6504.Change" advise="1">
        <values>
          <value>
            <val>-18</val>
          </value>
        </values>
      </ddeItem>
      <ddeItem name="6504.ChangePercent" advise="1">
        <values>
          <value>
            <val>-5.8599999999999999E-2</val>
          </value>
        </values>
      </ddeItem>
      <ddeItem name="6504.CumulativeVolume" advise="1">
        <values>
          <value>
            <val>3683</val>
          </value>
        </values>
      </ddeItem>
      <ddeItem name="6504.Open" advise="1">
        <values>
          <value>
            <val>303</val>
          </value>
        </values>
      </ddeItem>
      <ddeItem name="6504.PreOpenPrice" advise="1">
        <values>
          <value>
            <val>289</val>
          </value>
        </values>
      </ddeItem>
      <ddeItem name="6504.PreviousPrice" advise="1">
        <values>
          <value>
            <val>307</val>
          </value>
        </values>
      </ddeItem>
      <ddeItem name="6504.PreviousVolume" advise="1">
        <values>
          <value>
            <val>2849</val>
          </value>
        </values>
      </ddeItem>
      <ddeItem name="6504.Price" advise="1">
        <values>
          <value>
            <val>289</val>
          </value>
        </values>
      </ddeItem>
      <ddeItem name="6504.Volume" advise="1">
        <values>
          <value>
            <val>133</val>
          </value>
        </values>
      </ddeItem>
      <ddeItem name="6505.AskPrice" advise="1">
        <values>
          <value>
            <val>83.8</val>
          </value>
        </values>
      </ddeItem>
      <ddeItem name="6505.BidPrice" advise="1">
        <values>
          <value>
            <val>83.7</val>
          </value>
        </values>
      </ddeItem>
      <ddeItem name="6505.Change" advise="1">
        <values>
          <value>
            <val>-0.5</val>
          </value>
        </values>
      </ddeItem>
      <ddeItem name="6505.ChangePercent" advise="1">
        <values>
          <value>
            <val>-5.8999999999999999E-3</val>
          </value>
        </values>
      </ddeItem>
      <ddeItem name="6505.CumulativeVolume" advise="1">
        <values>
          <value>
            <val>1968</val>
          </value>
        </values>
      </ddeItem>
      <ddeItem name="6505.Open" advise="1">
        <values>
          <value>
            <val>84.5</val>
          </value>
        </values>
      </ddeItem>
      <ddeItem name="6505.PreOpenPrice" advise="1">
        <values>
          <value>
            <val>83.7</val>
          </value>
        </values>
      </ddeItem>
      <ddeItem name="6505.PreviousPrice" advise="1">
        <values>
          <value>
            <val>84.2</val>
          </value>
        </values>
      </ddeItem>
      <ddeItem name="6505.PreviousVolume" advise="1">
        <values>
          <value>
            <val>2247</val>
          </value>
        </values>
      </ddeItem>
      <ddeItem name="6505.Price" advise="1">
        <values>
          <value>
            <val>83.7</val>
          </value>
        </values>
      </ddeItem>
      <ddeItem name="6505.Volume" advise="1">
        <values>
          <value>
            <val>161</val>
          </value>
        </values>
      </ddeItem>
      <ddeItem name="6531.AskPrice" advise="1">
        <values>
          <value>
            <val>392</val>
          </value>
        </values>
      </ddeItem>
      <ddeItem name="6531.BidPrice" advise="1">
        <values>
          <value>
            <val>392</val>
          </value>
        </values>
      </ddeItem>
      <ddeItem name="6531.Change" advise="1">
        <values>
          <value>
            <val>-43.5</val>
          </value>
        </values>
      </ddeItem>
      <ddeItem name="6531.ChangePercent" advise="1">
        <values>
          <value>
            <val>-9.9900000000000003E-2</val>
          </value>
        </values>
      </ddeItem>
      <ddeItem name="6531.CumulativeVolume" advise="1">
        <values>
          <value>
            <val>4047</val>
          </value>
        </values>
      </ddeItem>
      <ddeItem name="6531.Open" advise="1">
        <values>
          <value>
            <val>435.5</val>
          </value>
        </values>
      </ddeItem>
      <ddeItem name="6531.PreOpenPrice" advise="1">
        <values>
          <value>
            <val>392</val>
          </value>
        </values>
      </ddeItem>
      <ddeItem name="6531.PreviousPrice" advise="1">
        <values>
          <value>
            <val>436.5</val>
          </value>
        </values>
      </ddeItem>
      <ddeItem name="6531.PreviousVolume" advise="1">
        <values>
          <value>
            <val>2257</val>
          </value>
        </values>
      </ddeItem>
      <ddeItem name="6531.Price" advise="1">
        <values>
          <value>
            <val>392</val>
          </value>
        </values>
      </ddeItem>
      <ddeItem name="6531.Volume" advise="1">
        <values>
          <value>
            <val>11</val>
          </value>
        </values>
      </ddeItem>
      <ddeItem name="6582.AskPrice" advise="1">
        <values>
          <value>
            <val>159</val>
          </value>
        </values>
      </ddeItem>
      <ddeItem name="6582.BidPrice" advise="1">
        <values>
          <value>
            <val>158.5</val>
          </value>
        </values>
      </ddeItem>
      <ddeItem name="6582.Change" advise="1">
        <values>
          <value>
            <val>-1</val>
          </value>
        </values>
      </ddeItem>
      <ddeItem name="6582.ChangePercent" advise="1">
        <values>
          <value>
            <val>-6.1999999999999998E-3</val>
          </value>
        </values>
      </ddeItem>
      <ddeItem name="6582.CumulativeVolume" advise="1">
        <values>
          <value>
            <val>1358</val>
          </value>
        </values>
      </ddeItem>
      <ddeItem name="6582.Open" advise="1">
        <values>
          <value>
            <val>161</val>
          </value>
        </values>
      </ddeItem>
      <ddeItem name="6582.PreOpenPrice" advise="1">
        <values>
          <value>
            <val>159</val>
          </value>
        </values>
      </ddeItem>
      <ddeItem name="6582.PreviousPrice" advise="1">
        <values>
          <value>
            <val>160</val>
          </value>
        </values>
      </ddeItem>
      <ddeItem name="6582.PreviousVolume" advise="1">
        <values>
          <value>
            <val>1795</val>
          </value>
        </values>
      </ddeItem>
      <ddeItem name="6582.Price" advise="1">
        <values>
          <value>
            <val>159</val>
          </value>
        </values>
      </ddeItem>
      <ddeItem name="6582.Volume" advise="1">
        <values>
          <value>
            <val>59</val>
          </value>
        </values>
      </ddeItem>
      <ddeItem name="6592.AskPrice" advise="1">
        <values>
          <value>
            <val>79</val>
          </value>
        </values>
      </ddeItem>
      <ddeItem name="6592.BidPrice" advise="1">
        <values>
          <value>
            <val>78.900000000000006</val>
          </value>
        </values>
      </ddeItem>
      <ddeItem name="6592.Change" advise="1">
        <values>
          <value>
            <val>-0.3</val>
          </value>
        </values>
      </ddeItem>
      <ddeItem name="6592.ChangePercent" advise="1">
        <values>
          <value>
            <val>-3.8E-3</val>
          </value>
        </values>
      </ddeItem>
      <ddeItem name="6592.CumulativeVolume" advise="1">
        <values>
          <value>
            <val>1035</val>
          </value>
        </values>
      </ddeItem>
      <ddeItem name="6592.Open" advise="1">
        <values>
          <value>
            <val>79.5</val>
          </value>
        </values>
      </ddeItem>
      <ddeItem name="6592.PreOpenPrice" advise="1">
        <values>
          <value>
            <val>78.900000000000006</val>
          </value>
        </values>
      </ddeItem>
      <ddeItem name="6592.PreviousPrice" advise="1">
        <values>
          <value>
            <val>79.2</val>
          </value>
        </values>
      </ddeItem>
      <ddeItem name="6592.PreviousVolume" advise="1">
        <values>
          <value>
            <val>938</val>
          </value>
        </values>
      </ddeItem>
      <ddeItem name="6592.Price" advise="1">
        <values>
          <value>
            <val>78.900000000000006</val>
          </value>
        </values>
      </ddeItem>
      <ddeItem name="6592.Volume" advise="1">
        <values>
          <value>
            <val>13</val>
          </value>
        </values>
      </ddeItem>
      <ddeItem name="6669.AskPrice" advise="1">
        <values>
          <value>
            <val>787</val>
          </value>
        </values>
      </ddeItem>
      <ddeItem name="6669.BidPrice" advise="1">
        <values>
          <value>
            <val>786</val>
          </value>
        </values>
      </ddeItem>
      <ddeItem name="6669.Change" advise="1">
        <values>
          <value>
            <val>-52</val>
          </value>
        </values>
      </ddeItem>
      <ddeItem name="6669.ChangePercent" advise="1">
        <values>
          <value>
            <val>-6.2100000000000002E-2</val>
          </value>
        </values>
      </ddeItem>
      <ddeItem name="6669.CumulativeVolume" advise="1">
        <values>
          <value>
            <val>3377</val>
          </value>
        </values>
      </ddeItem>
      <ddeItem name="6669.Open" advise="1">
        <values>
          <value>
            <val>843</val>
          </value>
        </values>
      </ddeItem>
      <ddeItem name="6669.PreOpenPrice" advise="1">
        <values>
          <value>
            <val>789</val>
          </value>
        </values>
      </ddeItem>
      <ddeItem name="6669.PreviousPrice" advise="1">
        <values>
          <value>
            <val>838</val>
          </value>
        </values>
      </ddeItem>
      <ddeItem name="6669.PreviousVolume" advise="1">
        <values>
          <value>
            <val>4504</val>
          </value>
        </values>
      </ddeItem>
      <ddeItem name="6669.Price" advise="1">
        <values>
          <value>
            <val>786</val>
          </value>
        </values>
      </ddeItem>
      <ddeItem name="6669.Volume" advise="1">
        <values>
          <value>
            <val>171</val>
          </value>
        </values>
      </ddeItem>
      <ddeItem name="6670.AskPrice" advise="1">
        <values>
          <value>
            <val>165.5</val>
          </value>
        </values>
      </ddeItem>
      <ddeItem name="6670.BidPrice" advise="1">
        <values>
          <value>
            <val>164.5</val>
          </value>
        </values>
      </ddeItem>
      <ddeItem name="6670.Change" advise="1">
        <values>
          <value>
            <val>2.5</val>
          </value>
        </values>
      </ddeItem>
      <ddeItem name="6670.ChangePercent" advise="1">
        <values>
          <value>
            <val>1.54E-2</val>
          </value>
        </values>
      </ddeItem>
      <ddeItem name="6670.CumulativeVolume" advise="1">
        <values>
          <value>
            <val>289</val>
          </value>
        </values>
      </ddeItem>
      <ddeItem name="6670.Open" advise="1">
        <values>
          <value>
            <val>164</val>
          </value>
        </values>
      </ddeItem>
      <ddeItem name="6670.PreOpenPrice" advise="1">
        <values>
          <value>
            <val>164.5</val>
          </value>
        </values>
      </ddeItem>
      <ddeItem name="6670.PreviousPrice" advise="1">
        <values>
          <value>
            <val>162</val>
          </value>
        </values>
      </ddeItem>
      <ddeItem name="6670.PreviousVolume" advise="1">
        <values>
          <value>
            <val>193</val>
          </value>
        </values>
      </ddeItem>
      <ddeItem name="6670.Price" advise="1">
        <values>
          <value>
            <val>164.5</val>
          </value>
        </values>
      </ddeItem>
      <ddeItem name="6670.Volume" advise="1">
        <values>
          <value>
            <val>12</val>
          </value>
        </values>
      </ddeItem>
      <ddeItem name="8016.AskPrice" advise="1">
        <values>
          <value>
            <val>142</val>
          </value>
        </values>
      </ddeItem>
      <ddeItem name="8016.BidPrice" advise="1">
        <values>
          <value>
            <val>141.5</val>
          </value>
        </values>
      </ddeItem>
      <ddeItem name="8016.Change" advise="1">
        <values>
          <value>
            <val>-3.5</val>
          </value>
        </values>
      </ddeItem>
      <ddeItem name="8016.ChangePercent" advise="1">
        <values>
          <value>
            <val>-2.41E-2</val>
          </value>
        </values>
      </ddeItem>
      <ddeItem name="8016.CumulativeVolume" advise="1">
        <values>
          <value>
            <val>2238</val>
          </value>
        </values>
      </ddeItem>
      <ddeItem name="8016.Open" advise="1">
        <values>
          <value>
            <val>144.5</val>
          </value>
        </values>
      </ddeItem>
      <ddeItem name="8016.PreOpenPrice" advise="1">
        <values>
          <value>
            <val>141.5</val>
          </value>
        </values>
      </ddeItem>
      <ddeItem name="8016.PreviousPrice" advise="1">
        <values>
          <value>
            <val>145</val>
          </value>
        </values>
      </ddeItem>
      <ddeItem name="8016.PreviousVolume" advise="1">
        <values>
          <value>
            <val>2690</val>
          </value>
        </values>
      </ddeItem>
      <ddeItem name="8016.Price" advise="1">
        <values>
          <value>
            <val>141.5</val>
          </value>
        </values>
      </ddeItem>
      <ddeItem name="8016.Volume" advise="1">
        <values>
          <value>
            <val>65</val>
          </value>
        </values>
      </ddeItem>
      <ddeItem name="8046.AskPrice" advise="1">
        <values>
          <value>
            <val>118</val>
          </value>
        </values>
      </ddeItem>
      <ddeItem name="8046.BidPrice" advise="1">
        <values>
          <value>
            <val>117.5</val>
          </value>
        </values>
      </ddeItem>
      <ddeItem name="8046.Change" advise="1">
        <values>
          <value>
            <val>-2.5</val>
          </value>
        </values>
      </ddeItem>
      <ddeItem name="8046.ChangePercent" advise="1">
        <values>
          <value>
            <val>-2.0799999999999999E-2</val>
          </value>
        </values>
      </ddeItem>
      <ddeItem name="8046.CumulativeVolume" advise="1">
        <values>
          <value>
            <val>28830</val>
          </value>
        </values>
      </ddeItem>
      <ddeItem name="8046.Open" advise="1">
        <values>
          <value>
            <val>118</val>
          </value>
        </values>
      </ddeItem>
      <ddeItem name="8046.PreOpenPrice" advise="1">
        <values>
          <value>
            <val>117.5</val>
          </value>
        </values>
      </ddeItem>
      <ddeItem name="8046.PreviousPrice" advise="1">
        <values>
          <value>
            <val>120</val>
          </value>
        </values>
      </ddeItem>
      <ddeItem name="8046.PreviousVolume" advise="1">
        <values>
          <value>
            <val>22648</val>
          </value>
        </values>
      </ddeItem>
      <ddeItem name="8046.Price" advise="1">
        <values>
          <value>
            <val>117.5</val>
          </value>
        </values>
      </ddeItem>
      <ddeItem name="8046.Volume" advise="1">
        <values>
          <value>
            <val>888</val>
          </value>
        </values>
      </ddeItem>
      <ddeItem name="8081.AskPrice" advise="1">
        <values>
          <value>
            <val>162</val>
          </value>
        </values>
      </ddeItem>
      <ddeItem name="8081.BidPrice" advise="1">
        <values>
          <value>
            <val>161.5</val>
          </value>
        </values>
      </ddeItem>
      <ddeItem name="8081.Change" advise="1">
        <values>
          <value>
            <val>-3</val>
          </value>
        </values>
      </ddeItem>
      <ddeItem name="8081.ChangePercent" advise="1">
        <values>
          <value>
            <val>-1.8200000000000001E-2</val>
          </value>
        </values>
      </ddeItem>
      <ddeItem name="8081.CumulativeVolume" advise="1">
        <values>
          <value>
            <val>1266</val>
          </value>
        </values>
      </ddeItem>
      <ddeItem name="8081.Open" advise="1">
        <values>
          <value>
            <val>166</val>
          </value>
        </values>
      </ddeItem>
      <ddeItem name="8081.PreOpenPrice" advise="1">
        <values>
          <value>
            <val>161.5</val>
          </value>
        </values>
      </ddeItem>
      <ddeItem name="8081.PreviousPrice" advise="1">
        <values>
          <value>
            <val>164.5</val>
          </value>
        </values>
      </ddeItem>
      <ddeItem name="8081.PreviousVolume" advise="1">
        <values>
          <value>
            <val>1519</val>
          </value>
        </values>
      </ddeItem>
      <ddeItem name="8081.Price" advise="1">
        <values>
          <value>
            <val>161.5</val>
          </value>
        </values>
      </ddeItem>
      <ddeItem name="8081.Volume" advise="1">
        <values>
          <value>
            <val>76</val>
          </value>
        </values>
      </ddeItem>
      <ddeItem name="8131.AskPrice" advise="1">
        <values>
          <value>
            <val>36.15</val>
          </value>
        </values>
      </ddeItem>
      <ddeItem name="8131.BidPrice" advise="1">
        <values>
          <value>
            <val>36.049999999999997</val>
          </value>
        </values>
      </ddeItem>
      <ddeItem name="8131.Change" advise="1">
        <values>
          <value>
            <val>-0.1</val>
          </value>
        </values>
      </ddeItem>
      <ddeItem name="8131.ChangePercent" advise="1">
        <values>
          <value>
            <val>-2.8E-3</val>
          </value>
        </values>
      </ddeItem>
      <ddeItem name="8131.CumulativeVolume" advise="1">
        <values>
          <value>
            <val>329</val>
          </value>
        </values>
      </ddeItem>
      <ddeItem name="8131.Open" advise="1">
        <values>
          <value>
            <val>36.200000000000003</val>
          </value>
        </values>
      </ddeItem>
      <ddeItem name="8131.PreOpenPrice" advise="1">
        <values>
          <value>
            <val>36.049999999999997</val>
          </value>
        </values>
      </ddeItem>
      <ddeItem name="8131.PreviousPrice" advise="1">
        <values>
          <value>
            <val>36.200000000000003</val>
          </value>
        </values>
      </ddeItem>
      <ddeItem name="8131.PreviousVolume" advise="1">
        <values>
          <value>
            <val>465</val>
          </value>
        </values>
      </ddeItem>
      <ddeItem name="8131.Price" advise="1">
        <values>
          <value>
            <val>36.1</val>
          </value>
        </values>
      </ddeItem>
      <ddeItem name="8131.Volume" advise="1">
        <values>
          <value>
            <val>11</val>
          </value>
        </values>
      </ddeItem>
      <ddeItem name="8150.AskPrice" advise="1">
        <values>
          <value>
            <val>31.8</val>
          </value>
        </values>
      </ddeItem>
      <ddeItem name="8150.BidPrice" advise="1">
        <values>
          <value>
            <val>31.75</val>
          </value>
        </values>
      </ddeItem>
      <ddeItem name="8150.Change" advise="1">
        <values>
          <value>
            <val>-0.4</val>
          </value>
        </values>
      </ddeItem>
      <ddeItem name="8150.ChangePercent" advise="1">
        <values>
          <value>
            <val>-1.24E-2</val>
          </value>
        </values>
      </ddeItem>
      <ddeItem name="8150.CumulativeVolume" advise="1">
        <values>
          <value>
            <val>3189</val>
          </value>
        </values>
      </ddeItem>
      <ddeItem name="8150.Open" advise="1">
        <values>
          <value>
            <val>32.299999999999997</val>
          </value>
        </values>
      </ddeItem>
      <ddeItem name="8150.PreOpenPrice" advise="1">
        <values>
          <value>
            <val>31.75</val>
          </value>
        </values>
      </ddeItem>
      <ddeItem name="8150.PreviousPrice" advise="1">
        <values>
          <value>
            <val>32.15</val>
          </value>
        </values>
      </ddeItem>
      <ddeItem name="8150.PreviousVolume" advise="1">
        <values>
          <value>
            <val>2564</val>
          </value>
        </values>
      </ddeItem>
      <ddeItem name="8150.Price" advise="1">
        <values>
          <value>
            <val>31.75</val>
          </value>
        </values>
      </ddeItem>
      <ddeItem name="8150.Volume" advise="1">
        <values>
          <value>
            <val>118</val>
          </value>
        </values>
      </ddeItem>
      <ddeItem name="8341.AskPrice" advise="1">
        <values>
          <value>
            <val>259</val>
          </value>
        </values>
      </ddeItem>
      <ddeItem name="8341.BidPrice" advise="1">
        <values>
          <value>
            <val>258</val>
          </value>
        </values>
      </ddeItem>
      <ddeItem name="8341.Change" advise="1">
        <values>
          <value>
            <val>-0.5</val>
          </value>
        </values>
      </ddeItem>
      <ddeItem name="8341.ChangePercent" advise="1">
        <values>
          <value>
            <val>-1.9E-3</val>
          </value>
        </values>
      </ddeItem>
      <ddeItem name="8341.CumulativeVolume" advise="1">
        <values>
          <value>
            <val>51</val>
          </value>
        </values>
      </ddeItem>
      <ddeItem name="8341.Open" advise="1">
        <values>
          <value>
            <val>259</val>
          </value>
        </values>
      </ddeItem>
      <ddeItem name="8341.PreOpenPrice" advise="1">
        <values>
          <value>
            <val>258.5</val>
          </value>
        </values>
      </ddeItem>
      <ddeItem name="8341.PreviousPrice" advise="1">
        <values>
          <value>
            <val>258.5</val>
          </value>
        </values>
      </ddeItem>
      <ddeItem name="8341.PreviousVolume" advise="1">
        <values>
          <value>
            <val>61</val>
          </value>
        </values>
      </ddeItem>
      <ddeItem name="8341.Price" advise="1">
        <values>
          <value>
            <val>258</val>
          </value>
        </values>
      </ddeItem>
      <ddeItem name="8341.Volume" advise="1">
        <values>
          <value>
            <val>4</val>
          </value>
        </values>
      </ddeItem>
      <ddeItem name="8422.AskPrice" advise="1">
        <values>
          <value>
            <val>162.5</val>
          </value>
        </values>
      </ddeItem>
      <ddeItem name="8422.BidPrice" advise="1">
        <values>
          <value>
            <val>161.5</val>
          </value>
        </values>
      </ddeItem>
      <ddeItem name="8422.Change" advise="1">
        <values>
          <value>
            <val>-1</val>
          </value>
        </values>
      </ddeItem>
      <ddeItem name="8422.ChangePercent" advise="1">
        <values>
          <value>
            <val>-6.1999999999999998E-3</val>
          </value>
        </values>
      </ddeItem>
      <ddeItem name="8422.CumulativeVolume" advise="1">
        <values>
          <value>
            <val>242</val>
          </value>
        </values>
      </ddeItem>
      <ddeItem name="8422.Open" advise="1">
        <values>
          <value>
            <val>164</val>
          </value>
        </values>
      </ddeItem>
      <ddeItem name="8422.PreOpenPrice" advise="1">
        <values>
          <value>
            <val>161.5</val>
          </value>
        </values>
      </ddeItem>
      <ddeItem name="8422.PreviousPrice" advise="1">
        <values>
          <value>
            <val>162.5</val>
          </value>
        </values>
      </ddeItem>
      <ddeItem name="8422.PreviousVolume" advise="1">
        <values>
          <value>
            <val>456</val>
          </value>
        </values>
      </ddeItem>
      <ddeItem name="8422.Price" advise="1">
        <values>
          <value>
            <val>161.5</val>
          </value>
        </values>
      </ddeItem>
      <ddeItem name="8422.Volume" advise="1">
        <values>
          <value>
            <val>4</val>
          </value>
        </values>
      </ddeItem>
      <ddeItem name="8454.AskPrice" advise="1">
        <values>
          <value>
            <val>609</val>
          </value>
        </values>
      </ddeItem>
      <ddeItem name="8454.BidPrice" advise="1">
        <values>
          <value>
            <val>604</val>
          </value>
        </values>
      </ddeItem>
      <ddeItem name="8454.Change" advise="1">
        <values>
          <value>
            <val>-3</val>
          </value>
        </values>
      </ddeItem>
      <ddeItem name="8454.ChangePercent" advise="1">
        <values>
          <value>
            <val>-4.8999999999999998E-3</val>
          </value>
        </values>
      </ddeItem>
      <ddeItem name="8454.CumulativeVolume" advise="1">
        <values>
          <value>
            <val>146</val>
          </value>
        </values>
      </ddeItem>
      <ddeItem name="8454.Open" advise="1">
        <values>
          <value>
            <val>620</val>
          </value>
        </values>
      </ddeItem>
      <ddeItem name="8454.PreOpenPrice" advise="1">
        <values>
          <value>
            <val>609</val>
          </value>
        </values>
      </ddeItem>
      <ddeItem name="8454.PreviousPrice" advise="1">
        <values>
          <value>
            <val>612</val>
          </value>
        </values>
      </ddeItem>
      <ddeItem name="8454.PreviousVolume" advise="1">
        <values>
          <value>
            <val>373</val>
          </value>
        </values>
      </ddeItem>
      <ddeItem name="8454.Price" advise="1">
        <values>
          <value>
            <val>609</val>
          </value>
        </values>
      </ddeItem>
      <ddeItem name="8454.Volume" advise="1">
        <values>
          <value>
            <val>14</val>
          </value>
        </values>
      </ddeItem>
      <ddeItem name="8464.AskPrice" advise="1">
        <values>
          <value>
            <val>345</val>
          </value>
        </values>
      </ddeItem>
      <ddeItem name="8464.BidPrice" advise="1">
        <values>
          <value>
            <val>344.5</val>
          </value>
        </values>
      </ddeItem>
      <ddeItem name="8464.Change" advise="1">
        <values>
          <value>
            <val>-12</val>
          </value>
        </values>
      </ddeItem>
      <ddeItem name="8464.ChangePercent" advise="1">
        <values>
          <value>
            <val>-3.3700000000000001E-2</val>
          </value>
        </values>
      </ddeItem>
      <ddeItem name="8464.CumulativeVolume" advise="1">
        <values>
          <value>
            <val>1160</val>
          </value>
        </values>
      </ddeItem>
      <ddeItem name="8464.Open" advise="1">
        <values>
          <value>
            <val>356</val>
          </value>
        </values>
      </ddeItem>
      <ddeItem name="8464.PreOpenPrice" advise="1">
        <values>
          <value>
            <val>343</val>
          </value>
        </values>
      </ddeItem>
      <ddeItem name="8464.PreviousPrice" advise="1">
        <values>
          <value>
            <val>356.5</val>
          </value>
        </values>
      </ddeItem>
      <ddeItem name="8464.PreviousVolume" advise="1">
        <values>
          <value>
            <val>590</val>
          </value>
        </values>
      </ddeItem>
      <ddeItem name="8464.Price" advise="1">
        <values>
          <value>
            <val>344.5</val>
          </value>
        </values>
      </ddeItem>
      <ddeItem name="8464.Volume" advise="1">
        <values>
          <value>
            <val>79</val>
          </value>
        </values>
      </ddeItem>
      <ddeItem name="8926.AskPrice" advise="1">
        <values>
          <value>
            <val>39.75</val>
          </value>
        </values>
      </ddeItem>
      <ddeItem name="8926.BidPrice" advise="1">
        <values>
          <value>
            <val>39.700000000000003</val>
          </value>
        </values>
      </ddeItem>
      <ddeItem name="8926.Change" advise="1">
        <values>
          <value>
            <val>-0.4</val>
          </value>
        </values>
      </ddeItem>
      <ddeItem name="8926.ChangePercent" advise="1">
        <values>
          <value>
            <val>-0.01</val>
          </value>
        </values>
      </ddeItem>
      <ddeItem name="8926.CumulativeVolume" advise="1">
        <values>
          <value>
            <val>1751</val>
          </value>
        </values>
      </ddeItem>
      <ddeItem name="8926.Open" advise="1">
        <values>
          <value>
            <val>40.200000000000003</val>
          </value>
        </values>
      </ddeItem>
      <ddeItem name="8926.PreOpenPrice" advise="1">
        <values>
          <value>
            <val>39.75</val>
          </value>
        </values>
      </ddeItem>
      <ddeItem name="8926.PreviousPrice" advise="1">
        <values>
          <value>
            <val>40.15</val>
          </value>
        </values>
      </ddeItem>
      <ddeItem name="8926.PreviousVolume" advise="1">
        <values>
          <value>
            <val>4847</val>
          </value>
        </values>
      </ddeItem>
      <ddeItem name="8926.Price" advise="1">
        <values>
          <value>
            <val>39.75</val>
          </value>
        </values>
      </ddeItem>
      <ddeItem name="8926.Volume" advise="1">
        <values>
          <value>
            <val>52</val>
          </value>
        </values>
      </ddeItem>
      <ddeItem name="9802.AskPrice" advise="1">
        <values>
          <value>
            <val>112</val>
          </value>
        </values>
      </ddeItem>
      <ddeItem name="9802.BidPrice" advise="1">
        <values>
          <value>
            <val>111.5</val>
          </value>
        </values>
      </ddeItem>
      <ddeItem name="9802.Change" advise="1">
        <values>
          <value>
            <val>-2.5</val>
          </value>
        </values>
      </ddeItem>
      <ddeItem name="9802.ChangePercent" advise="1">
        <values>
          <value>
            <val>-2.1899999999999999E-2</val>
          </value>
        </values>
      </ddeItem>
      <ddeItem name="9802.CumulativeVolume" advise="1">
        <values>
          <value>
            <val>2735</val>
          </value>
        </values>
      </ddeItem>
      <ddeItem name="9802.Open" advise="1">
        <values>
          <value>
            <val>114.5</val>
          </value>
        </values>
      </ddeItem>
      <ddeItem name="9802.PreOpenPrice" advise="1">
        <values>
          <value>
            <val>111.5</val>
          </value>
        </values>
      </ddeItem>
      <ddeItem name="9802.PreviousPrice" advise="1">
        <values>
          <value>
            <val>114</val>
          </value>
        </values>
      </ddeItem>
      <ddeItem name="9802.PreviousVolume" advise="1">
        <values>
          <value>
            <val>3738</val>
          </value>
        </values>
      </ddeItem>
      <ddeItem name="9802.Price" advise="1">
        <values>
          <value>
            <val>111.5</val>
          </value>
        </values>
      </ddeItem>
      <ddeItem name="9802.Volume" advise="1">
        <values>
          <value>
            <val>97</val>
          </value>
        </values>
      </ddeItem>
      <ddeItem name="9904.AskPrice" advise="1">
        <values>
          <value>
            <val>28.3</val>
          </value>
        </values>
      </ddeItem>
      <ddeItem name="9904.BidPrice" advise="1">
        <values>
          <value>
            <val>28.25</val>
          </value>
        </values>
      </ddeItem>
      <ddeItem name="9904.Change" advise="1">
        <values>
          <value>
            <val>-0.2</val>
          </value>
        </values>
      </ddeItem>
      <ddeItem name="9904.ChangePercent" advise="1">
        <values>
          <value>
            <val>-7.0000000000000001E-3</val>
          </value>
        </values>
      </ddeItem>
      <ddeItem name="9904.CumulativeVolume" advise="1">
        <values>
          <value>
            <val>7512</val>
          </value>
        </values>
      </ddeItem>
      <ddeItem name="9904.Open" advise="1">
        <values>
          <value>
            <val>28.15</val>
          </value>
        </values>
      </ddeItem>
      <ddeItem name="9904.PreOpenPrice" advise="1">
        <values>
          <value>
            <val>28.25</val>
          </value>
        </values>
      </ddeItem>
      <ddeItem name="9904.PreviousPrice" advise="1">
        <values>
          <value>
            <val>28.45</val>
          </value>
        </values>
      </ddeItem>
      <ddeItem name="9904.PreviousVolume" advise="1">
        <values>
          <value>
            <val>12549</val>
          </value>
        </values>
      </ddeItem>
      <ddeItem name="9904.Price" advise="1">
        <values>
          <value>
            <val>28.25</val>
          </value>
        </values>
      </ddeItem>
      <ddeItem name="9904.Volume" advise="1">
        <values>
          <value>
            <val>586</val>
          </value>
        </values>
      </ddeItem>
      <ddeItem name="9907.AskPrice" advise="1">
        <values>
          <value>
            <val>9.1999999999999993</val>
          </value>
        </values>
      </ddeItem>
      <ddeItem name="9907.BidPrice" advise="1">
        <values>
          <value>
            <val>9.19</val>
          </value>
        </values>
      </ddeItem>
      <ddeItem name="9907.Change" advise="1">
        <values>
          <value>
            <val>0.13</val>
          </value>
        </values>
      </ddeItem>
      <ddeItem name="9907.ChangePercent" advise="1">
        <values>
          <value>
            <val>1.43E-2</val>
          </value>
        </values>
      </ddeItem>
      <ddeItem name="9907.CumulativeVolume" advise="1">
        <values>
          <value>
            <val>3621</val>
          </value>
        </values>
      </ddeItem>
      <ddeItem name="9907.Open" advise="1">
        <values>
          <value>
            <val>9.18</val>
          </value>
        </values>
      </ddeItem>
      <ddeItem name="9907.PreOpenPrice" advise="1">
        <values>
          <value>
            <val>9.1999999999999993</val>
          </value>
        </values>
      </ddeItem>
      <ddeItem name="9907.PreviousPrice" advise="1">
        <values>
          <value>
            <val>9.07</val>
          </value>
        </values>
      </ddeItem>
      <ddeItem name="9907.PreviousVolume" advise="1">
        <values>
          <value>
            <val>1129</val>
          </value>
        </values>
      </ddeItem>
      <ddeItem name="9907.Price" advise="1">
        <values>
          <value>
            <val>9.1999999999999993</val>
          </value>
        </values>
      </ddeItem>
      <ddeItem name="9907.Volume" advise="1">
        <values>
          <value>
            <val>73</val>
          </value>
        </values>
      </ddeItem>
      <ddeItem name="9908.AskPrice" advise="1">
        <values>
          <value>
            <val>30.7</val>
          </value>
        </values>
      </ddeItem>
      <ddeItem name="9908.BidPrice" advise="1">
        <values>
          <value>
            <val>30.65</val>
          </value>
        </values>
      </ddeItem>
      <ddeItem name="9908.Change" advise="1">
        <values>
          <value>
            <val>0.05</val>
          </value>
        </values>
      </ddeItem>
      <ddeItem name="9908.ChangePercent" advise="1">
        <values>
          <value>
            <val>1.6000000000000001E-3</val>
          </value>
        </values>
      </ddeItem>
      <ddeItem name="9908.CumulativeVolume" advise="1">
        <values>
          <value>
            <val>34</val>
          </value>
        </values>
      </ddeItem>
      <ddeItem name="9908.Open" advise="1">
        <values>
          <value>
            <val>30.6</val>
          </value>
        </values>
      </ddeItem>
      <ddeItem name="9908.PreOpenPrice" advise="1">
        <values>
          <value>
            <val>30.65</val>
          </value>
        </values>
      </ddeItem>
      <ddeItem name="9908.PreviousPrice" advise="1">
        <values>
          <value>
            <val>30.6</val>
          </value>
        </values>
      </ddeItem>
      <ddeItem name="9908.PreviousVolume" advise="1">
        <values>
          <value>
            <val>101</val>
          </value>
        </values>
      </ddeItem>
      <ddeItem name="9908.Price" advise="1">
        <values>
          <value>
            <val>30.65</val>
          </value>
        </values>
      </ddeItem>
      <ddeItem name="9908.Volume" advise="1">
        <values>
          <value>
            <val>1</val>
          </value>
        </values>
      </ddeItem>
      <ddeItem name="9910.AskPrice" advise="1">
        <values>
          <value>
            <val>190</val>
          </value>
        </values>
      </ddeItem>
      <ddeItem name="9910.BidPrice" advise="1">
        <values>
          <value>
            <val>189.5</val>
          </value>
        </values>
      </ddeItem>
      <ddeItem name="9910.Change" advise="1">
        <values>
          <value>
            <val>1</val>
          </value>
        </values>
      </ddeItem>
      <ddeItem name="9910.ChangePercent" advise="1">
        <values>
          <value>
            <val>5.3E-3</val>
          </value>
        </values>
      </ddeItem>
      <ddeItem name="9910.CumulativeVolume" advise="1">
        <values>
          <value>
            <val>1488</val>
          </value>
        </values>
      </ddeItem>
      <ddeItem name="9910.Open" advise="1">
        <values>
          <value>
            <val>188</val>
          </value>
        </values>
      </ddeItem>
      <ddeItem name="9910.PreOpenPrice" advise="1">
        <values>
          <value>
            <val>189.5</val>
          </value>
        </values>
      </ddeItem>
      <ddeItem name="9910.PreviousPrice" advise="1">
        <values>
          <value>
            <val>188.5</val>
          </value>
        </values>
      </ddeItem>
      <ddeItem name="9910.PreviousVolume" advise="1">
        <values>
          <value>
            <val>1015</val>
          </value>
        </values>
      </ddeItem>
      <ddeItem name="9910.Price" advise="1">
        <values>
          <value>
            <val>189.5</val>
          </value>
        </values>
      </ddeItem>
      <ddeItem name="9910.Volume" advise="1">
        <values>
          <value>
            <val>113</val>
          </value>
        </values>
      </ddeItem>
      <ddeItem name="9914.AskPrice" advise="1">
        <values>
          <value>
            <val>258.5</val>
          </value>
        </values>
      </ddeItem>
      <ddeItem name="9914.BidPrice" advise="1">
        <values>
          <value>
            <val>258</val>
          </value>
        </values>
      </ddeItem>
      <ddeItem name="9914.Change" advise="1">
        <values>
          <value>
            <val>-14.5</val>
          </value>
        </values>
      </ddeItem>
      <ddeItem name="9914.ChangePercent" advise="1">
        <values>
          <value>
            <val>-5.3199999999999997E-2</val>
          </value>
        </values>
      </ddeItem>
      <ddeItem name="9914.CumulativeVolume" advise="1">
        <values>
          <value>
            <val>4140</val>
          </value>
        </values>
      </ddeItem>
      <ddeItem name="9914.Open" advise="1">
        <values>
          <value>
            <val>265</val>
          </value>
        </values>
      </ddeItem>
      <ddeItem name="9914.PreOpenPrice" advise="1">
        <values>
          <value>
            <val>258.5</val>
          </value>
        </values>
      </ddeItem>
      <ddeItem name="9914.PreviousPrice" advise="1">
        <values>
          <value>
            <val>272.5</val>
          </value>
        </values>
      </ddeItem>
      <ddeItem name="9914.PreviousVolume" advise="1">
        <values>
          <value>
            <val>2069</val>
          </value>
        </values>
      </ddeItem>
      <ddeItem name="9914.Price" advise="1">
        <values>
          <value>
            <val>258</val>
          </value>
        </values>
      </ddeItem>
      <ddeItem name="9914.Volume" advise="1">
        <values>
          <value>
            <val>179</val>
          </value>
        </values>
      </ddeItem>
      <ddeItem name="9917.AskPrice" advise="1">
        <values>
          <value>
            <val>86</val>
          </value>
        </values>
      </ddeItem>
      <ddeItem name="9917.BidPrice" advise="1">
        <values>
          <value>
            <val>85.9</val>
          </value>
        </values>
      </ddeItem>
      <ddeItem name="9917.Change" advise="1">
        <values>
          <value>
            <val>0</val>
          </value>
        </values>
      </ddeItem>
      <ddeItem name="9917.ChangePercent" advise="1">
        <values>
          <value>
            <val>0</val>
          </value>
        </values>
      </ddeItem>
      <ddeItem name="9917.CumulativeVolume" advise="1">
        <values>
          <value>
            <val>182</val>
          </value>
        </values>
      </ddeItem>
      <ddeItem name="9917.Open" advise="1">
        <values>
          <value>
            <val>85.9</val>
          </value>
        </values>
      </ddeItem>
      <ddeItem name="9917.PreOpenPrice" advise="1">
        <values>
          <value>
            <val>85.9</val>
          </value>
        </values>
      </ddeItem>
      <ddeItem name="9917.PreviousPrice" advise="1">
        <values>
          <value>
            <val>85.9</val>
          </value>
        </values>
      </ddeItem>
      <ddeItem name="9917.PreviousVolume" advise="1">
        <values>
          <value>
            <val>123</val>
          </value>
        </values>
      </ddeItem>
      <ddeItem name="9917.Price" advise="1">
        <values>
          <value>
            <val>85.9</val>
          </value>
        </values>
      </ddeItem>
      <ddeItem name="9917.Volume" advise="1">
        <values>
          <value>
            <val>3</val>
          </value>
        </values>
      </ddeItem>
      <ddeItem name="9921.AskPrice" advise="1">
        <values>
          <value>
            <val>301.5</val>
          </value>
        </values>
      </ddeItem>
      <ddeItem name="9921.BidPrice" advise="1">
        <values>
          <value>
            <val>301</val>
          </value>
        </values>
      </ddeItem>
      <ddeItem name="9921.Change" advise="1">
        <values>
          <value>
            <val>-7.5</val>
          </value>
        </values>
      </ddeItem>
      <ddeItem name="9921.ChangePercent" advise="1">
        <values>
          <value>
            <val>-2.4299999999999999E-2</val>
          </value>
        </values>
      </ddeItem>
      <ddeItem name="9921.CumulativeVolume" advise="1">
        <values>
          <value>
            <val>2244</val>
          </value>
        </values>
      </ddeItem>
      <ddeItem name="9921.Open" advise="1">
        <values>
          <value>
            <val>303.5</val>
          </value>
        </values>
      </ddeItem>
      <ddeItem name="9921.PreOpenPrice" advise="1">
        <values>
          <value>
            <val>301</val>
          </value>
        </values>
      </ddeItem>
      <ddeItem name="9921.PreviousPrice" advise="1">
        <values>
          <value>
            <val>308.5</val>
          </value>
        </values>
      </ddeItem>
      <ddeItem name="9921.PreviousVolume" advise="1">
        <values>
          <value>
            <val>1929</val>
          </value>
        </values>
      </ddeItem>
      <ddeItem name="9921.Price" advise="1">
        <values>
          <value>
            <val>301</val>
          </value>
        </values>
      </ddeItem>
      <ddeItem name="9921.Volume" advise="1">
        <values>
          <value>
            <val>121</val>
          </value>
        </values>
      </ddeItem>
      <ddeItem name="9925.AskPrice" advise="1">
        <values>
          <value>
            <val>35.950000000000003</val>
          </value>
        </values>
      </ddeItem>
      <ddeItem name="9925.BidPrice" advise="1">
        <values>
          <value>
            <val>35.9</val>
          </value>
        </values>
      </ddeItem>
      <ddeItem name="9925.Change" advise="1">
        <values>
          <value>
            <val>0</val>
          </value>
        </values>
      </ddeItem>
      <ddeItem name="9925.ChangePercent" advise="1">
        <values>
          <value>
            <val>0</val>
          </value>
        </values>
      </ddeItem>
      <ddeItem name="9925.CumulativeVolume" advise="1">
        <values>
          <value>
            <val>171</val>
          </value>
        </values>
      </ddeItem>
      <ddeItem name="9925.Open" advise="1">
        <values>
          <value>
            <val>35.950000000000003</val>
          </value>
        </values>
      </ddeItem>
      <ddeItem name="9925.PreOpenPrice" advise="1">
        <values>
          <value>
            <val>35.950000000000003</val>
          </value>
        </values>
      </ddeItem>
      <ddeItem name="9925.PreviousPrice" advise="1">
        <values>
          <value>
            <val>35.950000000000003</val>
          </value>
        </values>
      </ddeItem>
      <ddeItem name="9925.PreviousVolume" advise="1">
        <values>
          <value>
            <val>170</val>
          </value>
        </values>
      </ddeItem>
      <ddeItem name="9925.Price" advise="1">
        <values>
          <value>
            <val>35.950000000000003</val>
          </value>
        </values>
      </ddeItem>
      <ddeItem name="9925.Volume" advise="1">
        <values>
          <value>
            <val>15</val>
          </value>
        </values>
      </ddeItem>
      <ddeItem name="9933.AskPrice" advise="1">
        <values>
          <value>
            <val>35.450000000000003</val>
          </value>
        </values>
      </ddeItem>
      <ddeItem name="9933.BidPrice" advise="1">
        <values>
          <value>
            <val>35.4</val>
          </value>
        </values>
      </ddeItem>
      <ddeItem name="9933.Change" advise="1">
        <values>
          <value>
            <val>0</val>
          </value>
        </values>
      </ddeItem>
      <ddeItem name="9933.ChangePercent" advise="1">
        <values>
          <value>
            <val>0</val>
          </value>
        </values>
      </ddeItem>
      <ddeItem name="9933.CumulativeVolume" advise="1">
        <values>
          <value>
            <val>664</val>
          </value>
        </values>
      </ddeItem>
      <ddeItem name="9933.Open" advise="1">
        <values>
          <value>
            <val>35.4</val>
          </value>
        </values>
      </ddeItem>
      <ddeItem name="9933.PreOpenPrice" advise="1">
        <values>
          <value>
            <val>35.4</val>
          </value>
        </values>
      </ddeItem>
      <ddeItem name="9933.PreviousPrice" advise="1">
        <values>
          <value>
            <val>35.4</val>
          </value>
        </values>
      </ddeItem>
      <ddeItem name="9933.PreviousVolume" advise="1">
        <values>
          <value>
            <val>889</val>
          </value>
        </values>
      </ddeItem>
      <ddeItem name="9933.Price" advise="1">
        <values>
          <value>
            <val>35.4</val>
          </value>
        </values>
      </ddeItem>
      <ddeItem name="9933.Volume" advise="1">
        <values>
          <value>
            <val>17</val>
          </value>
        </values>
      </ddeItem>
      <ddeItem name="9937.AskPrice" advise="1">
        <values>
          <value>
            <val>45.1</val>
          </value>
        </values>
      </ddeItem>
      <ddeItem name="9937.BidPrice" advise="1">
        <values>
          <value>
            <val>44.7</val>
          </value>
        </values>
      </ddeItem>
      <ddeItem name="9937.Change" advise="1">
        <values>
          <value>
            <val>0.2</val>
          </value>
        </values>
      </ddeItem>
      <ddeItem name="9937.ChangePercent" advise="1">
        <values>
          <value>
            <val>4.4000000000000003E-3</val>
          </value>
        </values>
      </ddeItem>
      <ddeItem name="9937.CumulativeVolume" advise="1">
        <values>
          <value>
            <val>1</val>
          </value>
        </values>
      </ddeItem>
      <ddeItem name="9937.Open" advise="1">
        <values>
          <value>
            <val>45.25</val>
          </value>
        </values>
      </ddeItem>
      <ddeItem name="9937.PreOpenPrice" advise="1"/>
      <ddeItem name="9937.PreviousPrice" advise="1">
        <values>
          <value>
            <val>45.05</val>
          </value>
        </values>
      </ddeItem>
      <ddeItem name="9937.PreviousVolume" advise="1">
        <values>
          <value>
            <val>39</val>
          </value>
        </values>
      </ddeItem>
      <ddeItem name="9937.Price" advise="1">
        <values>
          <value>
            <val>45.25</val>
          </value>
        </values>
      </ddeItem>
      <ddeItem name="9937.Volume" advise="1">
        <values>
          <value>
            <val>1</val>
          </value>
        </values>
      </ddeItem>
      <ddeItem name="9938.AskPrice" advise="1">
        <values>
          <value>
            <val>72.900000000000006</val>
          </value>
        </values>
      </ddeItem>
      <ddeItem name="9938.BidPrice" advise="1">
        <values>
          <value>
            <val>72.8</val>
          </value>
        </values>
      </ddeItem>
      <ddeItem name="9938.Change" advise="1">
        <values>
          <value>
            <val>2</val>
          </value>
        </values>
      </ddeItem>
      <ddeItem name="9938.ChangePercent" advise="1">
        <values>
          <value>
            <val>2.8199999999999999E-2</val>
          </value>
        </values>
      </ddeItem>
      <ddeItem name="9938.CumulativeVolume" advise="1">
        <values>
          <value>
            <val>8256</val>
          </value>
        </values>
      </ddeItem>
      <ddeItem name="9938.Open" advise="1">
        <values>
          <value>
            <val>71.2</val>
          </value>
        </values>
      </ddeItem>
      <ddeItem name="9938.PreOpenPrice" advise="1">
        <values>
          <value>
            <val>72.900000000000006</val>
          </value>
        </values>
      </ddeItem>
      <ddeItem name="9938.PreviousPrice" advise="1">
        <values>
          <value>
            <val>70.8</val>
          </value>
        </values>
      </ddeItem>
      <ddeItem name="9938.PreviousVolume" advise="1">
        <values>
          <value>
            <val>7390</val>
          </value>
        </values>
      </ddeItem>
      <ddeItem name="9938.Price" advise="1">
        <values>
          <value>
            <val>72.8</val>
          </value>
        </values>
      </ddeItem>
      <ddeItem name="9938.Volume" advise="1">
        <values>
          <value>
            <val>242</val>
          </value>
        </values>
      </ddeItem>
      <ddeItem name="9939.AskPrice" advise="1">
        <values>
          <value>
            <val>54.6</val>
          </value>
        </values>
      </ddeItem>
      <ddeItem name="9939.BidPrice" advise="1">
        <values>
          <value>
            <val>54.5</val>
          </value>
        </values>
      </ddeItem>
      <ddeItem name="9939.Change" advise="1">
        <values>
          <value>
            <val>0.2</val>
          </value>
        </values>
      </ddeItem>
      <ddeItem name="9939.ChangePercent" advise="1">
        <values>
          <value>
            <val>3.7000000000000002E-3</val>
          </value>
        </values>
      </ddeItem>
      <ddeItem name="9939.CumulativeVolume" advise="1">
        <values>
          <value>
            <val>1137</val>
          </value>
        </values>
      </ddeItem>
      <ddeItem name="9939.Open" advise="1">
        <values>
          <value>
            <val>54.8</val>
          </value>
        </values>
      </ddeItem>
      <ddeItem name="9939.PreOpenPrice" advise="1">
        <values>
          <value>
            <val>54.5</val>
          </value>
        </values>
      </ddeItem>
      <ddeItem name="9939.PreviousPrice" advise="1">
        <values>
          <value>
            <val>54.3</val>
          </value>
        </values>
      </ddeItem>
      <ddeItem name="9939.PreviousVolume" advise="1">
        <values>
          <value>
            <val>474</val>
          </value>
        </values>
      </ddeItem>
      <ddeItem name="9939.Price" advise="1">
        <values>
          <value>
            <val>54.5</val>
          </value>
        </values>
      </ddeItem>
      <ddeItem name="9939.Volume" advise="1">
        <values>
          <value>
            <val>54</val>
          </value>
        </values>
      </ddeItem>
      <ddeItem name="9940.AskPrice" advise="1">
        <values>
          <value>
            <val>30.15</val>
          </value>
        </values>
      </ddeItem>
      <ddeItem name="9940.BidPrice" advise="1">
        <values>
          <value>
            <val>30.05</val>
          </value>
        </values>
      </ddeItem>
      <ddeItem name="9940.Change" advise="1">
        <values>
          <value>
            <val>0.05</val>
          </value>
        </values>
      </ddeItem>
      <ddeItem name="9940.ChangePercent" advise="1">
        <values>
          <value>
            <val>1.6999999999999999E-3</val>
          </value>
        </values>
      </ddeItem>
      <ddeItem name="9940.CumulativeVolume" advise="1">
        <values>
          <value>
            <val>592</val>
          </value>
        </values>
      </ddeItem>
      <ddeItem name="9940.Open" advise="1">
        <values>
          <value>
            <val>30.3</val>
          </value>
        </values>
      </ddeItem>
      <ddeItem name="9940.PreOpenPrice" advise="1">
        <values>
          <value>
            <val>30.1</val>
          </value>
        </values>
      </ddeItem>
      <ddeItem name="9940.PreviousPrice" advise="1">
        <values>
          <value>
            <val>30.05</val>
          </value>
        </values>
      </ddeItem>
      <ddeItem name="9940.PreviousVolume" advise="1">
        <values>
          <value>
            <val>668</val>
          </value>
        </values>
      </ddeItem>
      <ddeItem name="9940.Price" advise="1">
        <values>
          <value>
            <val>30.1</val>
          </value>
        </values>
      </ddeItem>
      <ddeItem name="9940.Volume" advise="1">
        <values>
          <value>
            <val>16</val>
          </value>
        </values>
      </ddeItem>
      <ddeItem name="9941.AskPrice" advise="1">
        <values>
          <value>
            <val>109.5</val>
          </value>
        </values>
      </ddeItem>
      <ddeItem name="9941.BidPrice" advise="1">
        <values>
          <value>
            <val>109</val>
          </value>
        </values>
      </ddeItem>
      <ddeItem name="9941.Change" advise="1">
        <values>
          <value>
            <val>2</val>
          </value>
        </values>
      </ddeItem>
      <ddeItem name="9941.ChangePercent" advise="1">
        <values>
          <value>
            <val>1.8700000000000001E-2</val>
          </value>
        </values>
      </ddeItem>
      <ddeItem name="9941.CumulativeVolume" advise="1">
        <values>
          <value>
            <val>954</val>
          </value>
        </values>
      </ddeItem>
      <ddeItem name="9941.Open" advise="1">
        <values>
          <value>
            <val>108</val>
          </value>
        </values>
      </ddeItem>
      <ddeItem name="9941.PreOpenPrice" advise="1">
        <values>
          <value>
            <val>109</val>
          </value>
        </values>
      </ddeItem>
      <ddeItem name="9941.PreviousPrice" advise="1">
        <values>
          <value>
            <val>107</val>
          </value>
        </values>
      </ddeItem>
      <ddeItem name="9941.PreviousVolume" advise="1">
        <values>
          <value>
            <val>386</val>
          </value>
        </values>
      </ddeItem>
      <ddeItem name="9941.Price" advise="1">
        <values>
          <value>
            <val>109</val>
          </value>
        </values>
      </ddeItem>
      <ddeItem name="9941.Volume" advise="1">
        <values>
          <value>
            <val>36</val>
          </value>
        </values>
      </ddeItem>
      <ddeItem name="9945.AskPrice" advise="1">
        <values>
          <value>
            <val>52.8</val>
          </value>
        </values>
      </ddeItem>
      <ddeItem name="9945.BidPrice" advise="1">
        <values>
          <value>
            <val>52.7</val>
          </value>
        </values>
      </ddeItem>
      <ddeItem name="9945.Change" advise="1">
        <values>
          <value>
            <val>-0.6</val>
          </value>
        </values>
      </ddeItem>
      <ddeItem name="9945.ChangePercent" advise="1">
        <values>
          <value>
            <val>-1.1299999999999999E-2</val>
          </value>
        </values>
      </ddeItem>
      <ddeItem name="9945.CumulativeVolume" advise="1">
        <values>
          <value>
            <val>3734</val>
          </value>
        </values>
      </ddeItem>
      <ddeItem name="9945.Open" advise="1">
        <values>
          <value>
            <val>53.5</val>
          </value>
        </values>
      </ddeItem>
      <ddeItem name="9945.PreOpenPrice" advise="1">
        <values>
          <value>
            <val>52.6</val>
          </value>
        </values>
      </ddeItem>
      <ddeItem name="9945.PreviousPrice" advise="1">
        <values>
          <value>
            <val>53.3</val>
          </value>
        </values>
      </ddeItem>
      <ddeItem name="9945.PreviousVolume" advise="1">
        <values>
          <value>
            <val>2563</val>
          </value>
        </values>
      </ddeItem>
      <ddeItem name="9945.Price" advise="1">
        <values>
          <value>
            <val>52.7</val>
          </value>
        </values>
      </ddeItem>
      <ddeItem name="9945.Volume" advise="1">
        <values>
          <value>
            <val>308</val>
          </value>
        </values>
      </ddeItem>
      <ddeItem name="9958.AskPrice" advise="1">
        <values>
          <value>
            <val>99.2</val>
          </value>
        </values>
      </ddeItem>
      <ddeItem name="9958.BidPrice" advise="1">
        <values>
          <value>
            <val>99.1</val>
          </value>
        </values>
      </ddeItem>
      <ddeItem name="9958.Change" advise="1">
        <values>
          <value>
            <val>0.7</val>
          </value>
        </values>
      </ddeItem>
      <ddeItem name="9958.ChangePercent" advise="1">
        <values>
          <value>
            <val>7.1000000000000004E-3</val>
          </value>
        </values>
      </ddeItem>
      <ddeItem name="9958.CumulativeVolume" advise="1">
        <values>
          <value>
            <val>13440</val>
          </value>
        </values>
      </ddeItem>
      <ddeItem name="9958.Open" advise="1">
        <values>
          <value>
            <val>99.9</val>
          </value>
        </values>
      </ddeItem>
      <ddeItem name="9958.PreOpenPrice" advise="1">
        <values>
          <value>
            <val>99</val>
          </value>
        </values>
      </ddeItem>
      <ddeItem name="9958.PreviousPrice" advise="1">
        <values>
          <value>
            <val>98.4</val>
          </value>
        </values>
      </ddeItem>
      <ddeItem name="9958.PreviousVolume" advise="1">
        <values>
          <value>
            <val>26234</val>
          </value>
        </values>
      </ddeItem>
      <ddeItem name="9958.Price" advise="1">
        <values>
          <value>
            <val>99.1</val>
          </value>
        </values>
      </ddeItem>
      <ddeItem name="9958.Volume" advise="1">
        <values>
          <value>
            <val>402</val>
          </value>
        </values>
      </ddeItem>
      <ddeItem name="EXF1.PreviousPrice" advise="1">
        <values>
          <value>
            <val>617.79999999999995</val>
          </value>
        </values>
      </ddeItem>
      <ddeItem name="EXF1.Price" advise="1">
        <values>
          <value>
            <val>610.25</val>
          </value>
        </values>
      </ddeItem>
      <ddeItem name="FXF1.PreviousPrice" advise="1">
        <values>
          <value>
            <val>1259.4000000000001</val>
          </value>
        </values>
      </ddeItem>
      <ddeItem name="FXF1.Price" advise="1">
        <values>
          <value>
            <val>1252.4000000000001</val>
          </value>
        </values>
      </ddeItem>
      <ddeItem name="MXF1.PreviousPrice" advise="1">
        <values>
          <value>
            <val>12856</val>
          </value>
        </values>
      </ddeItem>
      <ddeItem name="MXF1.Price" advise="1">
        <values>
          <value>
            <val>12735</val>
          </value>
        </values>
      </ddeItem>
      <ddeItem name="StdDocumentName" ole="1" advise="1"/>
      <ddeItem name="Time" advise="1">
        <values>
          <value>
            <val>0.57045138888888891</val>
          </value>
        </values>
      </ddeItem>
      <ddeItem name="TXF1.PreviousPrice" advise="1">
        <values>
          <value>
            <val>12855</val>
          </value>
        </values>
      </ddeItem>
      <ddeItem name="TXF1.Price" advise="1">
        <values>
          <value>
            <val>12734</val>
          </value>
        </values>
      </ddeItem>
      <ddeItem name="XIF1.PreviousPrice" advise="1">
        <values>
          <value>
            <val>11826</val>
          </value>
        </values>
      </ddeItem>
      <ddeItem name="XIF1.Price" advise="1">
        <values>
          <value>
            <val>11799</val>
          </value>
        </values>
      </ddeItem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K323"/>
  <sheetViews>
    <sheetView tabSelected="1" zoomScale="75" zoomScaleNormal="75" workbookViewId="0"/>
  </sheetViews>
  <sheetFormatPr defaultRowHeight="16.5" x14ac:dyDescent="0.25"/>
  <cols>
    <col min="8" max="8" width="10" bestFit="1" customWidth="1"/>
    <col min="20" max="20" width="10.625" bestFit="1" customWidth="1"/>
    <col min="21" max="21" width="11.625" customWidth="1"/>
    <col min="22" max="22" width="10.625" customWidth="1"/>
    <col min="23" max="23" width="20.125" bestFit="1" customWidth="1"/>
    <col min="25" max="25" width="23.125" bestFit="1" customWidth="1"/>
    <col min="30" max="32" width="23.12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>
        <f>(LEFT(AF323,8)/39205781)*D2</f>
        <v>11838.554132769348</v>
      </c>
      <c r="X1" s="4">
        <f>(AF323/W1)/100</f>
        <v>30406221.178113002</v>
      </c>
      <c r="Y1" s="5">
        <f>AF323</f>
        <v>35996569539004.859</v>
      </c>
    </row>
    <row r="2" spans="1:25" x14ac:dyDescent="0.25">
      <c r="A2" s="2">
        <f>[1]!Time</f>
        <v>0.57045138888888891</v>
      </c>
      <c r="B2">
        <f>(B4*39205781)/LEFT(AD323,8)</f>
        <v>12893.999832158674</v>
      </c>
      <c r="C2">
        <f>W1</f>
        <v>11838.554132769348</v>
      </c>
      <c r="D2">
        <f>[1]!'$TWT.PreviousPrice'</f>
        <v>12894</v>
      </c>
      <c r="E2">
        <f>[1]!MXF1.PreviousPrice</f>
        <v>12856</v>
      </c>
      <c r="F2">
        <f>COUNTIF(L38:L322,"&lt;0")</f>
        <v>162</v>
      </c>
      <c r="G2">
        <f>COUNTIF(L38:L322,"=0")</f>
        <v>25</v>
      </c>
      <c r="H2">
        <f>COUNTIF(L38:L322,"&gt;0")</f>
        <v>98</v>
      </c>
      <c r="I2">
        <f>COUNTIF(C38:C322,"down")</f>
        <v>21</v>
      </c>
      <c r="J2">
        <f>COUNTIF(C38:C322,"low")</f>
        <v>12</v>
      </c>
      <c r="K2">
        <f>COUNTIF(C38:C322,"high")</f>
        <v>24</v>
      </c>
      <c r="L2">
        <f>COUNTIF(C38:C322,"up")</f>
        <v>38</v>
      </c>
      <c r="M2">
        <f>[1]!TXF1.PreviousPrice</f>
        <v>12855</v>
      </c>
      <c r="N2">
        <f>[1]!EXF1.PreviousPrice</f>
        <v>617.79999999999995</v>
      </c>
      <c r="O2">
        <f>[1]!FXF1.PreviousPrice</f>
        <v>1259.4000000000001</v>
      </c>
      <c r="P2">
        <f>[1]!XIF1.PreviousPrice</f>
        <v>11826</v>
      </c>
      <c r="Q2">
        <f>W2</f>
        <v>7437.7497309389146</v>
      </c>
      <c r="R2">
        <f>W3</f>
        <v>1267.5291135763882</v>
      </c>
      <c r="S2">
        <f>W4</f>
        <v>3133.2749593739759</v>
      </c>
      <c r="T2">
        <f t="array" ref="T2">INDEX(A38:A322,MATCH(MAX(IF(ISNUMBER(L38:L322),L38:L322,0)),L38:L322,0))</f>
        <v>1590</v>
      </c>
      <c r="U2">
        <f t="array" ref="U2">INDEX(A38:A322,MATCH(MAX(IF(ISNUMBER(Q38:Q322),Q38:Q322,0)),Q38:Q322,0))</f>
        <v>2303</v>
      </c>
      <c r="V2">
        <f t="array" ref="V2">INDEX(A38:A322,MATCH(MAX(IF(ISNUMBER(R38:R322),R38:R322,0)),R38:R322,0))</f>
        <v>2303</v>
      </c>
      <c r="W2">
        <f>(LEFT(Y2,8)/39205781)*D2</f>
        <v>7437.7497309389146</v>
      </c>
      <c r="X2" s="4">
        <f>Y2/W2</f>
        <v>3040622114.0600061</v>
      </c>
      <c r="Y2" s="5">
        <f t="array" ref="Y2">SUM(IF(ISNUMBER(AF38:AF137),AF38:AF137))</f>
        <v>22615386310736.723</v>
      </c>
    </row>
    <row r="3" spans="1:25" x14ac:dyDescent="0.25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28</v>
      </c>
      <c r="H3" t="s">
        <v>29</v>
      </c>
      <c r="I3" t="s">
        <v>30</v>
      </c>
      <c r="J3" t="s">
        <v>31</v>
      </c>
      <c r="K3" t="s">
        <v>32</v>
      </c>
      <c r="L3" t="s">
        <v>33</v>
      </c>
      <c r="M3" t="s">
        <v>34</v>
      </c>
      <c r="N3" t="s">
        <v>35</v>
      </c>
      <c r="O3" t="s">
        <v>36</v>
      </c>
      <c r="P3" t="s">
        <v>37</v>
      </c>
      <c r="Q3" t="s">
        <v>38</v>
      </c>
      <c r="R3" t="s">
        <v>39</v>
      </c>
      <c r="S3" t="s">
        <v>40</v>
      </c>
      <c r="T3" t="s">
        <v>41</v>
      </c>
      <c r="U3" t="s">
        <v>41</v>
      </c>
      <c r="V3" t="s">
        <v>41</v>
      </c>
      <c r="W3">
        <f>(LEFT(Y3,7)/39205781)*D2</f>
        <v>1267.5291135763882</v>
      </c>
      <c r="X3" s="4">
        <f>Y3/W3</f>
        <v>3040622590.0565338</v>
      </c>
      <c r="Y3" s="5">
        <f t="array" ref="Y3">SUM(IF(ISNUMBER(AF138:AF172),AF138:AF172))</f>
        <v>3854077656294.7002</v>
      </c>
    </row>
    <row r="4" spans="1:25" x14ac:dyDescent="0.25">
      <c r="A4" s="1">
        <v>44053</v>
      </c>
      <c r="B4">
        <f>((AD323/X1)*100)/10000</f>
        <v>11728.606741653706</v>
      </c>
      <c r="C4">
        <f>((AE323/X1)*100)/10000</f>
        <v>11728.562477574274</v>
      </c>
      <c r="D4">
        <f>[1]!'$TWT.Price'</f>
        <v>12780.19</v>
      </c>
      <c r="E4">
        <f>[1]!MXF1.Price</f>
        <v>12735</v>
      </c>
      <c r="F4">
        <f>COUNTIF(F38:F322,"PVP-up")</f>
        <v>99</v>
      </c>
      <c r="G4">
        <f>COUNTIF(F38:F322,"PVP-down")</f>
        <v>169</v>
      </c>
      <c r="H4">
        <f>COUNTIF(G38:G322,"PVV-up")</f>
        <v>276</v>
      </c>
      <c r="I4">
        <f>COUNTIF(D38:D322,"down")</f>
        <v>21</v>
      </c>
      <c r="J4">
        <f>COUNTIF(D38:D322,"low")</f>
        <v>12</v>
      </c>
      <c r="K4">
        <f>COUNTIF(D38:D322,"high")</f>
        <v>24</v>
      </c>
      <c r="L4">
        <f>COUNTIF(D38:D322,"up")</f>
        <v>38</v>
      </c>
      <c r="M4">
        <f>[1]!TXF1.Price</f>
        <v>12734</v>
      </c>
      <c r="N4">
        <f>[1]!EXF1.Price</f>
        <v>610.25</v>
      </c>
      <c r="O4">
        <f>[1]!FXF1.Price</f>
        <v>1252.4000000000001</v>
      </c>
      <c r="P4">
        <f>[1]!XIF1.Price</f>
        <v>11799</v>
      </c>
      <c r="Q4">
        <f t="array" ref="Q4">SUM(IF(ISNUMBER(AE38:AE137),AE38:AE137))/X2</f>
        <v>7349.5044188065531</v>
      </c>
      <c r="R4">
        <f t="array" ref="R4">SUM(IF(ISNUMBER(AE138:AE172),AE138:AE172))/X3</f>
        <v>1261.2329488179089</v>
      </c>
      <c r="S4">
        <f t="array" ref="S4">SUM(IF(ISNUMBER(AE173:AE322),AE173:AE322))/X4</f>
        <v>3117.8247826349584</v>
      </c>
      <c r="T4" t="s">
        <v>41</v>
      </c>
      <c r="U4" t="s">
        <v>41</v>
      </c>
      <c r="V4" t="s">
        <v>41</v>
      </c>
      <c r="W4">
        <f>(LEFT(Y4,7)/39205781)*D2</f>
        <v>3133.2749593739759</v>
      </c>
      <c r="X4" s="4">
        <f>Y4/W4</f>
        <v>3040622254.8298039</v>
      </c>
      <c r="Y4" s="5">
        <f t="array" ref="Y4">SUM(IF(ISNUMBER(AF173:AF322),AF173:AF322))</f>
        <v>9527105571973.4609</v>
      </c>
    </row>
    <row r="5" spans="1:25" x14ac:dyDescent="0.25">
      <c r="A5" t="s">
        <v>42</v>
      </c>
      <c r="B5" t="s">
        <v>43</v>
      </c>
      <c r="C5" t="s">
        <v>42</v>
      </c>
      <c r="D5" t="s">
        <v>43</v>
      </c>
      <c r="E5" t="s">
        <v>44</v>
      </c>
      <c r="F5" t="s">
        <v>45</v>
      </c>
      <c r="G5" t="s">
        <v>46</v>
      </c>
      <c r="H5" t="s">
        <v>47</v>
      </c>
      <c r="I5" t="s">
        <v>48</v>
      </c>
      <c r="J5" t="s">
        <v>49</v>
      </c>
      <c r="K5" t="s">
        <v>50</v>
      </c>
      <c r="L5" t="s">
        <v>51</v>
      </c>
      <c r="M5" t="s">
        <v>52</v>
      </c>
      <c r="N5" t="s">
        <v>53</v>
      </c>
      <c r="O5" t="s">
        <v>54</v>
      </c>
      <c r="P5" t="s">
        <v>55</v>
      </c>
      <c r="Q5" t="s">
        <v>56</v>
      </c>
      <c r="R5" t="s">
        <v>57</v>
      </c>
      <c r="S5" t="s">
        <v>58</v>
      </c>
      <c r="T5" t="s">
        <v>59</v>
      </c>
      <c r="U5" t="s">
        <v>60</v>
      </c>
      <c r="V5" t="s">
        <v>61</v>
      </c>
      <c r="W5">
        <f>SUM(W2:W4)</f>
        <v>11838.553803889277</v>
      </c>
    </row>
    <row r="6" spans="1:25" x14ac:dyDescent="0.25">
      <c r="A6">
        <f t="array" ref="A6">SUM(IF(ISNUMBER(U38:U322),U38:U322))</f>
        <v>-88.287544775658574</v>
      </c>
      <c r="B6">
        <f t="array" ref="B6">SUM(IF(ISNUMBER(AA38:AA322),AA38:AA322))</f>
        <v>-104.86214568870344</v>
      </c>
      <c r="C6">
        <f>C4-C2</f>
        <v>-109.99165519507369</v>
      </c>
      <c r="D6">
        <f>D4-D2</f>
        <v>-113.80999999999949</v>
      </c>
      <c r="E6">
        <f>E4-E2</f>
        <v>-121</v>
      </c>
      <c r="F6">
        <f>W323/V323</f>
        <v>0.26202028478056527</v>
      </c>
      <c r="G6">
        <f>COUNTIF(V38:V322,"&gt;0")</f>
        <v>191</v>
      </c>
      <c r="H6">
        <f>COUNTIF(W38:W322,"&gt;0")</f>
        <v>87</v>
      </c>
      <c r="I6">
        <f>COUNTIF(E38:E322,"down")</f>
        <v>8</v>
      </c>
      <c r="J6">
        <f>COUNTIF(E38:E322,"low")</f>
        <v>4</v>
      </c>
      <c r="K6">
        <f>COUNTIF(E38:E322,"high")</f>
        <v>15</v>
      </c>
      <c r="L6">
        <f>COUNTIF(E38:E322,"up")</f>
        <v>28</v>
      </c>
      <c r="M6">
        <f t="shared" ref="M6:S6" si="0">M4-M2</f>
        <v>-121</v>
      </c>
      <c r="N6">
        <f t="shared" si="0"/>
        <v>-7.5499999999999545</v>
      </c>
      <c r="O6">
        <f t="shared" si="0"/>
        <v>-7</v>
      </c>
      <c r="P6">
        <f t="shared" si="0"/>
        <v>-27</v>
      </c>
      <c r="Q6">
        <f t="shared" si="0"/>
        <v>-88.245312132361505</v>
      </c>
      <c r="R6">
        <f t="shared" si="0"/>
        <v>-6.2961647584793354</v>
      </c>
      <c r="S6">
        <f t="shared" si="0"/>
        <v>-15.450176739017479</v>
      </c>
      <c r="T6">
        <f>SUM(Q6,R6,S6)</f>
        <v>-109.99165362985832</v>
      </c>
      <c r="U6">
        <f>B4-C2</f>
        <v>-109.94739111564195</v>
      </c>
      <c r="V6" s="4">
        <f>D2+U6</f>
        <v>12784.052608884358</v>
      </c>
    </row>
    <row r="7" spans="1:25" x14ac:dyDescent="0.25">
      <c r="A7" t="s">
        <v>62</v>
      </c>
      <c r="B7" t="s">
        <v>63</v>
      </c>
      <c r="C7" t="s">
        <v>64</v>
      </c>
      <c r="D7" t="s">
        <v>41</v>
      </c>
      <c r="E7" t="s">
        <v>65</v>
      </c>
      <c r="F7" t="s">
        <v>63</v>
      </c>
      <c r="G7" t="s">
        <v>64</v>
      </c>
      <c r="H7" t="s">
        <v>41</v>
      </c>
      <c r="I7" t="s">
        <v>66</v>
      </c>
      <c r="J7" t="s">
        <v>63</v>
      </c>
      <c r="K7" t="s">
        <v>64</v>
      </c>
      <c r="L7" t="s">
        <v>41</v>
      </c>
      <c r="M7" t="s">
        <v>67</v>
      </c>
      <c r="N7" t="s">
        <v>63</v>
      </c>
      <c r="O7" t="s">
        <v>64</v>
      </c>
    </row>
    <row r="8" spans="1:25" x14ac:dyDescent="0.25">
      <c r="A8" t="s">
        <v>68</v>
      </c>
      <c r="B8">
        <f>COUNTIF(AK38:AK322,"up")</f>
        <v>212</v>
      </c>
      <c r="C8">
        <f>COUNTIF(AK38:AK322,"down")</f>
        <v>69</v>
      </c>
      <c r="D8" t="s">
        <v>41</v>
      </c>
      <c r="E8" t="s">
        <v>68</v>
      </c>
      <c r="F8">
        <f>COUNTIF(AK38:AK137,"up")</f>
        <v>84</v>
      </c>
      <c r="G8">
        <f>COUNTIF(AK38:AK137,"down")</f>
        <v>16</v>
      </c>
      <c r="H8" t="s">
        <v>41</v>
      </c>
      <c r="I8" t="s">
        <v>68</v>
      </c>
      <c r="J8">
        <f>COUNTIF(AK138:AK172,"up")</f>
        <v>21</v>
      </c>
      <c r="K8">
        <f>COUNTIF(AK138:AK172,"down")</f>
        <v>14</v>
      </c>
      <c r="L8" t="s">
        <v>41</v>
      </c>
      <c r="M8" t="s">
        <v>68</v>
      </c>
      <c r="N8">
        <f>COUNTIF(AK173:AK322,"up")</f>
        <v>107</v>
      </c>
      <c r="O8">
        <f>COUNTIF(AK173:AK322,"down")</f>
        <v>39</v>
      </c>
    </row>
    <row r="9" spans="1:25" x14ac:dyDescent="0.25">
      <c r="A9" t="s">
        <v>62</v>
      </c>
      <c r="B9">
        <f>SUMIF(U38:U322,"&gt;0")</f>
        <v>18.924608838422099</v>
      </c>
      <c r="C9">
        <f>SUMIF(U38:U322,"&lt;0")</f>
        <v>-107.21215361408066</v>
      </c>
      <c r="D9">
        <f t="array" ref="D9">SUM(IF(ISNUMBER(U38:U322),U38:U322))</f>
        <v>-88.287544775658574</v>
      </c>
      <c r="E9" t="s">
        <v>41</v>
      </c>
      <c r="F9" t="s">
        <v>65</v>
      </c>
      <c r="G9">
        <f>SUMIF(U38:U137,"&gt;0")</f>
        <v>8.7266464074667915</v>
      </c>
      <c r="H9">
        <f>SUMIF(U38:U137,"&lt;0")</f>
        <v>-76.442550762978144</v>
      </c>
      <c r="I9">
        <f t="array" ref="I9">SUM(IF(ISNUMBER(U38:U137),U38:U137))</f>
        <v>-67.715904355511313</v>
      </c>
      <c r="J9" t="s">
        <v>41</v>
      </c>
      <c r="K9" t="s">
        <v>66</v>
      </c>
      <c r="L9">
        <f>SUMIF(U138:U172,"&gt;0")</f>
        <v>0.51077164337743552</v>
      </c>
      <c r="M9">
        <f>SUMIF(U138:U172,"&lt;0")</f>
        <v>-7.4593687210573023</v>
      </c>
      <c r="N9">
        <f t="array" ref="N9">SUM(IF(ISNUMBER(U138:U172),U138:U172))</f>
        <v>-6.9485970776798656</v>
      </c>
      <c r="O9" t="s">
        <v>41</v>
      </c>
      <c r="P9" t="s">
        <v>67</v>
      </c>
      <c r="Q9">
        <f>SUMIF(U173:U322,"&gt;0")</f>
        <v>9.6871907875778742</v>
      </c>
      <c r="R9">
        <f>SUMIF(U173:U322,"&lt;0")</f>
        <v>-23.310234130045192</v>
      </c>
      <c r="S9">
        <f t="array" ref="S9">SUM(IF(ISNUMBER(U173:U322),U173:U322))</f>
        <v>-13.623043342467319</v>
      </c>
    </row>
    <row r="10" spans="1:25" x14ac:dyDescent="0.25">
      <c r="A10" t="s">
        <v>69</v>
      </c>
      <c r="B10" t="s">
        <v>69</v>
      </c>
      <c r="C10" t="s">
        <v>70</v>
      </c>
      <c r="D10" t="s">
        <v>70</v>
      </c>
      <c r="E10" t="s">
        <v>71</v>
      </c>
      <c r="F10" t="s">
        <v>71</v>
      </c>
      <c r="G10" t="s">
        <v>72</v>
      </c>
      <c r="H10" t="s">
        <v>72</v>
      </c>
      <c r="I10" t="s">
        <v>73</v>
      </c>
      <c r="J10" t="s">
        <v>73</v>
      </c>
      <c r="K10" t="s">
        <v>74</v>
      </c>
      <c r="L10" t="s">
        <v>74</v>
      </c>
      <c r="M10" t="s">
        <v>75</v>
      </c>
      <c r="N10" t="s">
        <v>75</v>
      </c>
      <c r="O10" t="s">
        <v>76</v>
      </c>
      <c r="P10" t="s">
        <v>76</v>
      </c>
      <c r="Q10" t="s">
        <v>77</v>
      </c>
      <c r="R10" t="s">
        <v>77</v>
      </c>
      <c r="S10" t="s">
        <v>78</v>
      </c>
      <c r="T10" t="s">
        <v>78</v>
      </c>
    </row>
    <row r="11" spans="1:25" x14ac:dyDescent="0.25">
      <c r="A11">
        <f>INDEX(U38:U322,MATCH("DBM10-50",AG38:AG322,0))</f>
        <v>-0.9743606098755635</v>
      </c>
      <c r="B11">
        <f>COUNTIF(AG38:AG322,"DBM10-50")</f>
        <v>19</v>
      </c>
      <c r="C11">
        <f>INDEX(U38:U322,MATCH("DBM50",AG38:AG322,0))</f>
        <v>-1.9032698488970197</v>
      </c>
      <c r="D11">
        <f>COUNTIF(AG38:AG322,"DBM50")</f>
        <v>19</v>
      </c>
      <c r="E11">
        <f>INDEX(U38:U322,MATCH("DBM100",AG38:AG322,0))</f>
        <v>-0.24199908156919633</v>
      </c>
      <c r="F11">
        <f>COUNTIF(AG38:AG322,"DBM100")</f>
        <v>9</v>
      </c>
      <c r="G11">
        <f>INDEX(U38:U322,MATCH("DBM150",AG38:AG322,0))</f>
        <v>-3.329987967083162</v>
      </c>
      <c r="H11">
        <f>COUNTIF(AG38:AG322,"DBM150")</f>
        <v>8</v>
      </c>
      <c r="I11">
        <f>INDEX(U38:U322,MATCH("DBM200",AG38:AG322,0))</f>
        <v>-27.684313811393917</v>
      </c>
      <c r="J11">
        <f>COUNTIF(AG38:AG322,"DBM200")</f>
        <v>58</v>
      </c>
      <c r="K11">
        <f>INDEX(U38:U322,MATCH("UBM10-50",AJ38:AJ322,0))</f>
        <v>-0.22405422031832203</v>
      </c>
      <c r="L11">
        <f>COUNTIF(AJ38:AJ322,"UBM10-50")</f>
        <v>9</v>
      </c>
      <c r="M11">
        <f>INDEX(U38:U322,MATCH("UBM50",AJ38:AJ322,0))</f>
        <v>5.7455172301765292E-2</v>
      </c>
      <c r="N11">
        <f>COUNTIF(AJ38:AJ322,"UBM50")</f>
        <v>7</v>
      </c>
      <c r="O11">
        <f>INDEX(U38:U322,MATCH("UBM100",AJ38:AJ322,0))</f>
        <v>0.7610699258965673</v>
      </c>
      <c r="P11">
        <f>COUNTIF(AJ38:AJ322,"UBM100")</f>
        <v>6</v>
      </c>
      <c r="Q11">
        <f>INDEX(U38:U322,MATCH("UBM150",AJ38:AJ322,0))</f>
        <v>0.14199523187468177</v>
      </c>
      <c r="R11">
        <f>COUNTIF(AJ38:AJ322,"UBM150")</f>
        <v>3</v>
      </c>
      <c r="S11">
        <f>INDEX(U38:U322,MATCH("UBM200",AJ38:AJ322,0))</f>
        <v>-8.8342829059788117E-2</v>
      </c>
      <c r="T11">
        <f>COUNTIF(AJ38:AJ322,"UBM200")</f>
        <v>20</v>
      </c>
    </row>
    <row r="12" spans="1:25" x14ac:dyDescent="0.25">
      <c r="A12" t="s">
        <v>79</v>
      </c>
      <c r="B12" t="s">
        <v>79</v>
      </c>
      <c r="C12" t="s">
        <v>80</v>
      </c>
      <c r="D12" t="s">
        <v>80</v>
      </c>
      <c r="E12" t="s">
        <v>81</v>
      </c>
      <c r="F12" t="s">
        <v>81</v>
      </c>
      <c r="G12" t="s">
        <v>82</v>
      </c>
      <c r="H12" t="s">
        <v>82</v>
      </c>
      <c r="I12" t="s">
        <v>83</v>
      </c>
      <c r="J12" t="s">
        <v>83</v>
      </c>
      <c r="K12" t="s">
        <v>84</v>
      </c>
      <c r="L12" t="s">
        <v>84</v>
      </c>
      <c r="M12" t="s">
        <v>85</v>
      </c>
      <c r="N12" t="s">
        <v>85</v>
      </c>
      <c r="O12" t="s">
        <v>86</v>
      </c>
      <c r="P12" t="s">
        <v>86</v>
      </c>
      <c r="Q12" t="s">
        <v>87</v>
      </c>
      <c r="R12" t="s">
        <v>87</v>
      </c>
      <c r="S12" t="s">
        <v>88</v>
      </c>
      <c r="T12" t="s">
        <v>88</v>
      </c>
    </row>
    <row r="13" spans="1:25" x14ac:dyDescent="0.25">
      <c r="A13">
        <f>INDEX(U38:U322,MATCH("DAM10-50",AH38:AH322,0))</f>
        <v>-1.0375152071128664</v>
      </c>
      <c r="B13">
        <f>COUNTIF(AH38:AH322,"DAM10-50")</f>
        <v>5</v>
      </c>
      <c r="C13">
        <f>INDEX(U38:U322,MATCH("DAM50",AH38:AH322,0))</f>
        <v>-0.43258031565011229</v>
      </c>
      <c r="D13">
        <f>COUNTIF(AH38:AH322,"DAM50")</f>
        <v>5</v>
      </c>
      <c r="E13">
        <f>INDEX(U38:U322,MATCH("DAM100",AH38:AH322,0))</f>
        <v>-0.61168701920411495</v>
      </c>
      <c r="F13">
        <f>COUNTIF(AH38:AH322,"DAM100")</f>
        <v>4</v>
      </c>
      <c r="G13">
        <f>INDEX(U38:U322,MATCH("DAM150",AH38:AH322,0))</f>
        <v>-0.16388160234509219</v>
      </c>
      <c r="H13">
        <f>COUNTIF(AH38:AH322,"DAM150")</f>
        <v>1</v>
      </c>
      <c r="I13">
        <f>INDEX(U38:U322,MATCH("DAM200",AH38:AH322,0))</f>
        <v>-4.9824689806110225</v>
      </c>
      <c r="J13">
        <f>COUNTIF(AH38:AH322,"DAM200")</f>
        <v>16</v>
      </c>
      <c r="K13">
        <f>INDEX(U38:U322,MATCH("UAM10-50",AI38:AI322,0))</f>
        <v>2.68752006031324E-2</v>
      </c>
      <c r="L13">
        <f>COUNTIF(AI38:AI322,"UAM10-50")</f>
        <v>7</v>
      </c>
      <c r="M13">
        <f>INDEX(U38:U322,MATCH("UAM50",AI38:AI322,0))</f>
        <v>0</v>
      </c>
      <c r="N13">
        <f>COUNTIF(AI38:AI322,"UAM50")</f>
        <v>8</v>
      </c>
      <c r="O13">
        <f>INDEX(U38:U322,MATCH("UAM100",AI38:AI322,0))</f>
        <v>2.4052725776146075E-2</v>
      </c>
      <c r="P13">
        <f>COUNTIF(AI38:AI322,"UAM100")</f>
        <v>6</v>
      </c>
      <c r="Q13">
        <f>INDEX(U38:U322,MATCH("UAM150",AI38:AI322,0))</f>
        <v>0.2233136920339418</v>
      </c>
      <c r="R13">
        <f>COUNTIF(AI38:AI322,"UAM150")</f>
        <v>2</v>
      </c>
      <c r="S13">
        <f>INDEX(U38:U322,MATCH("UAM200",AI38:AI322,0))</f>
        <v>0.27553195943232883</v>
      </c>
      <c r="T13">
        <f>COUNTIF(AI38:AI322,"UAM200")</f>
        <v>15</v>
      </c>
    </row>
    <row r="14" spans="1:25" x14ac:dyDescent="0.25">
      <c r="A14" t="s">
        <v>89</v>
      </c>
      <c r="B14" t="s">
        <v>90</v>
      </c>
      <c r="C14" t="s">
        <v>91</v>
      </c>
      <c r="D14" t="s">
        <v>92</v>
      </c>
      <c r="E14" t="s">
        <v>93</v>
      </c>
      <c r="F14" t="s">
        <v>94</v>
      </c>
      <c r="G14" t="s">
        <v>95</v>
      </c>
      <c r="H14" t="s">
        <v>96</v>
      </c>
      <c r="I14" t="s">
        <v>97</v>
      </c>
      <c r="J14" t="s">
        <v>98</v>
      </c>
      <c r="K14" t="s">
        <v>99</v>
      </c>
      <c r="L14" t="s">
        <v>100</v>
      </c>
      <c r="M14" t="s">
        <v>101</v>
      </c>
      <c r="N14" t="s">
        <v>102</v>
      </c>
      <c r="O14" t="s">
        <v>103</v>
      </c>
      <c r="P14" t="s">
        <v>104</v>
      </c>
      <c r="Q14" t="s">
        <v>105</v>
      </c>
      <c r="R14" t="s">
        <v>106</v>
      </c>
      <c r="S14" t="s">
        <v>107</v>
      </c>
      <c r="T14" t="s">
        <v>108</v>
      </c>
    </row>
    <row r="15" spans="1:25" x14ac:dyDescent="0.25">
      <c r="A15">
        <f t="array" ref="A15">INDEX(A38:A322,MATCH(MAX(IF(ISNUMBER(U38:U322),U38:U322,0)),U38:U322,0))</f>
        <v>3037</v>
      </c>
      <c r="B15">
        <f t="array" ref="B15">MAX(IF(ISNUMBER(U38:U322),U38:U322,0))</f>
        <v>2.3278856353957913</v>
      </c>
      <c r="C15">
        <f t="array" ref="C15">INDEX(A38:A322,MATCH(LARGE(IF(ISNUMBER(U38:U322),U38:U322),2),U38:U322,0))</f>
        <v>1590</v>
      </c>
      <c r="D15">
        <f t="array" ref="D15">LARGE(IF(ISNUMBER(U38:U322),U38:U322),2)</f>
        <v>1.8329197537866386</v>
      </c>
      <c r="E15">
        <f t="array" ref="E15">INDEX(A38:A322,MATCH(LARGE(IF(ISNUMBER(U38:U322),U38:U322),3),U38:U322,0))</f>
        <v>2408</v>
      </c>
      <c r="F15">
        <f t="array" ref="F15">LARGE(IF(ISNUMBER(U38:U322),U38:U322),3)</f>
        <v>1.3513481069954516</v>
      </c>
      <c r="G15">
        <f t="array" ref="G15">INDEX(A38:A322,MATCH(LARGE(IF(ISNUMBER(U38:U322),U38:U322),4),U38:U322,0))</f>
        <v>2105</v>
      </c>
      <c r="H15">
        <f t="array" ref="H15">LARGE(IF(ISNUMBER(U38:U322),U38:U322),4)</f>
        <v>1.1329067176406129</v>
      </c>
      <c r="I15">
        <f t="array" ref="I15">INDEX(A38:A322,MATCH(LARGE(IF(ISNUMBER(U38:U322),U38:U322),5),U38:U322,0))</f>
        <v>1476</v>
      </c>
      <c r="J15">
        <f t="array" ref="J15">LARGE(IF(ISNUMBER(U38:U322),U38:U322),5)</f>
        <v>1.0097484398996472</v>
      </c>
      <c r="K15">
        <f t="array" ref="K15">INDEX(A38:A322,MATCH(MIN(IF(ISNUMBER(U38:U322),U38:U322,0)),U38:U322,0))</f>
        <v>2330</v>
      </c>
      <c r="L15">
        <f t="array" ref="L15">MIN(IF(ISNUMBER(U38:U322),U38:U322,0))</f>
        <v>-27.684313811393917</v>
      </c>
      <c r="M15">
        <f t="array" ref="M15">INDEX(A38:A322,MATCH(SMALL(IF(ISNUMBER(U38:U322),U38:U322),2),U38:U322,0))</f>
        <v>2317</v>
      </c>
      <c r="N15">
        <f t="array" ref="N15">SMALL(IF(ISNUMBER(U38:U322),U38:U322),2)</f>
        <v>-5.8733532496933227</v>
      </c>
      <c r="O15">
        <f t="array" ref="O15">INDEX(A38:A322,MATCH(SMALL(IF(ISNUMBER(U38:U322),U38:U322),3),U38:U322,0))</f>
        <v>2308</v>
      </c>
      <c r="P15">
        <f t="array" ref="P15">SMALL(IF(ISNUMBER(U38:U322),U38:U322),3)</f>
        <v>-4.9824689806110225</v>
      </c>
      <c r="Q15">
        <f t="array" ref="Q15">INDEX(A38:A322,MATCH(SMALL(IF(ISNUMBER(U38:U322),U38:U322),4),U38:U322,0))</f>
        <v>6669</v>
      </c>
      <c r="R15">
        <f t="array" ref="R15">SMALL(IF(ISNUMBER(U38:U322),U38:U322),4)</f>
        <v>-3.329987967083162</v>
      </c>
      <c r="S15">
        <f t="array" ref="S15">INDEX(A38:A322,MATCH(SMALL(IF(ISNUMBER(U38:U322),U38:U322),5),U38:U322,0))</f>
        <v>2207</v>
      </c>
      <c r="T15">
        <f t="array" ref="T15">SMALL(IF(ISNUMBER(U38:U322),U38:U322),5)</f>
        <v>-3.056724758786133</v>
      </c>
    </row>
    <row r="16" spans="1:25" x14ac:dyDescent="0.25">
      <c r="A16" t="s">
        <v>65</v>
      </c>
      <c r="B16">
        <f>SUMIF(U38:U137,"&gt;0")</f>
        <v>8.7266464074667915</v>
      </c>
      <c r="C16">
        <f>SUMIF(U38:U137,"&lt;0")</f>
        <v>-76.442550762978144</v>
      </c>
      <c r="D16">
        <f t="array" ref="D16">SUM(IF(ISNUMBER(U38:U137),U38:U137))</f>
        <v>-67.715904355511313</v>
      </c>
    </row>
    <row r="17" spans="1:20" x14ac:dyDescent="0.25">
      <c r="A17" t="s">
        <v>69</v>
      </c>
      <c r="B17" t="s">
        <v>69</v>
      </c>
      <c r="C17" t="s">
        <v>70</v>
      </c>
      <c r="D17" t="s">
        <v>70</v>
      </c>
      <c r="E17" t="s">
        <v>71</v>
      </c>
      <c r="F17" t="s">
        <v>71</v>
      </c>
      <c r="G17" t="s">
        <v>72</v>
      </c>
      <c r="H17" t="s">
        <v>72</v>
      </c>
      <c r="I17" t="s">
        <v>73</v>
      </c>
      <c r="J17" t="s">
        <v>73</v>
      </c>
      <c r="K17" t="s">
        <v>74</v>
      </c>
      <c r="L17" t="s">
        <v>74</v>
      </c>
      <c r="M17" t="s">
        <v>75</v>
      </c>
      <c r="N17" t="s">
        <v>75</v>
      </c>
      <c r="O17" t="s">
        <v>76</v>
      </c>
      <c r="P17" t="s">
        <v>76</v>
      </c>
      <c r="Q17" t="s">
        <v>77</v>
      </c>
      <c r="R17" t="s">
        <v>77</v>
      </c>
      <c r="S17" t="s">
        <v>78</v>
      </c>
      <c r="T17" t="s">
        <v>78</v>
      </c>
    </row>
    <row r="18" spans="1:20" x14ac:dyDescent="0.25">
      <c r="A18">
        <f>INDEX(U38:U137,MATCH("DBM10-50",AG38:AG137,0))</f>
        <v>-0.9743606098755635</v>
      </c>
      <c r="B18">
        <f>COUNTIF(AG38:AG137,"DBM10-50")</f>
        <v>7</v>
      </c>
      <c r="C18">
        <f>INDEX(U38:U137,MATCH("DBM50",AG38:AG137,0))</f>
        <v>-1.9032698488970197</v>
      </c>
      <c r="D18">
        <f>COUNTIF(AG38:AG137,"DBM50")</f>
        <v>4</v>
      </c>
      <c r="E18">
        <f>INDEX(U38:U137,MATCH("DBM100",AG38:AG137,0))</f>
        <v>-0.24199908156919633</v>
      </c>
      <c r="F18">
        <f>COUNTIF(AG38:AG137,"DBM100")</f>
        <v>4</v>
      </c>
      <c r="G18">
        <f>INDEX(U38:U137,MATCH("DBM150",AG38:AG137,0))</f>
        <v>-3.329987967083162</v>
      </c>
      <c r="H18">
        <f>COUNTIF(AG38:AG137,"DBM150")</f>
        <v>3</v>
      </c>
      <c r="I18">
        <f>INDEX(U38:U137,MATCH("DBM200",AG38:AG137,0))</f>
        <v>-27.684313811393917</v>
      </c>
      <c r="J18">
        <f>COUNTIF(AG38:AG137,"DBM200")</f>
        <v>28</v>
      </c>
      <c r="K18">
        <f>INDEX(U38:U137,MATCH("UBM10-50",AJ38:AJ137,0))</f>
        <v>-0.22405422031832203</v>
      </c>
      <c r="L18">
        <f>COUNTIF(AJ38:AJ137,"UBM10-50")</f>
        <v>1</v>
      </c>
      <c r="M18">
        <f>INDEX(U38:U137,MATCH("UBM50",AJ38:AJ137,0))</f>
        <v>5.7455172301765292E-2</v>
      </c>
      <c r="N18">
        <f>COUNTIF(AJ38:AJ137,"UBM50")</f>
        <v>3</v>
      </c>
      <c r="O18">
        <f>INDEX(U38:U137,MATCH("UBM100",AJ38:AJ137,0))</f>
        <v>0.7610699258965673</v>
      </c>
      <c r="P18">
        <f>COUNTIF(AJ38:AJ137,"UBM100")</f>
        <v>1</v>
      </c>
      <c r="Q18">
        <f>INDEX(U38:U137,MATCH("UBM150",AJ38:AJ137,0))</f>
        <v>0.14199523187468177</v>
      </c>
      <c r="R18">
        <f>COUNTIF(AJ38:AJ137,"UBM150")</f>
        <v>1</v>
      </c>
      <c r="S18">
        <f>INDEX(U38:U137,MATCH("UBM200",AJ38:AJ137,0))</f>
        <v>-8.8342829059788117E-2</v>
      </c>
      <c r="T18">
        <f>COUNTIF(AJ38:AJ137,"UBM200")</f>
        <v>11</v>
      </c>
    </row>
    <row r="19" spans="1:20" x14ac:dyDescent="0.25">
      <c r="A19" t="s">
        <v>79</v>
      </c>
      <c r="B19" t="s">
        <v>79</v>
      </c>
      <c r="C19" t="s">
        <v>80</v>
      </c>
      <c r="D19" t="s">
        <v>80</v>
      </c>
      <c r="E19" t="s">
        <v>81</v>
      </c>
      <c r="F19" t="s">
        <v>81</v>
      </c>
      <c r="G19" t="s">
        <v>82</v>
      </c>
      <c r="H19" t="s">
        <v>82</v>
      </c>
      <c r="I19" t="s">
        <v>83</v>
      </c>
      <c r="J19" t="s">
        <v>83</v>
      </c>
      <c r="K19" t="s">
        <v>84</v>
      </c>
      <c r="L19" t="s">
        <v>84</v>
      </c>
      <c r="M19" t="s">
        <v>85</v>
      </c>
      <c r="N19" t="s">
        <v>85</v>
      </c>
      <c r="O19" t="s">
        <v>86</v>
      </c>
      <c r="P19" t="s">
        <v>86</v>
      </c>
      <c r="Q19" t="s">
        <v>87</v>
      </c>
      <c r="R19" t="s">
        <v>87</v>
      </c>
      <c r="S19" t="s">
        <v>88</v>
      </c>
      <c r="T19" t="s">
        <v>88</v>
      </c>
    </row>
    <row r="20" spans="1:20" x14ac:dyDescent="0.25">
      <c r="A20">
        <f>INDEX(U38:U137,MATCH("DAM10-50",AH38:AH137,0))</f>
        <v>-1.0375152071128664</v>
      </c>
      <c r="B20">
        <f>COUNTIF(AH38:AH137,"DAM10-50")</f>
        <v>2</v>
      </c>
      <c r="C20">
        <f>INDEX(U38:U137,MATCH("DAM50",AH38:AH137,0))</f>
        <v>-0.43258031565011229</v>
      </c>
      <c r="D20">
        <f>COUNTIF(AH38:AH137,"DAM50")</f>
        <v>2</v>
      </c>
      <c r="E20">
        <f>INDEX(U38:U137,MATCH("DAM100",AH38:AH137,0))</f>
        <v>-0.61168701920411495</v>
      </c>
      <c r="F20">
        <f>COUNTIF(AH38:AH137,"DAM100")</f>
        <v>1</v>
      </c>
      <c r="G20">
        <f>INDEX(U38:U137,MATCH("DAM150",AH38:AH137,0))</f>
        <v>-0.16388160234509219</v>
      </c>
      <c r="H20">
        <f>COUNTIF(AH38:AH137,"DAM150")</f>
        <v>1</v>
      </c>
      <c r="I20">
        <f>INDEX(U38:U137,MATCH("DAM200",AH38:AH137,0))</f>
        <v>-4.9824689806110225</v>
      </c>
      <c r="J20">
        <f>COUNTIF(AH38:AH137,"DAM200")</f>
        <v>10</v>
      </c>
      <c r="K20">
        <f>INDEX(U38:U137,MATCH("UAM10-50",AI38:AI137,0))</f>
        <v>2.68752006031324E-2</v>
      </c>
      <c r="L20">
        <f>COUNTIF(AI38:AI137,"UAM10-50")</f>
        <v>1</v>
      </c>
      <c r="M20">
        <f>INDEX(U38:U137,MATCH("UAM50",AI38:AI137,0))</f>
        <v>0</v>
      </c>
      <c r="N20">
        <f>COUNTIF(AI38:AI137,"UAM50")</f>
        <v>1</v>
      </c>
      <c r="O20">
        <f>INDEX(U38:U137,MATCH("UAM100",AI38:AI137,0))</f>
        <v>2.4052725776146075E-2</v>
      </c>
      <c r="P20">
        <f>COUNTIF(AI38:AI137,"UAM100")</f>
        <v>3</v>
      </c>
      <c r="Q20" t="e">
        <f>INDEX(U38:U137,MATCH("UAM150",AI38:AI137,0))</f>
        <v>#N/A</v>
      </c>
      <c r="R20">
        <f>COUNTIF(AI38:AI137,"UAM150")</f>
        <v>0</v>
      </c>
      <c r="S20">
        <f>INDEX(U38:U137,MATCH("UAM200",AI38:AI137,0))</f>
        <v>0.27553195943232883</v>
      </c>
      <c r="T20">
        <f>COUNTIF(AI38:AI137,"UAM200")</f>
        <v>8</v>
      </c>
    </row>
    <row r="21" spans="1:20" x14ac:dyDescent="0.25">
      <c r="A21" t="s">
        <v>89</v>
      </c>
      <c r="B21" t="s">
        <v>90</v>
      </c>
      <c r="C21" t="s">
        <v>91</v>
      </c>
      <c r="D21" t="s">
        <v>92</v>
      </c>
      <c r="E21" t="s">
        <v>93</v>
      </c>
      <c r="F21" t="s">
        <v>94</v>
      </c>
      <c r="G21" t="s">
        <v>95</v>
      </c>
      <c r="H21" t="s">
        <v>96</v>
      </c>
      <c r="I21" t="s">
        <v>97</v>
      </c>
      <c r="J21" t="s">
        <v>98</v>
      </c>
      <c r="K21" t="s">
        <v>99</v>
      </c>
      <c r="L21" t="s">
        <v>100</v>
      </c>
      <c r="M21" t="s">
        <v>101</v>
      </c>
      <c r="N21" t="s">
        <v>102</v>
      </c>
      <c r="O21" t="s">
        <v>103</v>
      </c>
      <c r="P21" t="s">
        <v>104</v>
      </c>
      <c r="Q21" t="s">
        <v>105</v>
      </c>
      <c r="R21" t="s">
        <v>106</v>
      </c>
      <c r="S21" t="s">
        <v>107</v>
      </c>
      <c r="T21" t="s">
        <v>108</v>
      </c>
    </row>
    <row r="22" spans="1:20" x14ac:dyDescent="0.25">
      <c r="A22">
        <f t="array" ref="A22">INDEX(A38:A137,MATCH(MAX(IF(ISNUMBER(U38:U137),U38:U137,0)),U38:U137,0))</f>
        <v>3037</v>
      </c>
      <c r="B22">
        <f t="array" ref="B22">MAX(IF(ISNUMBER(U38:U137),U38:U137,0))</f>
        <v>2.3278856353957913</v>
      </c>
      <c r="C22">
        <f t="array" ref="C22">INDEX(A38:A137,MATCH(LARGE(IF(ISNUMBER(U38:U137),U38:U137),2),U38:U137,0))</f>
        <v>2408</v>
      </c>
      <c r="D22">
        <f t="array" ref="D22">LARGE(IF(ISNUMBER(U38:U137),U38:U137),2)</f>
        <v>1.3513481069954516</v>
      </c>
      <c r="E22">
        <f t="array" ref="E22">INDEX(A38:A137,MATCH(LARGE(IF(ISNUMBER(U38:U137),U38:U137),3),U38:U137,0))</f>
        <v>2377</v>
      </c>
      <c r="F22">
        <f t="array" ref="F22">LARGE(IF(ISNUMBER(U38:U137),U38:U137),3)</f>
        <v>0.92864535971950135</v>
      </c>
      <c r="G22">
        <f t="array" ref="G22">INDEX(A38:A137,MATCH(LARGE(IF(ISNUMBER(U38:U137),U38:U137),4),U38:U137,0))</f>
        <v>2395</v>
      </c>
      <c r="H22">
        <f t="array" ref="H22">LARGE(IF(ISNUMBER(U38:U137),U38:U137),4)</f>
        <v>0.7610699258965673</v>
      </c>
      <c r="I22">
        <f t="array" ref="I22">INDEX(A38:A137,MATCH(LARGE(IF(ISNUMBER(U38:U137),U38:U137),5),U38:U137,0))</f>
        <v>2347</v>
      </c>
      <c r="J22">
        <f t="array" ref="J22">LARGE(IF(ISNUMBER(U38:U137),U38:U137),5)</f>
        <v>0.54909632276947618</v>
      </c>
      <c r="K22">
        <f t="array" ref="K22">INDEX(A38:A137,MATCH(MIN(IF(ISNUMBER(U38:U137),U38:U137,0)),U38:U137,0))</f>
        <v>2330</v>
      </c>
      <c r="L22">
        <f t="array" ref="L22">MIN(IF(ISNUMBER(U38:U137),U38:U137,0))</f>
        <v>-27.684313811393917</v>
      </c>
      <c r="M22">
        <f t="array" ref="M22">INDEX(A38:A137,MATCH(SMALL(IF(ISNUMBER(U38:U137),U38:U137),2),U38:U137,0))</f>
        <v>2317</v>
      </c>
      <c r="N22">
        <f t="array" ref="N22">SMALL(IF(ISNUMBER(U38:U137),U38:U137),2)</f>
        <v>-5.8733532496933227</v>
      </c>
      <c r="O22">
        <f t="array" ref="O22">INDEX(A38:A137,MATCH(SMALL(IF(ISNUMBER(U38:U137),U38:U137),3),U38:U137,0))</f>
        <v>2308</v>
      </c>
      <c r="P22">
        <f t="array" ref="P22">SMALL(IF(ISNUMBER(U38:U137),U38:U137),3)</f>
        <v>-4.9824689806110225</v>
      </c>
      <c r="Q22">
        <f t="array" ref="Q22">INDEX(A38:A137,MATCH(SMALL(IF(ISNUMBER(U38:U137),U38:U137),4),U38:U137,0))</f>
        <v>6669</v>
      </c>
      <c r="R22">
        <f t="array" ref="R22">SMALL(IF(ISNUMBER(U38:U137),U38:U137),4)</f>
        <v>-3.329987967083162</v>
      </c>
      <c r="S22">
        <f t="array" ref="S22">INDEX(A38:A137,MATCH(SMALL(IF(ISNUMBER(U38:U137),U38:U137),5),U38:U137,0))</f>
        <v>2454</v>
      </c>
      <c r="T22">
        <f t="array" ref="T22">SMALL(IF(ISNUMBER(U38:U137),U38:U137),5)</f>
        <v>-2.8265772601249073</v>
      </c>
    </row>
    <row r="23" spans="1:20" x14ac:dyDescent="0.25">
      <c r="A23" t="s">
        <v>66</v>
      </c>
      <c r="B23">
        <f>SUMIF(U138:U172,"&gt;0")</f>
        <v>0.51077164337743552</v>
      </c>
      <c r="C23">
        <f>SUMIF(U138:U172,"&lt;0")</f>
        <v>-7.4593687210573023</v>
      </c>
      <c r="D23">
        <f t="array" ref="D23">SUM(IF(ISNUMBER(U138:U172),U138:U172))</f>
        <v>-6.9485970776798656</v>
      </c>
    </row>
    <row r="24" spans="1:20" x14ac:dyDescent="0.25">
      <c r="A24" t="s">
        <v>69</v>
      </c>
      <c r="B24" t="s">
        <v>69</v>
      </c>
      <c r="C24" t="s">
        <v>70</v>
      </c>
      <c r="D24" t="s">
        <v>70</v>
      </c>
      <c r="E24" t="s">
        <v>71</v>
      </c>
      <c r="F24" t="s">
        <v>71</v>
      </c>
      <c r="G24" t="s">
        <v>72</v>
      </c>
      <c r="H24" t="s">
        <v>72</v>
      </c>
      <c r="I24" t="s">
        <v>73</v>
      </c>
      <c r="J24" t="s">
        <v>73</v>
      </c>
      <c r="K24" t="s">
        <v>74</v>
      </c>
      <c r="L24" t="s">
        <v>74</v>
      </c>
      <c r="M24" t="s">
        <v>75</v>
      </c>
      <c r="N24" t="s">
        <v>75</v>
      </c>
      <c r="O24" t="s">
        <v>76</v>
      </c>
      <c r="P24" t="s">
        <v>76</v>
      </c>
      <c r="Q24" t="s">
        <v>77</v>
      </c>
      <c r="R24" t="s">
        <v>77</v>
      </c>
      <c r="S24" t="s">
        <v>78</v>
      </c>
      <c r="T24" t="s">
        <v>78</v>
      </c>
    </row>
    <row r="25" spans="1:20" x14ac:dyDescent="0.25">
      <c r="A25">
        <f>INDEX(U138:U172,MATCH("DBM10-50",AG138:AG172,0))</f>
        <v>-6.1610826150204759E-2</v>
      </c>
      <c r="B25">
        <f>COUNTIF(AG138:AG172,"DBM10-50")</f>
        <v>1</v>
      </c>
      <c r="C25">
        <f>INDEX(U138:U172,MATCH("DBM50",AG138:AG172,0))</f>
        <v>-0.14040495912222792</v>
      </c>
      <c r="D25">
        <f>COUNTIF(AG138:AG172,"DBM50")</f>
        <v>4</v>
      </c>
      <c r="E25">
        <f>INDEX(U138:U172,MATCH("DBM100",AG138:AG172,0))</f>
        <v>-9.0924926215294244E-2</v>
      </c>
      <c r="F25">
        <f>COUNTIF(AG138:AG172,"DBM100")</f>
        <v>1</v>
      </c>
      <c r="G25">
        <f>INDEX(U138:U172,MATCH("DBM150",AG138:AG172,0))</f>
        <v>-0.1887889798445947</v>
      </c>
      <c r="H25">
        <f>COUNTIF(AG138:AG172,"DBM150")</f>
        <v>1</v>
      </c>
      <c r="I25">
        <f>INDEX(U138:U172,MATCH("DBM200",AG138:AG172,0))</f>
        <v>-0.11597548620651975</v>
      </c>
      <c r="J25">
        <f>COUNTIF(AG138:AG172,"DBM200")</f>
        <v>10</v>
      </c>
      <c r="K25" t="e">
        <f>INDEX(U138:U172,MATCH("UBM10-50",AJ138:AJ172,0))</f>
        <v>#N/A</v>
      </c>
      <c r="L25">
        <f>COUNTIF(AJ138:AJ172,"UBM10-50")</f>
        <v>0</v>
      </c>
      <c r="M25" t="e">
        <f>INDEX(U138:U172,MATCH("UBM50",AJ138:AJ172,0))</f>
        <v>#N/A</v>
      </c>
      <c r="N25">
        <f>COUNTIF(AJ138:AJ172,"UBM50")</f>
        <v>0</v>
      </c>
      <c r="O25">
        <f>INDEX(U138:U172,MATCH("UBM100",AJ138:AJ172,0))</f>
        <v>6.1997161361407364E-2</v>
      </c>
      <c r="P25">
        <f>COUNTIF(AJ138:AJ172,"UBM100")</f>
        <v>1</v>
      </c>
      <c r="Q25" t="e">
        <f>INDEX(U138:U172,MATCH("UBM150",AJ138:AJ172,0))</f>
        <v>#N/A</v>
      </c>
      <c r="R25">
        <f>COUNTIF(AJ138:AJ172,"UBM150")</f>
        <v>0</v>
      </c>
      <c r="S25">
        <f>INDEX(U138:U172,MATCH("UBM200",AJ138:AJ172,0))</f>
        <v>-5.3423639009530295E-2</v>
      </c>
      <c r="T25">
        <f>COUNTIF(AJ138:AJ172,"UBM200")</f>
        <v>1</v>
      </c>
    </row>
    <row r="26" spans="1:20" x14ac:dyDescent="0.25">
      <c r="A26" t="s">
        <v>79</v>
      </c>
      <c r="B26" t="s">
        <v>79</v>
      </c>
      <c r="C26" t="s">
        <v>80</v>
      </c>
      <c r="D26" t="s">
        <v>80</v>
      </c>
      <c r="E26" t="s">
        <v>81</v>
      </c>
      <c r="F26" t="s">
        <v>81</v>
      </c>
      <c r="G26" t="s">
        <v>82</v>
      </c>
      <c r="H26" t="s">
        <v>82</v>
      </c>
      <c r="I26" t="s">
        <v>83</v>
      </c>
      <c r="J26" t="s">
        <v>83</v>
      </c>
      <c r="K26" t="s">
        <v>84</v>
      </c>
      <c r="L26" t="s">
        <v>84</v>
      </c>
      <c r="M26" t="s">
        <v>85</v>
      </c>
      <c r="N26" t="s">
        <v>85</v>
      </c>
      <c r="O26" t="s">
        <v>86</v>
      </c>
      <c r="P26" t="s">
        <v>86</v>
      </c>
      <c r="Q26" t="s">
        <v>87</v>
      </c>
      <c r="R26" t="s">
        <v>87</v>
      </c>
      <c r="S26" t="s">
        <v>88</v>
      </c>
      <c r="T26" t="s">
        <v>88</v>
      </c>
    </row>
    <row r="27" spans="1:20" x14ac:dyDescent="0.25">
      <c r="A27" t="e">
        <f>INDEX(U138:U172,MATCH("DAM10-50",AH138:AH172,0))</f>
        <v>#N/A</v>
      </c>
      <c r="B27">
        <f>COUNTIF(AH138:AH172,"DAM10-50")</f>
        <v>0</v>
      </c>
      <c r="C27" t="e">
        <f>INDEX(U138:U172,MATCH("DAM50",AH138:AH172,0))</f>
        <v>#N/A</v>
      </c>
      <c r="D27">
        <f>COUNTIF(AH138:AH172,"DAM50")</f>
        <v>0</v>
      </c>
      <c r="E27">
        <f>INDEX(U138:U172,MATCH("DAM100",AH138:AH172,0))</f>
        <v>-7.9447114830106261E-2</v>
      </c>
      <c r="F27">
        <f>COUNTIF(AH138:AH172,"DAM100")</f>
        <v>2</v>
      </c>
      <c r="G27" t="e">
        <f>INDEX(U138:U172,MATCH("DAM150",AH138:AH172,0))</f>
        <v>#N/A</v>
      </c>
      <c r="H27">
        <f>COUNTIF(AH138:AH172,"DAM150")</f>
        <v>0</v>
      </c>
      <c r="I27">
        <f>INDEX(U138:U172,MATCH("DAM200",AH138:AH172,0))</f>
        <v>-0.46182506932465134</v>
      </c>
      <c r="J27">
        <f>COUNTIF(AH138:AH172,"DAM200")</f>
        <v>1</v>
      </c>
      <c r="K27" t="e">
        <f>INDEX(U138:U172,MATCH("UAM10-50",AI138:AI172,0))</f>
        <v>#N/A</v>
      </c>
      <c r="L27">
        <f>COUNTIF(AI138:AI172,"UAM10-50")</f>
        <v>0</v>
      </c>
      <c r="M27">
        <f>INDEX(U138:U172,MATCH("UAM50",AI138:AI172,0))</f>
        <v>9.1820794176060511E-2</v>
      </c>
      <c r="N27">
        <f>COUNTIF(AI138:AI172,"UAM50")</f>
        <v>1</v>
      </c>
      <c r="O27" t="e">
        <f>INDEX(U138:U172,MATCH("UAM100",AI138:AI172,0))</f>
        <v>#N/A</v>
      </c>
      <c r="P27">
        <f>COUNTIF(AI138:AI172,"UAM100")</f>
        <v>0</v>
      </c>
      <c r="Q27" t="e">
        <f>INDEX(U138:U172,MATCH("UAM150",AI138:AI172,0))</f>
        <v>#N/A</v>
      </c>
      <c r="R27">
        <f>COUNTIF(AI138:AI172,"UAM150")</f>
        <v>0</v>
      </c>
      <c r="S27">
        <f>INDEX(U138:U172,MATCH("UAM200",AI138:AI172,0))</f>
        <v>2.2283485420780222E-2</v>
      </c>
      <c r="T27">
        <f>COUNTIF(AI138:AI172,"UAM200")</f>
        <v>1</v>
      </c>
    </row>
    <row r="28" spans="1:20" x14ac:dyDescent="0.25">
      <c r="A28" t="s">
        <v>89</v>
      </c>
      <c r="B28" t="s">
        <v>90</v>
      </c>
      <c r="C28" t="s">
        <v>91</v>
      </c>
      <c r="D28" t="s">
        <v>92</v>
      </c>
      <c r="E28" t="s">
        <v>93</v>
      </c>
      <c r="F28" t="s">
        <v>94</v>
      </c>
      <c r="G28" t="s">
        <v>95</v>
      </c>
      <c r="H28" t="s">
        <v>96</v>
      </c>
      <c r="I28" t="s">
        <v>97</v>
      </c>
      <c r="J28" t="s">
        <v>98</v>
      </c>
      <c r="K28" t="s">
        <v>99</v>
      </c>
      <c r="L28" t="s">
        <v>100</v>
      </c>
      <c r="M28" t="s">
        <v>101</v>
      </c>
      <c r="N28" t="s">
        <v>102</v>
      </c>
      <c r="O28" t="s">
        <v>103</v>
      </c>
      <c r="P28" t="s">
        <v>104</v>
      </c>
      <c r="Q28" t="s">
        <v>105</v>
      </c>
      <c r="R28" t="s">
        <v>106</v>
      </c>
      <c r="S28" t="s">
        <v>107</v>
      </c>
      <c r="T28" t="s">
        <v>108</v>
      </c>
    </row>
    <row r="29" spans="1:20" x14ac:dyDescent="0.25">
      <c r="A29">
        <f t="array" ref="A29">INDEX(A138:A172,MATCH(MAX(IF(ISNUMBER(U138:U172),U138:U172,0)),U138:U172,0))</f>
        <v>2886</v>
      </c>
      <c r="B29">
        <f t="array" ref="B29">MAX(IF(ISNUMBER(U138:U172),U138:U172,0))</f>
        <v>0.24406362490474234</v>
      </c>
      <c r="C29">
        <f t="array" ref="C29">INDEX(A138:A172,MATCH(LARGE(IF(ISNUMBER(U138:U172),U138:U172),2),U138:U172,0))</f>
        <v>3019</v>
      </c>
      <c r="D29">
        <f t="array" ref="D29">LARGE(IF(ISNUMBER(U138:U172),U138:U172),2)</f>
        <v>9.1820794176060511E-2</v>
      </c>
      <c r="E29">
        <f t="array" ref="E29">INDEX(A138:A172,MATCH(LARGE(IF(ISNUMBER(U138:U172),U138:U172),3),U138:U172,0))</f>
        <v>2455</v>
      </c>
      <c r="F29">
        <f t="array" ref="F29">LARGE(IF(ISNUMBER(U138:U172),U138:U172),3)</f>
        <v>6.7040424787489186E-2</v>
      </c>
      <c r="G29">
        <f t="array" ref="G29">INDEX(A138:A172,MATCH(LARGE(IF(ISNUMBER(U138:U172),U138:U172),4),U138:U172,0))</f>
        <v>4927</v>
      </c>
      <c r="H29">
        <f t="array" ref="H29">LARGE(IF(ISNUMBER(U138:U172),U138:U172),4)</f>
        <v>6.1997161361407364E-2</v>
      </c>
      <c r="I29">
        <f t="array" ref="I29">INDEX(A138:A172,MATCH(LARGE(IF(ISNUMBER(U138:U172),U138:U172),5),U138:U172,0))</f>
        <v>4935</v>
      </c>
      <c r="J29">
        <f t="array" ref="J29">LARGE(IF(ISNUMBER(U138:U172),U138:U172),5)</f>
        <v>2.356615272695585E-2</v>
      </c>
      <c r="K29">
        <f t="array" ref="K29">INDEX(A138:A172,MATCH(MIN(IF(ISNUMBER(U138:U172),U138:U172,0)),U138:U172,0))</f>
        <v>2881</v>
      </c>
      <c r="L29">
        <f t="array" ref="L29">MIN(IF(ISNUMBER(U138:U172),U138:U172,0))</f>
        <v>-2.2372611766513364</v>
      </c>
      <c r="M29">
        <f t="array" ref="M29">INDEX(A138:A172,MATCH(SMALL(IF(ISNUMBER(U138:U172),U138:U172),2),U138:U172,0))</f>
        <v>2892</v>
      </c>
      <c r="N29">
        <f t="array" ref="N29">SMALL(IF(ISNUMBER(U138:U172),U138:U172),2)</f>
        <v>-0.66533842825972223</v>
      </c>
      <c r="O29">
        <f t="array" ref="O29">INDEX(A138:A172,MATCH(SMALL(IF(ISNUMBER(U138:U172),U138:U172),3),U138:U172,0))</f>
        <v>2880</v>
      </c>
      <c r="P29">
        <f t="array" ref="P29">SMALL(IF(ISNUMBER(U138:U172),U138:U172),3)</f>
        <v>-0.64951427194783495</v>
      </c>
      <c r="Q29">
        <f t="array" ref="Q29">INDEX(A138:A172,MATCH(SMALL(IF(ISNUMBER(U138:U172),U138:U172),4),U138:U172,0))</f>
        <v>2885</v>
      </c>
      <c r="R29">
        <f t="array" ref="R29">SMALL(IF(ISNUMBER(U138:U172),U138:U172),4)</f>
        <v>-0.62248144917850934</v>
      </c>
      <c r="S29">
        <f t="array" ref="S29">INDEX(A138:A172,MATCH(SMALL(IF(ISNUMBER(U138:U172),U138:U172),5),U138:U172,0))</f>
        <v>5880</v>
      </c>
      <c r="T29">
        <f t="array" ref="T29">SMALL(IF(ISNUMBER(U138:U172),U138:U172),5)</f>
        <v>-0.46182506932465134</v>
      </c>
    </row>
    <row r="30" spans="1:20" x14ac:dyDescent="0.25">
      <c r="A30" t="s">
        <v>67</v>
      </c>
      <c r="B30">
        <f>SUMIF(U173:U322,"&gt;0")</f>
        <v>9.6871907875778742</v>
      </c>
      <c r="C30">
        <f>SUMIF(U173:U322,"&lt;0")</f>
        <v>-23.310234130045192</v>
      </c>
      <c r="D30">
        <f t="array" ref="D30">SUM(IF(ISNUMBER(U173:U322),U173:U322))</f>
        <v>-13.623043342467319</v>
      </c>
    </row>
    <row r="31" spans="1:20" x14ac:dyDescent="0.25">
      <c r="A31" t="s">
        <v>69</v>
      </c>
      <c r="B31" t="s">
        <v>69</v>
      </c>
      <c r="C31" t="s">
        <v>70</v>
      </c>
      <c r="D31" t="s">
        <v>70</v>
      </c>
      <c r="E31" t="s">
        <v>71</v>
      </c>
      <c r="F31" t="s">
        <v>71</v>
      </c>
      <c r="G31" t="s">
        <v>72</v>
      </c>
      <c r="H31" t="s">
        <v>72</v>
      </c>
      <c r="I31" t="s">
        <v>73</v>
      </c>
      <c r="J31" t="s">
        <v>73</v>
      </c>
      <c r="K31" t="s">
        <v>74</v>
      </c>
      <c r="L31" t="s">
        <v>74</v>
      </c>
      <c r="M31" t="s">
        <v>75</v>
      </c>
      <c r="N31" t="s">
        <v>75</v>
      </c>
      <c r="O31" t="s">
        <v>76</v>
      </c>
      <c r="P31" t="s">
        <v>76</v>
      </c>
      <c r="Q31" t="s">
        <v>77</v>
      </c>
      <c r="R31" t="s">
        <v>77</v>
      </c>
      <c r="S31" t="s">
        <v>78</v>
      </c>
      <c r="T31" t="s">
        <v>78</v>
      </c>
    </row>
    <row r="32" spans="1:20" x14ac:dyDescent="0.25">
      <c r="A32">
        <f>INDEX(U173:U322,MATCH("DBM10-50",AG173:AG322,0))</f>
        <v>-0.15895257810089275</v>
      </c>
      <c r="B32">
        <f>COUNTIF(AG173:AG322,"DBM10-50")</f>
        <v>11</v>
      </c>
      <c r="C32">
        <f>INDEX(U173:U322,MATCH("DBM50",AG173:AG322,0))</f>
        <v>-0.10947945165628099</v>
      </c>
      <c r="D32">
        <f>COUNTIF(AG173:AG322,"DBM50")</f>
        <v>11</v>
      </c>
      <c r="E32">
        <f>INDEX(U173:U322,MATCH("DBM100",AG173:AG322,0))</f>
        <v>-0.33326061327613232</v>
      </c>
      <c r="F32">
        <f>COUNTIF(AG173:AG322,"DBM100")</f>
        <v>4</v>
      </c>
      <c r="G32">
        <f>INDEX(U173:U322,MATCH("DBM150",AG173:AG322,0))</f>
        <v>-2.7051885976049634</v>
      </c>
      <c r="H32">
        <f>COUNTIF(AG173:AG322,"DBM150")</f>
        <v>4</v>
      </c>
      <c r="I32">
        <f>INDEX(U173:U322,MATCH("DBM200",AG173:AG322,0))</f>
        <v>-0.26672222285186342</v>
      </c>
      <c r="J32">
        <f>COUNTIF(AG173:AG322,"DBM200")</f>
        <v>20</v>
      </c>
      <c r="K32">
        <f>INDEX(U173:U322,MATCH("UBM10-50",AJ173:AJ322,0))</f>
        <v>7.7628584920921076E-3</v>
      </c>
      <c r="L32">
        <f>COUNTIF(AJ173:AJ322,"UBM10-50")</f>
        <v>8</v>
      </c>
      <c r="M32">
        <f>INDEX(U173:U322,MATCH("UBM50",AJ173:AJ322,0))</f>
        <v>7.7217135851667382E-2</v>
      </c>
      <c r="N32">
        <f>COUNTIF(AJ173:AJ322,"UBM50")</f>
        <v>4</v>
      </c>
      <c r="O32">
        <f>INDEX(U173:U322,MATCH("UBM100",AJ173:AJ322,0))</f>
        <v>0.39810990514438871</v>
      </c>
      <c r="P32">
        <f>COUNTIF(AJ173:AJ322,"UBM100")</f>
        <v>4</v>
      </c>
      <c r="Q32">
        <f>INDEX(U173:U322,MATCH("UBM150",AJ173:AJ322,0))</f>
        <v>0</v>
      </c>
      <c r="R32">
        <f>COUNTIF(AJ173:AJ322,"UBM150")</f>
        <v>2</v>
      </c>
      <c r="S32">
        <f>INDEX(U173:U322,MATCH("UBM200",AJ173:AJ322,0))</f>
        <v>-0.53239952039234073</v>
      </c>
      <c r="T32">
        <f>COUNTIF(AJ173:AJ322,"UBM200")</f>
        <v>8</v>
      </c>
    </row>
    <row r="33" spans="1:37" x14ac:dyDescent="0.25">
      <c r="A33" t="s">
        <v>79</v>
      </c>
      <c r="B33" t="s">
        <v>79</v>
      </c>
      <c r="C33" t="s">
        <v>80</v>
      </c>
      <c r="D33" t="s">
        <v>80</v>
      </c>
      <c r="E33" t="s">
        <v>81</v>
      </c>
      <c r="F33" t="s">
        <v>81</v>
      </c>
      <c r="G33" t="s">
        <v>82</v>
      </c>
      <c r="H33" t="s">
        <v>82</v>
      </c>
      <c r="I33" t="s">
        <v>83</v>
      </c>
      <c r="J33" t="s">
        <v>83</v>
      </c>
      <c r="K33" t="s">
        <v>84</v>
      </c>
      <c r="L33" t="s">
        <v>84</v>
      </c>
      <c r="M33" t="s">
        <v>85</v>
      </c>
      <c r="N33" t="s">
        <v>85</v>
      </c>
      <c r="O33" t="s">
        <v>86</v>
      </c>
      <c r="P33" t="s">
        <v>86</v>
      </c>
      <c r="Q33" t="s">
        <v>87</v>
      </c>
      <c r="R33" t="s">
        <v>87</v>
      </c>
      <c r="S33" t="s">
        <v>88</v>
      </c>
      <c r="T33" t="s">
        <v>88</v>
      </c>
    </row>
    <row r="34" spans="1:37" x14ac:dyDescent="0.25">
      <c r="A34">
        <f>INDEX(U173:U322,MATCH("DAM10-50",AH173:AH322,0))</f>
        <v>-0.5423227630823636</v>
      </c>
      <c r="B34">
        <f>COUNTIF(AH173:AH322,"DAM10-50")</f>
        <v>3</v>
      </c>
      <c r="C34">
        <f>INDEX(U173:U322,MATCH("DAM50",AH173:AH322,0))</f>
        <v>-0.17561718395732087</v>
      </c>
      <c r="D34">
        <f>COUNTIF(AH173:AH322,"DAM50")</f>
        <v>3</v>
      </c>
      <c r="E34">
        <f>INDEX(U173:U322,MATCH("DAM100",AH173:AH322,0))</f>
        <v>-0.34094361584365418</v>
      </c>
      <c r="F34">
        <f>COUNTIF(AH173:AH322,"DAM100")</f>
        <v>1</v>
      </c>
      <c r="G34" t="e">
        <f>INDEX(U173:U322,MATCH("DAM150",AH173:AH322,0))</f>
        <v>#N/A</v>
      </c>
      <c r="H34">
        <f>COUNTIF(AH173:AH322,"DAM150")</f>
        <v>0</v>
      </c>
      <c r="I34">
        <f>INDEX(U173:U322,MATCH("DAM200",AH173:AH322,0))</f>
        <v>-3.8735143948286602E-2</v>
      </c>
      <c r="J34">
        <f>COUNTIF(AH173:AH322,"DAM200")</f>
        <v>5</v>
      </c>
      <c r="K34">
        <f>INDEX(U173:U322,MATCH("UAM10-50",AI173:AI322,0))</f>
        <v>2.4145038069682496E-2</v>
      </c>
      <c r="L34">
        <f>COUNTIF(AI173:AI322,"UAM10-50")</f>
        <v>6</v>
      </c>
      <c r="M34">
        <f>INDEX(U173:U322,MATCH("UAM50",AI173:AI322,0))</f>
        <v>0.10789457726061744</v>
      </c>
      <c r="N34">
        <f>COUNTIF(AI173:AI322,"UAM50")</f>
        <v>6</v>
      </c>
      <c r="O34">
        <f>INDEX(U173:U322,MATCH("UAM100",AI173:AI322,0))</f>
        <v>1.8329197537866386</v>
      </c>
      <c r="P34">
        <f>COUNTIF(AI173:AI322,"UAM100")</f>
        <v>3</v>
      </c>
      <c r="Q34">
        <f>INDEX(U173:U322,MATCH("UAM150",AI173:AI322,0))</f>
        <v>0.2233136920339418</v>
      </c>
      <c r="R34">
        <f>COUNTIF(AI173:AI322,"UAM150")</f>
        <v>2</v>
      </c>
      <c r="S34">
        <f>INDEX(U173:U322,MATCH("UAM200",AI173:AI322,0))</f>
        <v>0</v>
      </c>
      <c r="T34">
        <f>COUNTIF(AI173:AI322,"UAM200")</f>
        <v>6</v>
      </c>
    </row>
    <row r="35" spans="1:37" x14ac:dyDescent="0.25">
      <c r="A35" t="s">
        <v>89</v>
      </c>
      <c r="B35" t="s">
        <v>90</v>
      </c>
      <c r="C35" t="s">
        <v>91</v>
      </c>
      <c r="D35" t="s">
        <v>92</v>
      </c>
      <c r="E35" t="s">
        <v>93</v>
      </c>
      <c r="F35" t="s">
        <v>94</v>
      </c>
      <c r="G35" t="s">
        <v>95</v>
      </c>
      <c r="H35" t="s">
        <v>96</v>
      </c>
      <c r="I35" t="s">
        <v>97</v>
      </c>
      <c r="J35" t="s">
        <v>98</v>
      </c>
      <c r="K35" t="s">
        <v>99</v>
      </c>
      <c r="L35" t="s">
        <v>100</v>
      </c>
      <c r="M35" t="s">
        <v>101</v>
      </c>
      <c r="N35" t="s">
        <v>102</v>
      </c>
      <c r="O35" t="s">
        <v>103</v>
      </c>
      <c r="P35" t="s">
        <v>104</v>
      </c>
      <c r="Q35" t="s">
        <v>105</v>
      </c>
      <c r="R35" t="s">
        <v>106</v>
      </c>
      <c r="S35" t="s">
        <v>107</v>
      </c>
      <c r="T35" t="s">
        <v>108</v>
      </c>
    </row>
    <row r="36" spans="1:37" x14ac:dyDescent="0.25">
      <c r="A36">
        <f t="array" ref="A36">INDEX(A173:A322,MATCH(MAX(IF(ISNUMBER(U173:U322),U173:U322,0)),U173:U322,0))</f>
        <v>1590</v>
      </c>
      <c r="B36">
        <f t="array" ref="B36">MAX(IF(ISNUMBER(U173:U322),U173:U322,0))</f>
        <v>1.8329197537866386</v>
      </c>
      <c r="C36">
        <f t="array" ref="C36">INDEX(A173:A322,MATCH(LARGE(IF(ISNUMBER(U173:U322),U173:U322),2),U173:U322,0))</f>
        <v>2105</v>
      </c>
      <c r="D36">
        <f t="array" ref="D36">LARGE(IF(ISNUMBER(U173:U322),U173:U322),2)</f>
        <v>1.1329067176406129</v>
      </c>
      <c r="E36">
        <f t="array" ref="E36">INDEX(A173:A322,MATCH(LARGE(IF(ISNUMBER(U173:U322),U173:U322),3),U173:U322,0))</f>
        <v>1476</v>
      </c>
      <c r="F36">
        <f t="array" ref="F36">LARGE(IF(ISNUMBER(U173:U322),U173:U322),3)</f>
        <v>1.0097484398996472</v>
      </c>
      <c r="G36">
        <f t="array" ref="G36">INDEX(A173:A322,MATCH(LARGE(IF(ISNUMBER(U173:U322),U173:U322),4),U173:U322,0))</f>
        <v>1802</v>
      </c>
      <c r="H36">
        <f t="array" ref="H36">LARGE(IF(ISNUMBER(U173:U322),U173:U322),4)</f>
        <v>0.95893710859910331</v>
      </c>
      <c r="I36">
        <f t="array" ref="I36">INDEX(A173:A322,MATCH(LARGE(IF(ISNUMBER(U173:U322),U173:U322),5),U173:U322,0))</f>
        <v>2002</v>
      </c>
      <c r="J36">
        <f t="array" ref="J36">LARGE(IF(ISNUMBER(U173:U322),U173:U322),5)</f>
        <v>0.56807181419880604</v>
      </c>
      <c r="K36">
        <f t="array" ref="K36">INDEX(A173:A322,MATCH(MIN(IF(ISNUMBER(U173:U322),U173:U322,0)),U173:U322,0))</f>
        <v>2207</v>
      </c>
      <c r="L36">
        <f t="array" ref="L36">MIN(IF(ISNUMBER(U173:U322),U173:U322,0))</f>
        <v>-3.056724758786133</v>
      </c>
      <c r="M36">
        <f t="array" ref="M36">INDEX(A173:A322,MATCH(SMALL(IF(ISNUMBER(U173:U322),U173:U322),2),U173:U322,0))</f>
        <v>6505</v>
      </c>
      <c r="N36">
        <f t="array" ref="N36">SMALL(IF(ISNUMBER(U173:U322),U173:U322),2)</f>
        <v>-2.7051885976049634</v>
      </c>
      <c r="O36">
        <f t="array" ref="O36">INDEX(A173:A322,MATCH(SMALL(IF(ISNUMBER(U173:U322),U173:U322),3),U173:U322,0))</f>
        <v>8464</v>
      </c>
      <c r="P36">
        <f t="array" ref="P36">SMALL(IF(ISNUMBER(U173:U322),U173:U322),3)</f>
        <v>-1.1685968290865421</v>
      </c>
      <c r="Q36">
        <f t="array" ref="Q36">INDEX(A173:A322,MATCH(SMALL(IF(ISNUMBER(U173:U322),U173:U322),4),U173:U322,0))</f>
        <v>1216</v>
      </c>
      <c r="R36">
        <f t="array" ref="R36">SMALL(IF(ISNUMBER(U173:U322),U173:U322),4)</f>
        <v>-1.0107611833973746</v>
      </c>
      <c r="S36">
        <f t="array" ref="S36">INDEX(A173:A322,MATCH(SMALL(IF(ISNUMBER(U173:U322),U173:U322),5),U173:U322,0))</f>
        <v>1303</v>
      </c>
      <c r="T36">
        <f t="array" ref="T36">SMALL(IF(ISNUMBER(U173:U322),U173:U322),5)</f>
        <v>-0.84859368165478777</v>
      </c>
    </row>
    <row r="37" spans="1:37" x14ac:dyDescent="0.25">
      <c r="A37" t="s">
        <v>109</v>
      </c>
      <c r="B37" t="s">
        <v>110</v>
      </c>
      <c r="C37" t="s">
        <v>111</v>
      </c>
      <c r="D37" t="s">
        <v>112</v>
      </c>
      <c r="E37" t="s">
        <v>113</v>
      </c>
      <c r="F37" t="s">
        <v>114</v>
      </c>
      <c r="G37" t="s">
        <v>115</v>
      </c>
      <c r="H37" t="s">
        <v>116</v>
      </c>
      <c r="I37" t="s">
        <v>117</v>
      </c>
      <c r="J37" t="s">
        <v>118</v>
      </c>
      <c r="K37" t="s">
        <v>119</v>
      </c>
      <c r="L37" t="s">
        <v>120</v>
      </c>
      <c r="M37" t="s">
        <v>121</v>
      </c>
      <c r="N37" t="s">
        <v>46</v>
      </c>
      <c r="O37" t="s">
        <v>47</v>
      </c>
      <c r="P37" t="s">
        <v>122</v>
      </c>
      <c r="Q37" t="s">
        <v>123</v>
      </c>
      <c r="R37" t="s">
        <v>124</v>
      </c>
      <c r="S37" t="s">
        <v>125</v>
      </c>
      <c r="T37" t="s">
        <v>126</v>
      </c>
      <c r="U37" t="s">
        <v>127</v>
      </c>
      <c r="V37" t="s">
        <v>128</v>
      </c>
      <c r="W37" t="s">
        <v>129</v>
      </c>
      <c r="X37" t="s">
        <v>109</v>
      </c>
      <c r="Y37" t="s">
        <v>130</v>
      </c>
      <c r="Z37" t="s">
        <v>131</v>
      </c>
      <c r="AA37" t="s">
        <v>127</v>
      </c>
      <c r="AB37" t="s">
        <v>132</v>
      </c>
      <c r="AC37" t="s">
        <v>133</v>
      </c>
      <c r="AD37" t="s">
        <v>134</v>
      </c>
      <c r="AE37" t="s">
        <v>135</v>
      </c>
      <c r="AF37" t="s">
        <v>136</v>
      </c>
      <c r="AG37" t="s">
        <v>137</v>
      </c>
      <c r="AH37" t="s">
        <v>138</v>
      </c>
      <c r="AI37" t="s">
        <v>139</v>
      </c>
      <c r="AJ37" t="s">
        <v>140</v>
      </c>
      <c r="AK37" t="s">
        <v>141</v>
      </c>
    </row>
    <row r="38" spans="1:37" x14ac:dyDescent="0.25">
      <c r="A38">
        <f>IF(X38=2330,2330,"Error")</f>
        <v>2330</v>
      </c>
      <c r="B38" t="str">
        <f>IF(K38&lt;427.5,"down",IF(K38=427.5,"low",IF(K38=437.5,"high",IF(AND(K38&gt;427.5,K38&lt;437.5),"normal","up"))))</f>
        <v>normal</v>
      </c>
      <c r="C38" t="str">
        <f>IF(K38&lt;427.5,"down",IF(K38=427.5,"low",IF(K38=437.5,"high",IF(AND(K38&gt;427.5,K38&lt;437.5),"normal","up"))))</f>
        <v>normal</v>
      </c>
      <c r="D38" t="str">
        <f>IF(K38&lt;427.5,"down",IF(K38=427.5,"low",IF(K38=437.5,"high",IF(AND(K38&gt;427.5,K38&lt;437.5),"normal","up"))))</f>
        <v>normal</v>
      </c>
      <c r="E38" t="str">
        <f>IF(K38&lt;415,"down",IF(K38=415,"low",IF(K38=438,"high",IF(AND(K38&gt;415,K38&lt;438),"normal","up"))))</f>
        <v>normal</v>
      </c>
      <c r="F38" t="str">
        <f>IF(P38&lt;436.5,"PVP-down",IF(P38=436.5,436.5,IF(P38&gt;436.5,"PVP-up")))</f>
        <v>PVP-down</v>
      </c>
      <c r="G38" t="str">
        <f>IF(R38&lt;9280,"PVV-down",IF(R38=9280,9280,IF(R38&gt;9280,"PVV-up")))</f>
        <v>PVV-up</v>
      </c>
      <c r="H38" s="3">
        <f t="shared" ref="H38:H101" si="1">R38/(Y38/10000)</f>
        <v>1.3116274963681444E-3</v>
      </c>
      <c r="I38">
        <f>[1]!'2330.PreviousPrice'</f>
        <v>435.5</v>
      </c>
      <c r="J38">
        <f>[1]!'2330.PreOpenPrice'</f>
        <v>429</v>
      </c>
      <c r="K38">
        <f>[1]!'2330.Open'</f>
        <v>432</v>
      </c>
      <c r="L38">
        <f>[1]!'2330.Change'</f>
        <v>-6.5</v>
      </c>
      <c r="M38">
        <f>[1]!'2330.ChangePercent'</f>
        <v>-1.49E-2</v>
      </c>
      <c r="N38">
        <f>[1]!'2330.BidPrice'</f>
        <v>429</v>
      </c>
      <c r="O38">
        <f>[1]!'2330.AskPrice'</f>
        <v>429.5</v>
      </c>
      <c r="P38">
        <f>[1]!'2330.Price'</f>
        <v>429</v>
      </c>
      <c r="Q38">
        <f>[1]!'2330.Volume'</f>
        <v>6691</v>
      </c>
      <c r="R38">
        <f>[1]!'2330.CumulativeVolume'</f>
        <v>34011</v>
      </c>
      <c r="S38">
        <f>[1]!'2330.PreviousVolume'</f>
        <v>35971</v>
      </c>
      <c r="T38" s="3">
        <f t="shared" ref="T38:T101" si="2">((P38-K38)/K38)</f>
        <v>-6.9444444444444441E-3</v>
      </c>
      <c r="U38" s="3">
        <f>((T38*AB38)*D4)</f>
        <v>-27.684313811393917</v>
      </c>
      <c r="V38" s="5">
        <f t="shared" ref="V38:V101" si="3">IF(P38&lt;=N38,(P38*Q38*1000),0)</f>
        <v>2870439000</v>
      </c>
      <c r="W38" s="5">
        <f t="shared" ref="W38:W101" si="4">IF(P38&gt;=O38,(P38*Q38*1000),0)</f>
        <v>0</v>
      </c>
      <c r="X38">
        <v>2330</v>
      </c>
      <c r="Y38" s="5">
        <v>259303804580</v>
      </c>
      <c r="Z38" s="3">
        <f>((D2*AB38)/P38)/10</f>
        <v>0.93753894854860143</v>
      </c>
      <c r="AA38" s="3">
        <f>((M38*AB38)*D2)</f>
        <v>-59.928427130175145</v>
      </c>
      <c r="AB38" s="3">
        <f>AE38/AE323</f>
        <v>0.31193129279304327</v>
      </c>
      <c r="AC38" s="3">
        <f>AF38/AF323</f>
        <v>0.31371546883717827</v>
      </c>
      <c r="AD38" s="5">
        <f t="shared" ref="AD38:AD101" si="5">IF(ISNA(J38),(I38*Y38)/10,(J38*Y38)/10)</f>
        <v>11124133216482</v>
      </c>
      <c r="AE38" s="5">
        <f t="shared" ref="AE38:AE101" si="6">IF(ISNA(P38),(I38*Y38)/10,(P38*Y38)/10)</f>
        <v>11124133216482</v>
      </c>
      <c r="AF38" s="5">
        <f t="shared" ref="AF38:AF101" si="7">(I38*Y38)/10</f>
        <v>11292680689459</v>
      </c>
      <c r="AG38" t="str">
        <f t="shared" ref="AG38:AG101" si="8">IF(AND(P38&lt;=N38,L38&lt;0),IF(Q38&lt;10,"DBL10",IF(Q38&gt;=200,"DBM200",IF(Q38&gt;=150,"DBM150",IF(Q38&gt;=100,"DBM100",IF(Q38&gt;=50,"DBM50","DBM10-50"))))),0)</f>
        <v>DBM200</v>
      </c>
      <c r="AH38">
        <f t="shared" ref="AH38:AH101" si="9">IF(AND(P38&gt;=O38,L38&lt;0),IF(Q38&lt;10,"DAL10",IF(Q38&gt;=200,"DAM200",IF(Q38&gt;=150,"DAM150",IF(Q38&gt;=100,"DAM100",IF(Q38&gt;=50,"DAM50","DAM10-50"))))),0)</f>
        <v>0</v>
      </c>
      <c r="AI38">
        <f t="shared" ref="AI38:AI101" si="10">IF(AND(P38&gt;=O38,L38&gt;0),IF(Q38&lt;10,"UAL10",IF(Q38&gt;=200,"UAM200",IF(Q38&gt;=150,"UAM150",IF(Q38&gt;=100,"UAM100",IF(Q38&gt;=50,"UAM50","UAM10-50"))))),0)</f>
        <v>0</v>
      </c>
      <c r="AJ38">
        <f t="shared" ref="AJ38:AJ101" si="11">IF(AND(P38&lt;=N38,L38&gt;0),IF(Q38&lt;10,"UBL10",IF(Q38&gt;=200,"UBM200",IF(Q38&gt;=150,"UBM150",IF(Q38&gt;=100,"UBM100",IF(Q38&gt;=50,"UBM50","UBM10-50"))))),0)</f>
        <v>0</v>
      </c>
      <c r="AK38" t="str">
        <f>IF(Q38&lt;2524,"down",IF(Q38=2524,2524,IF(Q38&gt;2524,"up")))</f>
        <v>up</v>
      </c>
    </row>
    <row r="39" spans="1:37" x14ac:dyDescent="0.25">
      <c r="A39">
        <f>IF(X39=2454,2454,"Error")</f>
        <v>2454</v>
      </c>
      <c r="B39" t="str">
        <f>IF(K39&lt;696,"down",IF(K39=696,"low",IF(K39=714,"high",IF(AND(K39&gt;696,K39&lt;714),"normal","up"))))</f>
        <v>normal</v>
      </c>
      <c r="C39" t="str">
        <f>IF(K39&lt;696,"down",IF(K39=696,"low",IF(K39=714,"high",IF(AND(K39&gt;696,K39&lt;714),"normal","up"))))</f>
        <v>normal</v>
      </c>
      <c r="D39" t="str">
        <f>IF(K39&lt;696,"down",IF(K39=696,"low",IF(K39=714,"high",IF(AND(K39&gt;696,K39&lt;714),"normal","up"))))</f>
        <v>normal</v>
      </c>
      <c r="E39" t="str">
        <f>IF(K39&lt;695,"down",IF(K39=695,"low",IF(K39=753,"high",IF(AND(K39&gt;695,K39&lt;753),"normal","up"))))</f>
        <v>normal</v>
      </c>
      <c r="F39" t="str">
        <f>IF(P39&lt;706,"PVP-down",IF(P39=706,706,IF(P39&gt;706,"PVP-up")))</f>
        <v>PVP-down</v>
      </c>
      <c r="G39" t="str">
        <f>IF(R39&lt;1823,"PVV-down",IF(R39=1823,1823,IF(R39&gt;1823,"PVV-up")))</f>
        <v>PVV-up</v>
      </c>
      <c r="H39" s="3">
        <f t="shared" si="1"/>
        <v>6.1918987807046098E-3</v>
      </c>
      <c r="I39">
        <f>[1]!'2454.PreviousPrice'</f>
        <v>706</v>
      </c>
      <c r="J39">
        <f>[1]!'2454.PreOpenPrice'</f>
        <v>693</v>
      </c>
      <c r="K39">
        <f>[1]!'2454.Open'</f>
        <v>698</v>
      </c>
      <c r="L39">
        <f>[1]!'2454.Change'</f>
        <v>-13</v>
      </c>
      <c r="M39">
        <f>[1]!'2454.ChangePercent'</f>
        <v>-1.84E-2</v>
      </c>
      <c r="N39">
        <f>[1]!'2454.BidPrice'</f>
        <v>693</v>
      </c>
      <c r="O39">
        <f>[1]!'2454.AskPrice'</f>
        <v>694</v>
      </c>
      <c r="P39">
        <f>[1]!'2454.Price'</f>
        <v>693</v>
      </c>
      <c r="Q39">
        <f>[1]!'2454.Volume'</f>
        <v>821</v>
      </c>
      <c r="R39">
        <f>[1]!'2454.CumulativeVolume'</f>
        <v>9838</v>
      </c>
      <c r="S39">
        <f>[1]!'2454.PreviousVolume'</f>
        <v>11124</v>
      </c>
      <c r="T39" s="3">
        <f t="shared" si="2"/>
        <v>-7.1633237822349575E-3</v>
      </c>
      <c r="U39" s="3">
        <f>((T39*AB39)*D4)</f>
        <v>-2.8265772601249073</v>
      </c>
      <c r="V39" s="5">
        <f t="shared" si="3"/>
        <v>568953000</v>
      </c>
      <c r="W39" s="5">
        <f t="shared" si="4"/>
        <v>0</v>
      </c>
      <c r="X39">
        <v>2454</v>
      </c>
      <c r="Y39" s="5">
        <v>15888502620</v>
      </c>
      <c r="Z39" s="3">
        <f>((D2*AB39)/P39)/10</f>
        <v>5.7446476978978457E-2</v>
      </c>
      <c r="AA39" s="3">
        <f>((M39*AB39)*D2)</f>
        <v>-7.3251151725435006</v>
      </c>
      <c r="AB39" s="3">
        <f>AE39/AE323</f>
        <v>3.0875142350265294E-2</v>
      </c>
      <c r="AC39" s="3">
        <f>AF39/AF323</f>
        <v>3.1162088480584993E-2</v>
      </c>
      <c r="AD39" s="5">
        <f t="shared" si="5"/>
        <v>1101073231566</v>
      </c>
      <c r="AE39" s="5">
        <f t="shared" si="6"/>
        <v>1101073231566</v>
      </c>
      <c r="AF39" s="5">
        <f t="shared" si="7"/>
        <v>1121728284972</v>
      </c>
      <c r="AG39" t="str">
        <f t="shared" si="8"/>
        <v>DBM200</v>
      </c>
      <c r="AH39">
        <f t="shared" si="9"/>
        <v>0</v>
      </c>
      <c r="AI39">
        <f t="shared" si="10"/>
        <v>0</v>
      </c>
      <c r="AJ39">
        <f t="shared" si="11"/>
        <v>0</v>
      </c>
      <c r="AK39" t="str">
        <f>IF(Q39&lt;880,"down",IF(Q39=880,880,IF(Q39&gt;880,"up")))</f>
        <v>down</v>
      </c>
    </row>
    <row r="40" spans="1:37" x14ac:dyDescent="0.25">
      <c r="A40">
        <f>IF(X40=2317,2317,"Error")</f>
        <v>2317</v>
      </c>
      <c r="B40" t="str">
        <f>IF(K40&lt;79.1,"down",IF(K40=79.1,"low",IF(K40=80.9,"high",IF(AND(K40&gt;79.1,K40&lt;80.9),"normal","up"))))</f>
        <v>up</v>
      </c>
      <c r="C40" t="str">
        <f>IF(K40&lt;79.1,"down",IF(K40=79.1,"low",IF(K40=80.9,"high",IF(AND(K40&gt;79.1,K40&lt;80.9),"normal","up"))))</f>
        <v>up</v>
      </c>
      <c r="D40" t="str">
        <f>IF(K40&lt;79.1,"down",IF(K40=79.1,"low",IF(K40=80.9,"high",IF(AND(K40&gt;79.1,K40&lt;80.9),"normal","up"))))</f>
        <v>up</v>
      </c>
      <c r="E40" t="str">
        <f>IF(K40&lt;77.1,"down",IF(K40=77.1,"low",IF(K40=80.9,"high",IF(AND(K40&gt;77.1,K40&lt;80.9),"normal","up"))))</f>
        <v>up</v>
      </c>
      <c r="F40" t="str">
        <f>IF(P40&lt;80.5,"PVP-down",IF(P40=80.5,80.5,IF(P40&gt;80.5,"PVP-up")))</f>
        <v>PVP-down</v>
      </c>
      <c r="G40" t="str">
        <f>IF(R40&lt;6409,"PVV-down",IF(R40=6409,6409,IF(R40&gt;6409,"PVV-up")))</f>
        <v>PVV-up</v>
      </c>
      <c r="H40" s="3">
        <f t="shared" si="1"/>
        <v>2.2091192920608289E-3</v>
      </c>
      <c r="I40">
        <f>[1]!'2317.PreviousPrice'</f>
        <v>80.5</v>
      </c>
      <c r="J40">
        <f>[1]!'2317.PreOpenPrice'</f>
        <v>79.8</v>
      </c>
      <c r="K40">
        <f>[1]!'2317.Open'</f>
        <v>81</v>
      </c>
      <c r="L40">
        <f>[1]!'2317.Change'</f>
        <v>-0.7</v>
      </c>
      <c r="M40">
        <f>[1]!'2317.ChangePercent'</f>
        <v>-8.6999999999999994E-3</v>
      </c>
      <c r="N40">
        <f>[1]!'2317.BidPrice'</f>
        <v>79.8</v>
      </c>
      <c r="O40">
        <f>[1]!'2317.AskPrice'</f>
        <v>79.900000000000006</v>
      </c>
      <c r="P40">
        <f>[1]!'2317.Price'</f>
        <v>79.8</v>
      </c>
      <c r="Q40">
        <f>[1]!'2317.Volume'</f>
        <v>2568</v>
      </c>
      <c r="R40">
        <f>[1]!'2317.CumulativeVolume'</f>
        <v>30625</v>
      </c>
      <c r="S40">
        <f>[1]!'2317.PreviousVolume'</f>
        <v>49679</v>
      </c>
      <c r="T40" s="3">
        <f t="shared" si="2"/>
        <v>-1.481481481481485E-2</v>
      </c>
      <c r="U40" s="3">
        <f>((T40*AB40)*D4)</f>
        <v>-5.8733532496933227</v>
      </c>
      <c r="V40" s="5">
        <f t="shared" si="3"/>
        <v>204926400</v>
      </c>
      <c r="W40" s="5">
        <f t="shared" si="4"/>
        <v>0</v>
      </c>
      <c r="X40">
        <v>2317</v>
      </c>
      <c r="Y40" s="5">
        <v>138629906090</v>
      </c>
      <c r="Z40" s="3">
        <f>((D2*AB40)/P40)/10</f>
        <v>0.50123034871596539</v>
      </c>
      <c r="AA40" s="3">
        <f>((M40*AB40)*D2)</f>
        <v>-3.4798418189954612</v>
      </c>
      <c r="AB40" s="3">
        <f>AE40/AE323</f>
        <v>3.1020770767437599E-2</v>
      </c>
      <c r="AC40" s="3">
        <f>AF40/AF323</f>
        <v>3.100214154616222E-2</v>
      </c>
      <c r="AD40" s="5">
        <f t="shared" si="5"/>
        <v>1106266650598.2</v>
      </c>
      <c r="AE40" s="5">
        <f t="shared" si="6"/>
        <v>1106266650598.2</v>
      </c>
      <c r="AF40" s="5">
        <f t="shared" si="7"/>
        <v>1115970744024.5</v>
      </c>
      <c r="AG40" t="str">
        <f t="shared" si="8"/>
        <v>DBM200</v>
      </c>
      <c r="AH40">
        <f t="shared" si="9"/>
        <v>0</v>
      </c>
      <c r="AI40">
        <f t="shared" si="10"/>
        <v>0</v>
      </c>
      <c r="AJ40">
        <f t="shared" si="11"/>
        <v>0</v>
      </c>
      <c r="AK40" t="str">
        <f>IF(Q40&lt;1534,"down",IF(Q40=1534,1534,IF(Q40&gt;1534,"up")))</f>
        <v>up</v>
      </c>
    </row>
    <row r="41" spans="1:37" x14ac:dyDescent="0.25">
      <c r="A41">
        <f>IF(X41=2412,2412,"Error")</f>
        <v>2412</v>
      </c>
      <c r="B41" t="str">
        <f>IF(K41&lt;108.5,"down",IF(K41=108.5,"low",IF(K41=109.5,"high",IF(AND(K41&gt;108.5,K41&lt;109.5),"normal","up"))))</f>
        <v>normal</v>
      </c>
      <c r="C41" t="str">
        <f>IF(K41&lt;108.5,"down",IF(K41=108.5,"low",IF(K41=109.5,"high",IF(AND(K41&gt;108.5,K41&lt;109.5),"normal","up"))))</f>
        <v>normal</v>
      </c>
      <c r="D41" t="str">
        <f>IF(K41&lt;108.5,"down",IF(K41=108.5,"low",IF(K41=109.5,"high",IF(AND(K41&gt;108.5,K41&lt;109.5),"normal","up"))))</f>
        <v>normal</v>
      </c>
      <c r="E41" t="str">
        <f>IF(K41&lt;108,"down",IF(K41=108,"low",IF(K41=109.5,"high",IF(AND(K41&gt;108,K41&lt;109.5),"normal","up"))))</f>
        <v>normal</v>
      </c>
      <c r="F41" t="str">
        <f>IF(P41&lt;109,"PVP-down",IF(P41=109,109,IF(P41&gt;109,"PVP-up")))</f>
        <v>PVP-down</v>
      </c>
      <c r="G41" t="str">
        <f>IF(R41&lt;2449,"PVV-down",IF(R41=2449,2449,IF(R41&gt;2449,"PVV-up")))</f>
        <v>PVV-up</v>
      </c>
      <c r="H41" s="3">
        <f t="shared" si="1"/>
        <v>7.4212564232371391E-4</v>
      </c>
      <c r="I41">
        <f>[1]!'2412.PreviousPrice'</f>
        <v>108.5</v>
      </c>
      <c r="J41">
        <f>[1]!'2412.PreOpenPrice'</f>
        <v>108.5</v>
      </c>
      <c r="K41">
        <f>[1]!'2412.Open'</f>
        <v>109</v>
      </c>
      <c r="L41">
        <f>[1]!'2412.Change'</f>
        <v>0</v>
      </c>
      <c r="M41">
        <f>[1]!'2412.ChangePercent'</f>
        <v>0</v>
      </c>
      <c r="N41">
        <f>[1]!'2412.BidPrice'</f>
        <v>108.5</v>
      </c>
      <c r="O41">
        <f>[1]!'2412.AskPrice'</f>
        <v>109</v>
      </c>
      <c r="P41">
        <f>[1]!'2412.Price'</f>
        <v>108.5</v>
      </c>
      <c r="Q41">
        <f>[1]!'2412.Volume'</f>
        <v>889</v>
      </c>
      <c r="R41">
        <f>[1]!'2412.CumulativeVolume'</f>
        <v>5757</v>
      </c>
      <c r="S41">
        <f>[1]!'2412.PreviousVolume'</f>
        <v>3478</v>
      </c>
      <c r="T41" s="3">
        <f t="shared" si="2"/>
        <v>-4.5871559633027525E-3</v>
      </c>
      <c r="U41" s="3">
        <f>((T41*AB41)*D4)</f>
        <v>-1.383636820538505</v>
      </c>
      <c r="V41" s="5">
        <f t="shared" si="3"/>
        <v>96456500</v>
      </c>
      <c r="W41" s="5">
        <f t="shared" si="4"/>
        <v>0</v>
      </c>
      <c r="X41">
        <v>2412</v>
      </c>
      <c r="Y41" s="5">
        <v>77574465450</v>
      </c>
      <c r="Z41" s="3">
        <f>((D2*AB41)/P41)/10</f>
        <v>0.2804782709995855</v>
      </c>
      <c r="AA41" s="3">
        <f>((M41*AB41)*D2)</f>
        <v>0</v>
      </c>
      <c r="AB41" s="3">
        <f>AE41/AE323</f>
        <v>2.3601591750779454E-2</v>
      </c>
      <c r="AC41" s="3">
        <f>AF41/AF323</f>
        <v>2.3382310062087342E-2</v>
      </c>
      <c r="AD41" s="5">
        <f t="shared" si="5"/>
        <v>841682950132.5</v>
      </c>
      <c r="AE41" s="5">
        <f t="shared" si="6"/>
        <v>841682950132.5</v>
      </c>
      <c r="AF41" s="5">
        <f t="shared" si="7"/>
        <v>841682950132.5</v>
      </c>
      <c r="AG41">
        <f t="shared" si="8"/>
        <v>0</v>
      </c>
      <c r="AH41">
        <f t="shared" si="9"/>
        <v>0</v>
      </c>
      <c r="AI41">
        <f t="shared" si="10"/>
        <v>0</v>
      </c>
      <c r="AJ41">
        <f t="shared" si="11"/>
        <v>0</v>
      </c>
      <c r="AK41" t="str">
        <f>IF(Q41&lt;293,"down",IF(Q41=293,293,IF(Q41&gt;293,"up")))</f>
        <v>up</v>
      </c>
    </row>
    <row r="42" spans="1:37" x14ac:dyDescent="0.25">
      <c r="A42">
        <f>IF(X42=2308,2308,"Error")</f>
        <v>2308</v>
      </c>
      <c r="B42" t="str">
        <f>IF(K42&lt;199.5,"down",IF(K42=199.5,"low",IF(K42=203,"high",IF(AND(K42&gt;199.5,K42&lt;203),"normal","up"))))</f>
        <v>up</v>
      </c>
      <c r="C42" t="str">
        <f>IF(K42&lt;199.5,"down",IF(K42=199.5,"low",IF(K42=203,"high",IF(AND(K42&gt;199.5,K42&lt;203),"normal","up"))))</f>
        <v>up</v>
      </c>
      <c r="D42" t="str">
        <f>IF(K42&lt;199.5,"down",IF(K42=199.5,"low",IF(K42=203,"high",IF(AND(K42&gt;199.5,K42&lt;203),"normal","up"))))</f>
        <v>up</v>
      </c>
      <c r="E42" t="str">
        <f>IF(K42&lt;199,"down",IF(K42=199,"low",IF(K42=209.5,"high",IF(AND(K42&gt;199,K42&lt;209.5),"normal","up"))))</f>
        <v>normal</v>
      </c>
      <c r="F42" t="str">
        <f>IF(P42&lt;201,"PVP-down",IF(P42=201,201,IF(P42&gt;201,"PVP-up")))</f>
        <v>PVP-down</v>
      </c>
      <c r="G42" t="str">
        <f>IF(R42&lt;2040,"PVV-down",IF(R42=2040,2040,IF(R42&gt;2040,"PVV-up")))</f>
        <v>PVV-up</v>
      </c>
      <c r="H42" s="3">
        <f t="shared" si="1"/>
        <v>3.1552890411861924E-3</v>
      </c>
      <c r="I42">
        <f>[1]!'2308.PreviousPrice'</f>
        <v>201.5</v>
      </c>
      <c r="J42">
        <f>[1]!'2308.PreOpenPrice'</f>
        <v>199</v>
      </c>
      <c r="K42">
        <f>[1]!'2308.Open'</f>
        <v>205</v>
      </c>
      <c r="L42">
        <f>[1]!'2308.Change'</f>
        <v>-2</v>
      </c>
      <c r="M42">
        <f>[1]!'2308.ChangePercent'</f>
        <v>-9.9000000000000008E-3</v>
      </c>
      <c r="N42">
        <f>[1]!'2308.BidPrice'</f>
        <v>199</v>
      </c>
      <c r="O42">
        <f>[1]!'2308.AskPrice'</f>
        <v>199.5</v>
      </c>
      <c r="P42">
        <f>[1]!'2308.Price'</f>
        <v>199.5</v>
      </c>
      <c r="Q42">
        <f>[1]!'2308.Volume'</f>
        <v>737</v>
      </c>
      <c r="R42">
        <f>[1]!'2308.CumulativeVolume'</f>
        <v>8196</v>
      </c>
      <c r="S42">
        <f>[1]!'2308.PreviousVolume'</f>
        <v>7545</v>
      </c>
      <c r="T42" s="3">
        <f t="shared" si="2"/>
        <v>-2.6829268292682926E-2</v>
      </c>
      <c r="U42" s="3">
        <f>((T42*AB42)*D4)</f>
        <v>-4.9824689806110225</v>
      </c>
      <c r="V42" s="5">
        <f t="shared" si="3"/>
        <v>0</v>
      </c>
      <c r="W42" s="5">
        <f t="shared" si="4"/>
        <v>147031500</v>
      </c>
      <c r="X42">
        <v>2308</v>
      </c>
      <c r="Y42" s="5">
        <v>25975433290</v>
      </c>
      <c r="Z42" s="3">
        <f>((D2*AB42)/P42)/10</f>
        <v>9.3916787893822032E-2</v>
      </c>
      <c r="AA42" s="3">
        <f>((M42*AB42)*D2)</f>
        <v>-1.8549035192969323</v>
      </c>
      <c r="AB42" s="3">
        <f>AE42/AE323</f>
        <v>1.4531099104092985E-2</v>
      </c>
      <c r="AC42" s="3">
        <f>AF42/AF323</f>
        <v>1.4540412808680373E-2</v>
      </c>
      <c r="AD42" s="5">
        <f t="shared" si="5"/>
        <v>516911122471</v>
      </c>
      <c r="AE42" s="5">
        <f t="shared" si="6"/>
        <v>518209894135.5</v>
      </c>
      <c r="AF42" s="5">
        <f t="shared" si="7"/>
        <v>523404980793.5</v>
      </c>
      <c r="AG42">
        <f t="shared" si="8"/>
        <v>0</v>
      </c>
      <c r="AH42" t="str">
        <f t="shared" si="9"/>
        <v>DAM200</v>
      </c>
      <c r="AI42">
        <f t="shared" si="10"/>
        <v>0</v>
      </c>
      <c r="AJ42">
        <f t="shared" si="11"/>
        <v>0</v>
      </c>
      <c r="AK42" t="str">
        <f>IF(Q42&lt;104,"down",IF(Q42=104,104,IF(Q42&gt;104,"up")))</f>
        <v>up</v>
      </c>
    </row>
    <row r="43" spans="1:37" x14ac:dyDescent="0.25">
      <c r="A43">
        <f>IF(X43=3008,3008,"Error")</f>
        <v>3008</v>
      </c>
      <c r="B43" t="str">
        <f>IF(K43&lt;3960,"down",IF(K43=3960,"low",IF(K43=4075,"high",IF(AND(K43&gt;3960,K43&lt;4075),"normal","up"))))</f>
        <v>down</v>
      </c>
      <c r="C43" t="str">
        <f>IF(K43&lt;3960,"down",IF(K43=3960,"low",IF(K43=4075,"high",IF(AND(K43&gt;3960,K43&lt;4075),"normal","up"))))</f>
        <v>down</v>
      </c>
      <c r="D43" t="str">
        <f>IF(K43&lt;3960,"down",IF(K43=3960,"low",IF(K43=4075,"high",IF(AND(K43&gt;3960,K43&lt;4075),"normal","up"))))</f>
        <v>down</v>
      </c>
      <c r="E43" t="str">
        <f>IF(K43&lt;3800,"down",IF(K43=3800,"low",IF(K43=4200,"high",IF(AND(K43&gt;3800,K43&lt;4200),"normal","up"))))</f>
        <v>normal</v>
      </c>
      <c r="F43" t="str">
        <f>IF(P43&lt;4000,"PVP-down",IF(P43=4000,4000,IF(P43&gt;4000,"PVP-up")))</f>
        <v>PVP-down</v>
      </c>
      <c r="G43" t="str">
        <f>IF(R43&lt;118,"PVV-down",IF(R43=118,118,IF(R43&gt;118,"PVV-up")))</f>
        <v>PVV-up</v>
      </c>
      <c r="H43" s="3">
        <f t="shared" si="1"/>
        <v>4.5027516994029767E-3</v>
      </c>
      <c r="I43">
        <f>[1]!'3008.PreviousPrice'</f>
        <v>4000</v>
      </c>
      <c r="J43">
        <f>[1]!'3008.PreOpenPrice'</f>
        <v>3885</v>
      </c>
      <c r="K43">
        <f>[1]!'3008.Open'</f>
        <v>3925</v>
      </c>
      <c r="L43">
        <f>[1]!'3008.Change'</f>
        <v>-35</v>
      </c>
      <c r="M43">
        <f>[1]!'3008.ChangePercent'</f>
        <v>-8.8999999999999999E-3</v>
      </c>
      <c r="N43">
        <f>[1]!'3008.BidPrice'</f>
        <v>3885</v>
      </c>
      <c r="O43">
        <f>[1]!'3008.AskPrice'</f>
        <v>3890</v>
      </c>
      <c r="P43">
        <f>[1]!'3008.Price'</f>
        <v>3885</v>
      </c>
      <c r="Q43">
        <f>[1]!'3008.Volume'</f>
        <v>72</v>
      </c>
      <c r="R43">
        <f>[1]!'3008.CumulativeVolume'</f>
        <v>604</v>
      </c>
      <c r="S43">
        <f>[1]!'3008.PreviousVolume'</f>
        <v>936</v>
      </c>
      <c r="T43" s="3">
        <f t="shared" si="2"/>
        <v>-1.019108280254777E-2</v>
      </c>
      <c r="U43" s="3">
        <f>((T43*AB43)*D4)</f>
        <v>-1.9032698488970197</v>
      </c>
      <c r="V43" s="5">
        <f t="shared" si="3"/>
        <v>279720000</v>
      </c>
      <c r="W43" s="5">
        <f t="shared" si="4"/>
        <v>0</v>
      </c>
      <c r="X43">
        <v>3008</v>
      </c>
      <c r="Y43" s="5">
        <v>1341401970</v>
      </c>
      <c r="Z43" s="3">
        <f>((D2*AB43)/P43)/10</f>
        <v>4.8499735457866169E-3</v>
      </c>
      <c r="AA43" s="3">
        <f>((M43*AB43)*D2)</f>
        <v>-1.6769511030589093</v>
      </c>
      <c r="AB43" s="3">
        <f>AE43/AE323</f>
        <v>1.4613112475089968E-2</v>
      </c>
      <c r="AC43" s="3">
        <f>AF43/AF323</f>
        <v>1.4905886723972349E-2</v>
      </c>
      <c r="AD43" s="5">
        <f t="shared" si="5"/>
        <v>521134665345</v>
      </c>
      <c r="AE43" s="5">
        <f t="shared" si="6"/>
        <v>521134665345</v>
      </c>
      <c r="AF43" s="5">
        <f t="shared" si="7"/>
        <v>536560788000</v>
      </c>
      <c r="AG43" t="str">
        <f t="shared" si="8"/>
        <v>DBM50</v>
      </c>
      <c r="AH43">
        <f t="shared" si="9"/>
        <v>0</v>
      </c>
      <c r="AI43">
        <f t="shared" si="10"/>
        <v>0</v>
      </c>
      <c r="AJ43">
        <f t="shared" si="11"/>
        <v>0</v>
      </c>
      <c r="AK43" t="str">
        <f>IF(Q43&lt;23,"down",IF(Q43=23,23,IF(Q43&gt;23,"up")))</f>
        <v>up</v>
      </c>
    </row>
    <row r="44" spans="1:37" x14ac:dyDescent="0.25">
      <c r="A44">
        <f>IF(X44=3045,3045,"Error")</f>
        <v>3045</v>
      </c>
      <c r="B44" t="str">
        <f>IF(K44&lt;103,"down",IF(K44=103,"low",IF(K44=104,"high",IF(AND(K44&gt;103,K44&lt;104),"normal","up"))))</f>
        <v>low</v>
      </c>
      <c r="C44" t="str">
        <f>IF(K44&lt;103,"down",IF(K44=103,"low",IF(K44=104,"high",IF(AND(K44&gt;103,K44&lt;104),"normal","up"))))</f>
        <v>low</v>
      </c>
      <c r="D44" t="str">
        <f>IF(K44&lt;103,"down",IF(K44=103,"low",IF(K44=104,"high",IF(AND(K44&gt;103,K44&lt;104),"normal","up"))))</f>
        <v>low</v>
      </c>
      <c r="E44" t="str">
        <f>IF(K44&lt;103,"down",IF(K44=103,"low",IF(K44=105,"high",IF(AND(K44&gt;103,K44&lt;105),"normal","up"))))</f>
        <v>low</v>
      </c>
      <c r="F44" t="str">
        <f>IF(P44&lt;103,"PVP-down",IF(P44=103,103,IF(P44&gt;103,"PVP-up")))</f>
        <v>PVP-down</v>
      </c>
      <c r="G44" t="str">
        <f>IF(R44&lt;3840,"PVV-down",IF(R44=3840,3840,IF(R44&gt;3840,"PVV-up")))</f>
        <v>PVV-up</v>
      </c>
      <c r="H44" s="3">
        <f t="shared" si="1"/>
        <v>1.7353509986411568E-3</v>
      </c>
      <c r="I44">
        <f>[1]!'3045.PreviousPrice'</f>
        <v>103</v>
      </c>
      <c r="J44">
        <f>[1]!'3045.PreOpenPrice'</f>
        <v>102.5</v>
      </c>
      <c r="K44">
        <f>[1]!'3045.Open'</f>
        <v>103</v>
      </c>
      <c r="L44">
        <f>[1]!'3045.Change'</f>
        <v>-0.5</v>
      </c>
      <c r="M44">
        <f>[1]!'3045.ChangePercent'</f>
        <v>-4.8999999999999998E-3</v>
      </c>
      <c r="N44">
        <f>[1]!'3045.BidPrice'</f>
        <v>102.5</v>
      </c>
      <c r="O44">
        <f>[1]!'3045.AskPrice'</f>
        <v>103</v>
      </c>
      <c r="P44">
        <f>[1]!'3045.Price'</f>
        <v>102.5</v>
      </c>
      <c r="Q44">
        <f>[1]!'3045.Volume'</f>
        <v>1730</v>
      </c>
      <c r="R44">
        <f>[1]!'3045.CumulativeVolume'</f>
        <v>6090</v>
      </c>
      <c r="S44">
        <f>[1]!'3045.PreviousVolume'</f>
        <v>6288</v>
      </c>
      <c r="T44" s="3">
        <f t="shared" si="2"/>
        <v>-4.8543689320388345E-3</v>
      </c>
      <c r="U44" s="3">
        <f>((T44*AB44)*D4)</f>
        <v>-0.62577280002143076</v>
      </c>
      <c r="V44" s="5">
        <f t="shared" si="3"/>
        <v>177325000</v>
      </c>
      <c r="W44" s="5">
        <f t="shared" si="4"/>
        <v>0</v>
      </c>
      <c r="X44">
        <v>3045</v>
      </c>
      <c r="Y44" s="5">
        <v>35093764920</v>
      </c>
      <c r="Z44" s="3">
        <f>((D2*AB44)/P44)/10</f>
        <v>0.12688503169862975</v>
      </c>
      <c r="AA44" s="3">
        <f>((M44*AB44)*D2)</f>
        <v>-0.63728007170636791</v>
      </c>
      <c r="AB44" s="3">
        <f>AE44/AE323</f>
        <v>1.0086641654342756E-2</v>
      </c>
      <c r="AC44" s="3">
        <f>AF44/AF323</f>
        <v>1.004167295120514E-2</v>
      </c>
      <c r="AD44" s="5">
        <f t="shared" si="5"/>
        <v>359711090430</v>
      </c>
      <c r="AE44" s="5">
        <f t="shared" si="6"/>
        <v>359711090430</v>
      </c>
      <c r="AF44" s="5">
        <f t="shared" si="7"/>
        <v>361465778676</v>
      </c>
      <c r="AG44" t="str">
        <f t="shared" si="8"/>
        <v>DBM200</v>
      </c>
      <c r="AH44">
        <f t="shared" si="9"/>
        <v>0</v>
      </c>
      <c r="AI44">
        <f t="shared" si="10"/>
        <v>0</v>
      </c>
      <c r="AJ44">
        <f t="shared" si="11"/>
        <v>0</v>
      </c>
      <c r="AK44" t="str">
        <f>IF(Q44&lt;34,"down",IF(Q44=34,34,IF(Q44&gt;34,"up")))</f>
        <v>up</v>
      </c>
    </row>
    <row r="45" spans="1:37" x14ac:dyDescent="0.25">
      <c r="A45">
        <f>IF(X45=3711,3711,"Error")</f>
        <v>3711</v>
      </c>
      <c r="B45" t="str">
        <f>IF(K45&lt;70.2,"down",IF(K45=70.2,"low",IF(K45=71.2,"high",IF(AND(K45&gt;70.2,K45&lt;71.2),"normal","up"))))</f>
        <v>normal</v>
      </c>
      <c r="C45" t="str">
        <f>IF(K45&lt;70.2,"down",IF(K45=70.2,"low",IF(K45=71.2,"high",IF(AND(K45&gt;70.2,K45&lt;71.2),"normal","up"))))</f>
        <v>normal</v>
      </c>
      <c r="D45" t="str">
        <f>IF(K45&lt;70.2,"down",IF(K45=70.2,"low",IF(K45=71.2,"high",IF(AND(K45&gt;70.2,K45&lt;71.2),"normal","up"))))</f>
        <v>normal</v>
      </c>
      <c r="E45" t="str">
        <f>IF(K45&lt;70.1,"down",IF(K45=70.1,"low",IF(K45=74.1,"high",IF(AND(K45&gt;70.1,K45&lt;74.1),"normal","up"))))</f>
        <v>normal</v>
      </c>
      <c r="F45" t="str">
        <f>IF(P45&lt;70.6,"PVP-down",IF(P45=70.6,70.6,IF(P45&gt;70.6,"PVP-up")))</f>
        <v>PVP-down</v>
      </c>
      <c r="G45" t="str">
        <f>IF(R45&lt;1915,"PVV-down",IF(R45=1915,1915,IF(R45&gt;1915,"PVV-up")))</f>
        <v>PVV-up</v>
      </c>
      <c r="H45" s="3">
        <f t="shared" si="1"/>
        <v>2.3495133950536969E-3</v>
      </c>
      <c r="I45">
        <f>[1]!'3711.PreviousPrice'</f>
        <v>70.400000000000006</v>
      </c>
      <c r="J45">
        <f>[1]!'3711.PreOpenPrice'</f>
        <v>70.400000000000006</v>
      </c>
      <c r="K45">
        <f>[1]!'3711.Open'</f>
        <v>70.400000000000006</v>
      </c>
      <c r="L45">
        <f>[1]!'3711.Change'</f>
        <v>0</v>
      </c>
      <c r="M45">
        <f>[1]!'3711.ChangePercent'</f>
        <v>0</v>
      </c>
      <c r="N45">
        <f>[1]!'3711.BidPrice'</f>
        <v>70.400000000000006</v>
      </c>
      <c r="O45">
        <f>[1]!'3711.AskPrice'</f>
        <v>70.5</v>
      </c>
      <c r="P45">
        <f>[1]!'3711.Price'</f>
        <v>70.400000000000006</v>
      </c>
      <c r="Q45">
        <f>[1]!'3711.Volume'</f>
        <v>1030</v>
      </c>
      <c r="R45">
        <f>[1]!'3711.CumulativeVolume'</f>
        <v>10193</v>
      </c>
      <c r="S45">
        <f>[1]!'3711.PreviousVolume'</f>
        <v>9240</v>
      </c>
      <c r="T45" s="3">
        <f t="shared" si="2"/>
        <v>0</v>
      </c>
      <c r="U45" s="3">
        <f>((T45*AB45)*D4)</f>
        <v>0</v>
      </c>
      <c r="V45" s="5">
        <f t="shared" si="3"/>
        <v>72512000</v>
      </c>
      <c r="W45" s="5">
        <f t="shared" si="4"/>
        <v>0</v>
      </c>
      <c r="X45">
        <v>3711</v>
      </c>
      <c r="Y45" s="5">
        <v>43383451320</v>
      </c>
      <c r="Z45" s="3">
        <f>((D2*AB45)/P45)/10</f>
        <v>0.15685722544967001</v>
      </c>
      <c r="AA45" s="3">
        <f>((M45*AB45)*D2)</f>
        <v>0</v>
      </c>
      <c r="AB45" s="3">
        <f>AE45/AE323</f>
        <v>8.5642536619022561E-3</v>
      </c>
      <c r="AC45" s="3">
        <f>AF45/AF323</f>
        <v>8.4846834352327975E-3</v>
      </c>
      <c r="AD45" s="5">
        <f t="shared" si="5"/>
        <v>305419497292.80005</v>
      </c>
      <c r="AE45" s="5">
        <f t="shared" si="6"/>
        <v>305419497292.80005</v>
      </c>
      <c r="AF45" s="5">
        <f t="shared" si="7"/>
        <v>305419497292.80005</v>
      </c>
      <c r="AG45">
        <f t="shared" si="8"/>
        <v>0</v>
      </c>
      <c r="AH45">
        <f t="shared" si="9"/>
        <v>0</v>
      </c>
      <c r="AI45">
        <f t="shared" si="10"/>
        <v>0</v>
      </c>
      <c r="AJ45">
        <f t="shared" si="11"/>
        <v>0</v>
      </c>
      <c r="AK45" t="str">
        <f>IF(Q45&lt;154,"down",IF(Q45=154,154,IF(Q45&gt;154,"up")))</f>
        <v>up</v>
      </c>
    </row>
    <row r="46" spans="1:37" x14ac:dyDescent="0.25">
      <c r="A46">
        <f>IF(X46=2382,2382,"Error")</f>
        <v>2382</v>
      </c>
      <c r="B46" t="str">
        <f>IF(K46&lt;76.3,"down",IF(K46=76.3,"low",IF(K46=77.6,"high",IF(AND(K46&gt;76.3,K46&lt;77.6),"normal","up"))))</f>
        <v>normal</v>
      </c>
      <c r="C46" t="str">
        <f>IF(K46&lt;76.3,"down",IF(K46=76.3,"low",IF(K46=77.6,"high",IF(AND(K46&gt;76.3,K46&lt;77.6),"normal","up"))))</f>
        <v>normal</v>
      </c>
      <c r="D46" t="str">
        <f>IF(K46&lt;76.3,"down",IF(K46=76.3,"low",IF(K46=77.6,"high",IF(AND(K46&gt;76.3,K46&lt;77.6),"normal","up"))))</f>
        <v>normal</v>
      </c>
      <c r="E46" t="str">
        <f>IF(K46&lt;73.3,"down",IF(K46=73.3,"low",IF(K46=77.9,"high",IF(AND(K46&gt;73.3,K46&lt;77.9),"normal","up"))))</f>
        <v>normal</v>
      </c>
      <c r="F46" t="str">
        <f>IF(P46&lt;76.5,"PVP-down",IF(P46=76.5,76.5,IF(P46&gt;76.5,"PVP-up")))</f>
        <v>PVP-down</v>
      </c>
      <c r="G46" t="str">
        <f>IF(R46&lt;2854,"PVV-down",IF(R46=2854,2854,IF(R46&gt;2854,"PVV-up")))</f>
        <v>PVV-up</v>
      </c>
      <c r="H46" s="3">
        <f t="shared" si="1"/>
        <v>2.0535244829173057E-3</v>
      </c>
      <c r="I46">
        <f>[1]!'2382.PreviousPrice'</f>
        <v>76.3</v>
      </c>
      <c r="J46">
        <f>[1]!'2382.PreOpenPrice'</f>
        <v>75.3</v>
      </c>
      <c r="K46">
        <f>[1]!'2382.Open'</f>
        <v>76.5</v>
      </c>
      <c r="L46">
        <f>[1]!'2382.Change'</f>
        <v>-1</v>
      </c>
      <c r="M46">
        <f>[1]!'2382.ChangePercent'</f>
        <v>-1.3100000000000001E-2</v>
      </c>
      <c r="N46">
        <f>[1]!'2382.BidPrice'</f>
        <v>75.3</v>
      </c>
      <c r="O46">
        <f>[1]!'2382.AskPrice'</f>
        <v>75.5</v>
      </c>
      <c r="P46">
        <f>[1]!'2382.Price'</f>
        <v>75.3</v>
      </c>
      <c r="Q46">
        <f>[1]!'2382.Volume'</f>
        <v>934</v>
      </c>
      <c r="R46">
        <f>[1]!'2382.CumulativeVolume'</f>
        <v>7932</v>
      </c>
      <c r="S46">
        <f>[1]!'2382.PreviousVolume'</f>
        <v>10837</v>
      </c>
      <c r="T46" s="3">
        <f t="shared" si="2"/>
        <v>-1.568627450980396E-2</v>
      </c>
      <c r="U46" s="3">
        <f>((T46*AB46)*D4)</f>
        <v>-1.635037365568506</v>
      </c>
      <c r="V46" s="5">
        <f t="shared" si="3"/>
        <v>70330200</v>
      </c>
      <c r="W46" s="5">
        <f t="shared" si="4"/>
        <v>0</v>
      </c>
      <c r="X46">
        <v>2382</v>
      </c>
      <c r="Y46" s="5">
        <v>38626274320</v>
      </c>
      <c r="Z46" s="3">
        <f>((D2*AB46)/P46)/10</f>
        <v>0.13965717422071247</v>
      </c>
      <c r="AA46" s="3">
        <f>((M46*AB46)*D2)</f>
        <v>-1.377620263665374</v>
      </c>
      <c r="AB46" s="3">
        <f>AE46/AE323</f>
        <v>8.1558749952068011E-3</v>
      </c>
      <c r="AC46" s="3">
        <f>AF46/AF323</f>
        <v>8.1874044342545305E-3</v>
      </c>
      <c r="AD46" s="5">
        <f t="shared" si="5"/>
        <v>290855845629.59998</v>
      </c>
      <c r="AE46" s="5">
        <f t="shared" si="6"/>
        <v>290855845629.59998</v>
      </c>
      <c r="AF46" s="5">
        <f t="shared" si="7"/>
        <v>294718473061.59998</v>
      </c>
      <c r="AG46" t="str">
        <f t="shared" si="8"/>
        <v>DBM200</v>
      </c>
      <c r="AH46">
        <f t="shared" si="9"/>
        <v>0</v>
      </c>
      <c r="AI46">
        <f t="shared" si="10"/>
        <v>0</v>
      </c>
      <c r="AJ46">
        <f t="shared" si="11"/>
        <v>0</v>
      </c>
      <c r="AK46" t="str">
        <f>IF(Q46&lt;340,"down",IF(Q46=340,340,IF(Q46&gt;340,"up")))</f>
        <v>up</v>
      </c>
    </row>
    <row r="47" spans="1:37" x14ac:dyDescent="0.25">
      <c r="A47">
        <f>IF(X47=2303,2303,"Error")</f>
        <v>2303</v>
      </c>
      <c r="B47" t="str">
        <f>IF(K47&lt;24.95,"down",IF(K47=24.95,"low",IF(K47=26.2,"high",IF(AND(K47&gt;24.95,K47&lt;26.2),"normal","up"))))</f>
        <v>normal</v>
      </c>
      <c r="C47" t="str">
        <f>IF(K47&lt;24.95,"down",IF(K47=24.95,"low",IF(K47=26.2,"high",IF(AND(K47&gt;24.95,K47&lt;26.2),"normal","up"))))</f>
        <v>normal</v>
      </c>
      <c r="D47" t="str">
        <f>IF(K47&lt;24.95,"down",IF(K47=24.95,"low",IF(K47=26.2,"high",IF(AND(K47&gt;24.95,K47&lt;26.2),"normal","up"))))</f>
        <v>normal</v>
      </c>
      <c r="E47" t="str">
        <f>IF(K47&lt;22.4,"down",IF(K47=22.4,"low",IF(K47=27.4,"high",IF(AND(K47&gt;22.4,K47&lt;27.4),"normal","up"))))</f>
        <v>normal</v>
      </c>
      <c r="F47" t="str">
        <f>IF(P47&lt;25.3,"PVP-down",IF(P47=25.3,25.3,IF(P47&gt;25.3,"PVP-up")))</f>
        <v>PVP-down</v>
      </c>
      <c r="G47" t="str">
        <f>IF(R47&lt;23640,"PVV-down",IF(R47=23640,23640,IF(R47&gt;23640,"PVV-up")))</f>
        <v>PVV-up</v>
      </c>
      <c r="H47" s="3">
        <f t="shared" si="1"/>
        <v>1.1789774192555709E-2</v>
      </c>
      <c r="I47">
        <f>[1]!'2303.PreviousPrice'</f>
        <v>25.3</v>
      </c>
      <c r="J47">
        <f>[1]!'2303.PreOpenPrice'</f>
        <v>25</v>
      </c>
      <c r="K47">
        <f>[1]!'2303.Open'</f>
        <v>25.5</v>
      </c>
      <c r="L47">
        <f>[1]!'2303.Change'</f>
        <v>-0.3</v>
      </c>
      <c r="M47">
        <f>[1]!'2303.ChangePercent'</f>
        <v>-1.1900000000000001E-2</v>
      </c>
      <c r="N47">
        <f>[1]!'2303.BidPrice'</f>
        <v>25</v>
      </c>
      <c r="O47">
        <f>[1]!'2303.AskPrice'</f>
        <v>25.05</v>
      </c>
      <c r="P47">
        <f>[1]!'2303.Price'</f>
        <v>25</v>
      </c>
      <c r="Q47">
        <f>[1]!'2303.Volume'</f>
        <v>8715</v>
      </c>
      <c r="R47">
        <f>[1]!'2303.CumulativeVolume'</f>
        <v>144099</v>
      </c>
      <c r="S47">
        <f>[1]!'2303.PreviousVolume'</f>
        <v>187529</v>
      </c>
      <c r="T47" s="3">
        <f t="shared" si="2"/>
        <v>-1.9607843137254902E-2</v>
      </c>
      <c r="U47" s="3">
        <f>((T47*AB47)*D4)</f>
        <v>-2.1471153996037025</v>
      </c>
      <c r="V47" s="5">
        <f t="shared" si="3"/>
        <v>217875000</v>
      </c>
      <c r="W47" s="5">
        <f t="shared" si="4"/>
        <v>0</v>
      </c>
      <c r="X47">
        <v>2303</v>
      </c>
      <c r="Y47" s="5">
        <v>122223714930</v>
      </c>
      <c r="Z47" s="3">
        <f>((D2*AB47)/P47)/10</f>
        <v>0.44191211682674414</v>
      </c>
      <c r="AA47" s="3">
        <f>((M47*AB47)*D2)</f>
        <v>-1.314688547559564</v>
      </c>
      <c r="AB47" s="3">
        <f>AE47/AE323</f>
        <v>8.5681735075760854E-3</v>
      </c>
      <c r="AC47" s="3">
        <f>AF47/AF323</f>
        <v>8.5904296640776142E-3</v>
      </c>
      <c r="AD47" s="5">
        <f t="shared" si="5"/>
        <v>305559287325</v>
      </c>
      <c r="AE47" s="5">
        <f t="shared" si="6"/>
        <v>305559287325</v>
      </c>
      <c r="AF47" s="5">
        <f t="shared" si="7"/>
        <v>309225998772.90002</v>
      </c>
      <c r="AG47" t="str">
        <f t="shared" si="8"/>
        <v>DBM200</v>
      </c>
      <c r="AH47">
        <f t="shared" si="9"/>
        <v>0</v>
      </c>
      <c r="AI47">
        <f t="shared" si="10"/>
        <v>0</v>
      </c>
      <c r="AJ47">
        <f t="shared" si="11"/>
        <v>0</v>
      </c>
      <c r="AK47" t="str">
        <f>IF(Q47&lt;8774,"down",IF(Q47=8774,8774,IF(Q47&gt;8774,"up")))</f>
        <v>down</v>
      </c>
    </row>
    <row r="48" spans="1:37" x14ac:dyDescent="0.25">
      <c r="A48">
        <f>IF(X48=2395,2395,"Error")</f>
        <v>2395</v>
      </c>
      <c r="B48" t="str">
        <f>IF(K48&lt;298.5,"down",IF(K48=298.5,"low",IF(K48=301.5,"high",IF(AND(K48&gt;298.5,K48&lt;301.5),"normal","up"))))</f>
        <v>normal</v>
      </c>
      <c r="C48" t="str">
        <f>IF(K48&lt;298.5,"down",IF(K48=298.5,"low",IF(K48=301.5,"high",IF(AND(K48&gt;298.5,K48&lt;301.5),"normal","up"))))</f>
        <v>normal</v>
      </c>
      <c r="D48" t="str">
        <f>IF(K48&lt;298.5,"down",IF(K48=298.5,"low",IF(K48=301.5,"high",IF(AND(K48&gt;298.5,K48&lt;301.5),"normal","up"))))</f>
        <v>normal</v>
      </c>
      <c r="E48" t="str">
        <f>IF(K48&lt;296,"down",IF(K48=296,"low",IF(K48=314,"high",IF(AND(K48&gt;296,K48&lt;314),"normal","up"))))</f>
        <v>normal</v>
      </c>
      <c r="F48" t="str">
        <f>IF(P48&lt;300,"PVP-down",IF(P48=300,300,IF(P48&gt;300,"PVP-up")))</f>
        <v>PVP-up</v>
      </c>
      <c r="G48" t="str">
        <f>IF(R48&lt;370,"PVV-down",IF(R48=370,370,IF(R48&gt;370,"PVV-up")))</f>
        <v>PVV-up</v>
      </c>
      <c r="H48" s="3">
        <f t="shared" si="1"/>
        <v>1.3754333703050014E-3</v>
      </c>
      <c r="I48">
        <f>[1]!'2395.PreviousPrice'</f>
        <v>300</v>
      </c>
      <c r="J48">
        <f>[1]!'2395.PreOpenPrice'</f>
        <v>302</v>
      </c>
      <c r="K48">
        <f>[1]!'2395.Open'</f>
        <v>299</v>
      </c>
      <c r="L48">
        <f>[1]!'2395.Change'</f>
        <v>2</v>
      </c>
      <c r="M48">
        <f>[1]!'2395.ChangePercent'</f>
        <v>6.7000000000000002E-3</v>
      </c>
      <c r="N48">
        <f>[1]!'2395.BidPrice'</f>
        <v>302</v>
      </c>
      <c r="O48">
        <f>[1]!'2395.AskPrice'</f>
        <v>302.5</v>
      </c>
      <c r="P48">
        <f>[1]!'2395.Price'</f>
        <v>302</v>
      </c>
      <c r="Q48">
        <f>[1]!'2395.Volume'</f>
        <v>131</v>
      </c>
      <c r="R48">
        <f>[1]!'2395.CumulativeVolume'</f>
        <v>964</v>
      </c>
      <c r="S48">
        <f>[1]!'2395.PreviousVolume'</f>
        <v>1045</v>
      </c>
      <c r="T48" s="3">
        <f t="shared" si="2"/>
        <v>1.0033444816053512E-2</v>
      </c>
      <c r="U48" s="3">
        <f>((T48*AB48)*D4)</f>
        <v>0.7610699258965673</v>
      </c>
      <c r="V48" s="5">
        <f t="shared" si="3"/>
        <v>39562000</v>
      </c>
      <c r="W48" s="5">
        <f t="shared" si="4"/>
        <v>0</v>
      </c>
      <c r="X48">
        <v>2395</v>
      </c>
      <c r="Y48" s="5">
        <v>7008700100</v>
      </c>
      <c r="Z48" s="3">
        <f>((D2*AB48)/P48)/10</f>
        <v>2.5340659127965959E-2</v>
      </c>
      <c r="AA48" s="3">
        <f>((M48*AB48)*D2)</f>
        <v>0.51274289679526319</v>
      </c>
      <c r="AB48" s="3">
        <f>AE48/AE323</f>
        <v>5.935224954743073E-3</v>
      </c>
      <c r="AC48" s="3">
        <f>AF48/AF323</f>
        <v>5.8411400223059356E-3</v>
      </c>
      <c r="AD48" s="5">
        <f t="shared" si="5"/>
        <v>211662743020</v>
      </c>
      <c r="AE48" s="5">
        <f t="shared" si="6"/>
        <v>211662743020</v>
      </c>
      <c r="AF48" s="5">
        <f t="shared" si="7"/>
        <v>210261003000</v>
      </c>
      <c r="AG48">
        <f t="shared" si="8"/>
        <v>0</v>
      </c>
      <c r="AH48">
        <f t="shared" si="9"/>
        <v>0</v>
      </c>
      <c r="AI48">
        <f t="shared" si="10"/>
        <v>0</v>
      </c>
      <c r="AJ48" t="str">
        <f t="shared" si="11"/>
        <v>UBM100</v>
      </c>
      <c r="AK48" t="str">
        <f>IF(Q48&lt;54,"down",IF(Q48=54,54,IF(Q48&gt;54,"up")))</f>
        <v>up</v>
      </c>
    </row>
    <row r="49" spans="1:37" x14ac:dyDescent="0.25">
      <c r="A49">
        <f>IF(X49=4904,4904,"Error")</f>
        <v>4904</v>
      </c>
      <c r="B49" t="str">
        <f>IF(K49&lt;62.1,"down",IF(K49=62.1,"low",IF(K49=62.3,"high",IF(AND(K49&gt;62.1,K49&lt;62.3),"normal","up"))))</f>
        <v>down</v>
      </c>
      <c r="C49" t="str">
        <f>IF(K49&lt;62.1,"down",IF(K49=62.1,"low",IF(K49=62.3,"high",IF(AND(K49&gt;62.1,K49&lt;62.3),"normal","up"))))</f>
        <v>down</v>
      </c>
      <c r="D49" t="str">
        <f>IF(K49&lt;62.1,"down",IF(K49=62.1,"low",IF(K49=62.3,"high",IF(AND(K49&gt;62.1,K49&lt;62.3),"normal","up"))))</f>
        <v>down</v>
      </c>
      <c r="E49" t="str">
        <f>IF(K49&lt;61.9,"down",IF(K49=61.9,"low",IF(K49=63.3,"high",IF(AND(K49&gt;61.9,K49&lt;63.3),"normal","up"))))</f>
        <v>normal</v>
      </c>
      <c r="F49" t="str">
        <f>IF(P49&lt;62.2,"PVP-down",IF(P49=62.2,62.2,IF(P49&gt;62.2,"PVP-up")))</f>
        <v>PVP-down</v>
      </c>
      <c r="G49" t="str">
        <f>IF(R49&lt;607,"PVV-down",IF(R49=607,607,IF(R49&gt;607,"PVV-up")))</f>
        <v>PVV-up</v>
      </c>
      <c r="H49" s="3">
        <f t="shared" si="1"/>
        <v>6.7883978828901998E-4</v>
      </c>
      <c r="I49">
        <f>[1]!'4904.PreviousPrice'</f>
        <v>62.1</v>
      </c>
      <c r="J49">
        <f>[1]!'4904.PreOpenPrice'</f>
        <v>62</v>
      </c>
      <c r="K49">
        <f>[1]!'4904.Open'</f>
        <v>62</v>
      </c>
      <c r="L49">
        <f>[1]!'4904.Change'</f>
        <v>-0.1</v>
      </c>
      <c r="M49">
        <f>[1]!'4904.ChangePercent'</f>
        <v>-1.6000000000000001E-3</v>
      </c>
      <c r="N49">
        <f>[1]!'4904.BidPrice'</f>
        <v>61.9</v>
      </c>
      <c r="O49">
        <f>[1]!'4904.AskPrice'</f>
        <v>62</v>
      </c>
      <c r="P49">
        <f>[1]!'4904.Price'</f>
        <v>62</v>
      </c>
      <c r="Q49">
        <f>[1]!'4904.Volume'</f>
        <v>252</v>
      </c>
      <c r="R49">
        <f>[1]!'4904.CumulativeVolume'</f>
        <v>2212</v>
      </c>
      <c r="S49">
        <f>[1]!'4904.PreviousVolume'</f>
        <v>1223</v>
      </c>
      <c r="T49" s="3">
        <f t="shared" si="2"/>
        <v>0</v>
      </c>
      <c r="U49" s="3">
        <f>((T49*AB49)*D4)</f>
        <v>0</v>
      </c>
      <c r="V49" s="5">
        <f t="shared" si="3"/>
        <v>0</v>
      </c>
      <c r="W49" s="5">
        <f t="shared" si="4"/>
        <v>15624000</v>
      </c>
      <c r="X49">
        <v>4904</v>
      </c>
      <c r="Y49" s="5">
        <v>32585008100</v>
      </c>
      <c r="Z49" s="3">
        <f>((D2*AB49)/P49)/10</f>
        <v>0.11781436944977994</v>
      </c>
      <c r="AA49" s="3">
        <f>((M49*AB49)*D2)</f>
        <v>-0.11687185449418171</v>
      </c>
      <c r="AB49" s="3">
        <f>AE49/AE323</f>
        <v>5.6650309491905974E-3</v>
      </c>
      <c r="AC49" s="3">
        <f>AF49/AF323</f>
        <v>5.6214495684577988E-3</v>
      </c>
      <c r="AD49" s="5">
        <f t="shared" si="5"/>
        <v>202027050220</v>
      </c>
      <c r="AE49" s="5">
        <f t="shared" si="6"/>
        <v>202027050220</v>
      </c>
      <c r="AF49" s="5">
        <f t="shared" si="7"/>
        <v>202352900301</v>
      </c>
      <c r="AG49">
        <f t="shared" si="8"/>
        <v>0</v>
      </c>
      <c r="AH49" t="str">
        <f t="shared" si="9"/>
        <v>DAM200</v>
      </c>
      <c r="AI49">
        <f t="shared" si="10"/>
        <v>0</v>
      </c>
      <c r="AJ49">
        <f t="shared" si="11"/>
        <v>0</v>
      </c>
      <c r="AK49" t="str">
        <f>IF(Q49&lt;23,"down",IF(Q49=23,23,IF(Q49&gt;23,"up")))</f>
        <v>up</v>
      </c>
    </row>
    <row r="50" spans="1:37" x14ac:dyDescent="0.25">
      <c r="A50">
        <f>IF(X50=2327,2327,"Error")</f>
        <v>2327</v>
      </c>
      <c r="B50" t="str">
        <f>IF(K50&lt;383,"down",IF(K50=383,"low",IF(K50=390,"high",IF(AND(K50&gt;383,K50&lt;390),"normal","up"))))</f>
        <v>normal</v>
      </c>
      <c r="C50" t="str">
        <f>IF(K50&lt;383,"down",IF(K50=383,"low",IF(K50=390,"high",IF(AND(K50&gt;383,K50&lt;390),"normal","up"))))</f>
        <v>normal</v>
      </c>
      <c r="D50" t="str">
        <f>IF(K50&lt;383,"down",IF(K50=383,"low",IF(K50=390,"high",IF(AND(K50&gt;383,K50&lt;390),"normal","up"))))</f>
        <v>normal</v>
      </c>
      <c r="E50" t="str">
        <f>IF(K50&lt;383,"down",IF(K50=383,"low",IF(K50=404.5,"high",IF(AND(K50&gt;383,K50&lt;404.5),"normal","up"))))</f>
        <v>normal</v>
      </c>
      <c r="F50" t="str">
        <f>IF(P50&lt;384.5,"PVP-down",IF(P50=384.5,384.5,IF(P50&gt;384.5,"PVP-up")))</f>
        <v>PVP-up</v>
      </c>
      <c r="G50" t="str">
        <f>IF(R50&lt;2202,"PVV-down",IF(R50=2202,2202,IF(R50&gt;2202,"PVV-up")))</f>
        <v>PVV-up</v>
      </c>
      <c r="H50" s="3">
        <f t="shared" si="1"/>
        <v>1.2579328364175876E-2</v>
      </c>
      <c r="I50">
        <f>[1]!'2327.PreviousPrice'</f>
        <v>384.5</v>
      </c>
      <c r="J50">
        <f>[1]!'2327.PreOpenPrice'</f>
        <v>385.5</v>
      </c>
      <c r="K50">
        <f>[1]!'2327.Open'</f>
        <v>386</v>
      </c>
      <c r="L50">
        <f>[1]!'2327.Change'</f>
        <v>1</v>
      </c>
      <c r="M50">
        <f>[1]!'2327.ChangePercent'</f>
        <v>2.5999999999999999E-3</v>
      </c>
      <c r="N50">
        <f>[1]!'2327.BidPrice'</f>
        <v>385.5</v>
      </c>
      <c r="O50">
        <f>[1]!'2327.AskPrice'</f>
        <v>386</v>
      </c>
      <c r="P50">
        <f>[1]!'2327.Price'</f>
        <v>385.5</v>
      </c>
      <c r="Q50">
        <f>[1]!'2327.Volume'</f>
        <v>386</v>
      </c>
      <c r="R50">
        <f>[1]!'2327.CumulativeVolume'</f>
        <v>6210</v>
      </c>
      <c r="S50">
        <f>[1]!'2327.PreviousVolume'</f>
        <v>8266</v>
      </c>
      <c r="T50" s="3">
        <f t="shared" si="2"/>
        <v>-1.2953367875647669E-3</v>
      </c>
      <c r="U50" s="3">
        <f>((T50*AB50)*D4)</f>
        <v>-8.8342829059788117E-2</v>
      </c>
      <c r="V50" s="5">
        <f t="shared" si="3"/>
        <v>148803000</v>
      </c>
      <c r="W50" s="5">
        <f t="shared" si="4"/>
        <v>0</v>
      </c>
      <c r="X50">
        <v>2327</v>
      </c>
      <c r="Y50" s="5">
        <v>4936670560</v>
      </c>
      <c r="Z50" s="3">
        <f>((D2*AB50)/P50)/10</f>
        <v>1.7849028222512307E-2</v>
      </c>
      <c r="AA50" s="3">
        <f>((M50*AB50)*D2)</f>
        <v>0.17890080987424081</v>
      </c>
      <c r="AB50" s="3">
        <f>AE50/AE323</f>
        <v>5.336435845958192E-3</v>
      </c>
      <c r="AC50" s="3">
        <f>AF50/AF323</f>
        <v>5.2731408982270344E-3</v>
      </c>
      <c r="AD50" s="5">
        <f t="shared" si="5"/>
        <v>190308650088</v>
      </c>
      <c r="AE50" s="5">
        <f t="shared" si="6"/>
        <v>190308650088</v>
      </c>
      <c r="AF50" s="5">
        <f t="shared" si="7"/>
        <v>189814983032</v>
      </c>
      <c r="AG50">
        <f t="shared" si="8"/>
        <v>0</v>
      </c>
      <c r="AH50">
        <f t="shared" si="9"/>
        <v>0</v>
      </c>
      <c r="AI50">
        <f t="shared" si="10"/>
        <v>0</v>
      </c>
      <c r="AJ50" t="str">
        <f t="shared" si="11"/>
        <v>UBM200</v>
      </c>
      <c r="AK50" t="str">
        <f>IF(Q50&lt;318,"down",IF(Q50=318,318,IF(Q50&gt;318,"up")))</f>
        <v>up</v>
      </c>
    </row>
    <row r="51" spans="1:37" x14ac:dyDescent="0.25">
      <c r="A51">
        <f>IF(X51=2379,2379,"Error")</f>
        <v>2379</v>
      </c>
      <c r="B51" t="str">
        <f>IF(K51&lt;400,"down",IF(K51=400,"low",IF(K51=412,"high",IF(AND(K51&gt;400,K51&lt;412),"normal","up"))))</f>
        <v>normal</v>
      </c>
      <c r="C51" t="str">
        <f>IF(K51&lt;400,"down",IF(K51=400,"low",IF(K51=412,"high",IF(AND(K51&gt;400,K51&lt;412),"normal","up"))))</f>
        <v>normal</v>
      </c>
      <c r="D51" t="str">
        <f>IF(K51&lt;400,"down",IF(K51=400,"low",IF(K51=412,"high",IF(AND(K51&gt;400,K51&lt;412),"normal","up"))))</f>
        <v>normal</v>
      </c>
      <c r="E51" t="str">
        <f>IF(K51&lt;378,"down",IF(K51=378,"low",IF(K51=432,"high",IF(AND(K51&gt;378,K51&lt;432),"normal","up"))))</f>
        <v>normal</v>
      </c>
      <c r="F51" t="str">
        <f>IF(P51&lt;404,"PVP-down",IF(P51=404,404,IF(P51&gt;404,"PVP-up")))</f>
        <v>PVP-up</v>
      </c>
      <c r="G51" t="str">
        <f>IF(R51&lt;490,"PVV-down",IF(R51=490,490,IF(R51&gt;490,"PVV-up")))</f>
        <v>PVV-up</v>
      </c>
      <c r="H51" s="3">
        <f t="shared" si="1"/>
        <v>1.0413466817477216E-2</v>
      </c>
      <c r="I51">
        <f>[1]!'2379.PreviousPrice'</f>
        <v>404</v>
      </c>
      <c r="J51">
        <f>[1]!'2379.PreOpenPrice'</f>
        <v>408.5</v>
      </c>
      <c r="K51">
        <f>[1]!'2379.Open'</f>
        <v>407</v>
      </c>
      <c r="L51">
        <f>[1]!'2379.Change'</f>
        <v>4.5</v>
      </c>
      <c r="M51">
        <f>[1]!'2379.ChangePercent'</f>
        <v>1.11E-2</v>
      </c>
      <c r="N51">
        <f>[1]!'2379.BidPrice'</f>
        <v>408</v>
      </c>
      <c r="O51">
        <f>[1]!'2379.AskPrice'</f>
        <v>408.5</v>
      </c>
      <c r="P51">
        <f>[1]!'2379.Price'</f>
        <v>408.5</v>
      </c>
      <c r="Q51">
        <f>[1]!'2379.Volume'</f>
        <v>264</v>
      </c>
      <c r="R51">
        <f>[1]!'2379.CumulativeVolume'</f>
        <v>5318</v>
      </c>
      <c r="S51">
        <f>[1]!'2379.PreviousVolume'</f>
        <v>4437</v>
      </c>
      <c r="T51" s="3">
        <f t="shared" si="2"/>
        <v>3.6855036855036856E-3</v>
      </c>
      <c r="U51" s="3">
        <f>((T51*AB51)*D4)</f>
        <v>0.27553195943232883</v>
      </c>
      <c r="V51" s="5">
        <f t="shared" si="3"/>
        <v>0</v>
      </c>
      <c r="W51" s="5">
        <f t="shared" si="4"/>
        <v>107844000</v>
      </c>
      <c r="X51">
        <v>2379</v>
      </c>
      <c r="Y51" s="5">
        <v>5106848750</v>
      </c>
      <c r="Z51" s="3">
        <f>((D2*AB51)/P51)/10</f>
        <v>1.8464324560246059E-2</v>
      </c>
      <c r="AA51" s="3">
        <f>((M51*AB51)*D2)</f>
        <v>0.83723710069751733</v>
      </c>
      <c r="AB51" s="3">
        <f>AE51/AE323</f>
        <v>5.8497569279203632E-3</v>
      </c>
      <c r="AC51" s="3">
        <f>AF51/AF323</f>
        <v>5.7315653169794723E-3</v>
      </c>
      <c r="AD51" s="5">
        <f t="shared" si="5"/>
        <v>208614771437.5</v>
      </c>
      <c r="AE51" s="5">
        <f t="shared" si="6"/>
        <v>208614771437.5</v>
      </c>
      <c r="AF51" s="5">
        <f t="shared" si="7"/>
        <v>206316689500</v>
      </c>
      <c r="AG51">
        <f t="shared" si="8"/>
        <v>0</v>
      </c>
      <c r="AH51">
        <f t="shared" si="9"/>
        <v>0</v>
      </c>
      <c r="AI51" t="str">
        <f t="shared" si="10"/>
        <v>UAM200</v>
      </c>
      <c r="AJ51">
        <f t="shared" si="11"/>
        <v>0</v>
      </c>
      <c r="AK51" t="str">
        <f>IF(Q51&lt;110,"down",IF(Q51=110,110,IF(Q51&gt;110,"up")))</f>
        <v>up</v>
      </c>
    </row>
    <row r="52" spans="1:37" x14ac:dyDescent="0.25">
      <c r="A52">
        <f>IF(X52=2408,2408,"Error")</f>
        <v>2408</v>
      </c>
      <c r="B52" t="str">
        <f>IF(K52&lt;53.7,"down",IF(K52=53.7,"low",IF(K52=54.8,"high",IF(AND(K52&gt;53.7,K52&lt;54.8),"normal","up"))))</f>
        <v>normal</v>
      </c>
      <c r="C52" t="str">
        <f>IF(K52&lt;53.7,"down",IF(K52=53.7,"low",IF(K52=54.8,"high",IF(AND(K52&gt;53.7,K52&lt;54.8),"normal","up"))))</f>
        <v>normal</v>
      </c>
      <c r="D52" t="str">
        <f>IF(K52&lt;53.7,"down",IF(K52=53.7,"low",IF(K52=54.8,"high",IF(AND(K52&gt;53.7,K52&lt;54.8),"normal","up"))))</f>
        <v>normal</v>
      </c>
      <c r="E52" t="str">
        <f>IF(K52&lt;53.7,"down",IF(K52=53.7,"low",IF(K52=60.9,"high",IF(AND(K52&gt;53.7,K52&lt;60.9),"normal","up"))))</f>
        <v>normal</v>
      </c>
      <c r="F52" t="str">
        <f>IF(P52&lt;54.4,"PVP-down",IF(P52=54.4,54.4,IF(P52&gt;54.4,"PVP-up")))</f>
        <v>PVP-up</v>
      </c>
      <c r="G52" t="str">
        <f>IF(R52&lt;3510,"PVV-down",IF(R52=3510,3510,IF(R52&gt;3510,"PVV-up")))</f>
        <v>PVV-up</v>
      </c>
      <c r="H52" s="3">
        <f t="shared" si="1"/>
        <v>5.4123041771773359E-3</v>
      </c>
      <c r="I52">
        <f>[1]!'2408.PreviousPrice'</f>
        <v>54.4</v>
      </c>
      <c r="J52">
        <f>[1]!'2408.PreOpenPrice'</f>
        <v>55.7</v>
      </c>
      <c r="K52">
        <f>[1]!'2408.Open'</f>
        <v>54.5</v>
      </c>
      <c r="L52">
        <f>[1]!'2408.Change'</f>
        <v>1.3</v>
      </c>
      <c r="M52">
        <f>[1]!'2408.ChangePercent'</f>
        <v>2.3900000000000001E-2</v>
      </c>
      <c r="N52">
        <f>[1]!'2408.BidPrice'</f>
        <v>55.7</v>
      </c>
      <c r="O52">
        <f>[1]!'2408.AskPrice'</f>
        <v>55.8</v>
      </c>
      <c r="P52">
        <f>[1]!'2408.Price'</f>
        <v>55.7</v>
      </c>
      <c r="Q52">
        <f>[1]!'2408.Volume'</f>
        <v>516</v>
      </c>
      <c r="R52">
        <f>[1]!'2408.CumulativeVolume'</f>
        <v>16641</v>
      </c>
      <c r="S52">
        <f>[1]!'2408.PreviousVolume'</f>
        <v>15731</v>
      </c>
      <c r="T52" s="3">
        <f t="shared" si="2"/>
        <v>2.2018348623853264E-2</v>
      </c>
      <c r="U52" s="3">
        <f>((T52*AB52)*D4)</f>
        <v>1.3513481069954516</v>
      </c>
      <c r="V52" s="5">
        <f t="shared" si="3"/>
        <v>28741200</v>
      </c>
      <c r="W52" s="5">
        <f t="shared" si="4"/>
        <v>0</v>
      </c>
      <c r="X52">
        <v>2408</v>
      </c>
      <c r="Y52" s="5">
        <v>30746608940</v>
      </c>
      <c r="Z52" s="3">
        <f>((D2*AB52)/P52)/10</f>
        <v>0.11116745264780419</v>
      </c>
      <c r="AA52" s="3">
        <f>((M52*AB52)*D2)</f>
        <v>1.479894479883364</v>
      </c>
      <c r="AB52" s="3">
        <f>AE52/AE323</f>
        <v>4.8022546242304127E-3</v>
      </c>
      <c r="AC52" s="3">
        <f>AF52/AF323</f>
        <v>4.6465970167618373E-3</v>
      </c>
      <c r="AD52" s="5">
        <f t="shared" si="5"/>
        <v>171258611795.79999</v>
      </c>
      <c r="AE52" s="5">
        <f t="shared" si="6"/>
        <v>171258611795.79999</v>
      </c>
      <c r="AF52" s="5">
        <f t="shared" si="7"/>
        <v>167261552633.60001</v>
      </c>
      <c r="AG52">
        <f t="shared" si="8"/>
        <v>0</v>
      </c>
      <c r="AH52">
        <f t="shared" si="9"/>
        <v>0</v>
      </c>
      <c r="AI52">
        <f t="shared" si="10"/>
        <v>0</v>
      </c>
      <c r="AJ52" t="str">
        <f t="shared" si="11"/>
        <v>UBM200</v>
      </c>
      <c r="AK52" t="str">
        <f>IF(Q52&lt;549,"down",IF(Q52=549,549,IF(Q52&gt;549,"up")))</f>
        <v>down</v>
      </c>
    </row>
    <row r="53" spans="1:37" x14ac:dyDescent="0.25">
      <c r="A53">
        <f>IF(X53=3034,3034,"Error")</f>
        <v>3034</v>
      </c>
      <c r="B53" t="str">
        <f>IF(K53&lt;284.5,"down",IF(K53=284.5,"low",IF(K53=298,"high",IF(AND(K53&gt;284.5,K53&lt;298),"normal","up"))))</f>
        <v>normal</v>
      </c>
      <c r="C53" t="str">
        <f>IF(K53&lt;284.5,"down",IF(K53=284.5,"low",IF(K53=298,"high",IF(AND(K53&gt;284.5,K53&lt;298),"normal","up"))))</f>
        <v>normal</v>
      </c>
      <c r="D53" t="str">
        <f>IF(K53&lt;284.5,"down",IF(K53=284.5,"low",IF(K53=298,"high",IF(AND(K53&gt;284.5,K53&lt;298),"normal","up"))))</f>
        <v>normal</v>
      </c>
      <c r="E53" t="str">
        <f>IF(K53&lt;284.5,"down",IF(K53=284.5,"low",IF(K53=322.5,"high",IF(AND(K53&gt;284.5,K53&lt;322.5),"normal","up"))))</f>
        <v>normal</v>
      </c>
      <c r="F53" t="str">
        <f>IF(P53&lt;286,"PVP-down",IF(P53=286,286,IF(P53&gt;286,"PVP-up")))</f>
        <v>PVP-up</v>
      </c>
      <c r="G53" t="str">
        <f>IF(R53&lt;1112,"PVV-down",IF(R53=1112,1112,IF(R53&gt;1112,"PVV-up")))</f>
        <v>PVV-up</v>
      </c>
      <c r="H53" s="3">
        <f t="shared" si="1"/>
        <v>1.0885579545255868E-2</v>
      </c>
      <c r="I53">
        <f>[1]!'3034.PreviousPrice'</f>
        <v>287</v>
      </c>
      <c r="J53">
        <f>[1]!'3034.PreOpenPrice'</f>
        <v>289.5</v>
      </c>
      <c r="K53">
        <f>[1]!'3034.Open'</f>
        <v>288</v>
      </c>
      <c r="L53">
        <f>[1]!'3034.Change'</f>
        <v>2.5</v>
      </c>
      <c r="M53">
        <f>[1]!'3034.ChangePercent'</f>
        <v>8.6999999999999994E-3</v>
      </c>
      <c r="N53">
        <f>[1]!'3034.BidPrice'</f>
        <v>289.5</v>
      </c>
      <c r="O53">
        <f>[1]!'3034.AskPrice'</f>
        <v>290</v>
      </c>
      <c r="P53">
        <f>[1]!'3034.Price'</f>
        <v>289.5</v>
      </c>
      <c r="Q53">
        <f>[1]!'3034.Volume'</f>
        <v>416</v>
      </c>
      <c r="R53">
        <f>[1]!'3034.CumulativeVolume'</f>
        <v>6624</v>
      </c>
      <c r="S53">
        <f>[1]!'3034.PreviousVolume'</f>
        <v>8434</v>
      </c>
      <c r="T53" s="3">
        <f t="shared" si="2"/>
        <v>5.208333333333333E-3</v>
      </c>
      <c r="U53" s="3">
        <f>((T53*AB53)*D4)</f>
        <v>0.32881088186089713</v>
      </c>
      <c r="V53" s="5">
        <f t="shared" si="3"/>
        <v>120432000</v>
      </c>
      <c r="W53" s="5">
        <f t="shared" si="4"/>
        <v>0</v>
      </c>
      <c r="X53">
        <v>3034</v>
      </c>
      <c r="Y53" s="5">
        <v>6085114690</v>
      </c>
      <c r="Z53" s="3">
        <f>((D2*AB53)/P53)/10</f>
        <v>2.2001343318123742E-2</v>
      </c>
      <c r="AA53" s="3">
        <f>((M53*AB53)*D2)</f>
        <v>0.55413683348192366</v>
      </c>
      <c r="AB53" s="3">
        <f>AE53/AE323</f>
        <v>4.9398083531850658E-3</v>
      </c>
      <c r="AC53" s="3">
        <f>AF53/AF323</f>
        <v>4.8516509722895135E-3</v>
      </c>
      <c r="AD53" s="5">
        <f t="shared" si="5"/>
        <v>176164070275.5</v>
      </c>
      <c r="AE53" s="5">
        <f t="shared" si="6"/>
        <v>176164070275.5</v>
      </c>
      <c r="AF53" s="5">
        <f t="shared" si="7"/>
        <v>174642791603</v>
      </c>
      <c r="AG53">
        <f t="shared" si="8"/>
        <v>0</v>
      </c>
      <c r="AH53">
        <f t="shared" si="9"/>
        <v>0</v>
      </c>
      <c r="AI53">
        <f t="shared" si="10"/>
        <v>0</v>
      </c>
      <c r="AJ53" t="str">
        <f t="shared" si="11"/>
        <v>UBM200</v>
      </c>
      <c r="AK53" t="str">
        <f>IF(Q53&lt;149,"down",IF(Q53=149,149,IF(Q53&gt;149,"up")))</f>
        <v>up</v>
      </c>
    </row>
    <row r="54" spans="1:37" x14ac:dyDescent="0.25">
      <c r="A54">
        <f>IF(X54=2474,2474,"Error")</f>
        <v>2474</v>
      </c>
      <c r="B54" t="str">
        <f>IF(K54&lt;224,"down",IF(K54=224,"low",IF(K54=229,"high",IF(AND(K54&gt;224,K54&lt;229),"normal","up"))))</f>
        <v>normal</v>
      </c>
      <c r="C54" t="str">
        <f>IF(K54&lt;224,"down",IF(K54=224,"low",IF(K54=229,"high",IF(AND(K54&gt;224,K54&lt;229),"normal","up"))))</f>
        <v>normal</v>
      </c>
      <c r="D54" t="str">
        <f>IF(K54&lt;224,"down",IF(K54=224,"low",IF(K54=229,"high",IF(AND(K54&gt;224,K54&lt;229),"normal","up"))))</f>
        <v>normal</v>
      </c>
      <c r="E54" t="str">
        <f>IF(K54&lt;215,"down",IF(K54=215,"low",IF(K54=229,"high",IF(AND(K54&gt;215,K54&lt;229),"normal","up"))))</f>
        <v>normal</v>
      </c>
      <c r="F54" t="str">
        <f>IF(P54&lt;226,"PVP-down",IF(P54=226,226,IF(P54&gt;226,"PVP-up")))</f>
        <v>PVP-down</v>
      </c>
      <c r="G54" t="str">
        <f>IF(R54&lt;1575,"PVV-down",IF(R54=1575,1575,IF(R54&gt;1575,"PVV-up")))</f>
        <v>PVV-up</v>
      </c>
      <c r="H54" s="3">
        <f t="shared" si="1"/>
        <v>7.5117693245221146E-3</v>
      </c>
      <c r="I54">
        <f>[1]!'2474.PreviousPrice'</f>
        <v>226</v>
      </c>
      <c r="J54">
        <f>[1]!'2474.PreOpenPrice'</f>
        <v>221</v>
      </c>
      <c r="K54">
        <f>[1]!'2474.Open'</f>
        <v>225.5</v>
      </c>
      <c r="L54">
        <f>[1]!'2474.Change'</f>
        <v>-5</v>
      </c>
      <c r="M54">
        <f>[1]!'2474.ChangePercent'</f>
        <v>-2.2100000000000002E-2</v>
      </c>
      <c r="N54">
        <f>[1]!'2474.BidPrice'</f>
        <v>221</v>
      </c>
      <c r="O54">
        <f>[1]!'2474.AskPrice'</f>
        <v>221.5</v>
      </c>
      <c r="P54">
        <f>[1]!'2474.Price'</f>
        <v>221</v>
      </c>
      <c r="Q54">
        <f>[1]!'2474.Volume'</f>
        <v>290</v>
      </c>
      <c r="R54">
        <f>[1]!'2474.CumulativeVolume'</f>
        <v>5787</v>
      </c>
      <c r="S54">
        <f>[1]!'2474.PreviousVolume'</f>
        <v>5563</v>
      </c>
      <c r="T54" s="3">
        <f t="shared" si="2"/>
        <v>-1.9955654101995565E-2</v>
      </c>
      <c r="U54" s="3">
        <f>((T54*AB54)*D4)</f>
        <v>-1.2175857457349071</v>
      </c>
      <c r="V54" s="5">
        <f t="shared" si="3"/>
        <v>64090000</v>
      </c>
      <c r="W54" s="5">
        <f t="shared" si="4"/>
        <v>0</v>
      </c>
      <c r="X54">
        <v>2474</v>
      </c>
      <c r="Y54" s="5">
        <v>7703910690</v>
      </c>
      <c r="Z54" s="3">
        <f>((D2*AB54)/P54)/10</f>
        <v>2.7854262839350628E-2</v>
      </c>
      <c r="AA54" s="3">
        <f>((M54*AB54)*D2)</f>
        <v>-1.360430051336724</v>
      </c>
      <c r="AB54" s="3">
        <f>AE54/AE323</f>
        <v>4.7741523867663163E-3</v>
      </c>
      <c r="AC54" s="3">
        <f>AF54/AF323</f>
        <v>4.8368048351202222E-3</v>
      </c>
      <c r="AD54" s="5">
        <f t="shared" si="5"/>
        <v>170256426249</v>
      </c>
      <c r="AE54" s="5">
        <f t="shared" si="6"/>
        <v>170256426249</v>
      </c>
      <c r="AF54" s="5">
        <f t="shared" si="7"/>
        <v>174108381594</v>
      </c>
      <c r="AG54" t="str">
        <f t="shared" si="8"/>
        <v>DBM200</v>
      </c>
      <c r="AH54">
        <f t="shared" si="9"/>
        <v>0</v>
      </c>
      <c r="AI54">
        <f t="shared" si="10"/>
        <v>0</v>
      </c>
      <c r="AJ54">
        <f t="shared" si="11"/>
        <v>0</v>
      </c>
      <c r="AK54" t="str">
        <f>IF(Q54&lt;273,"down",IF(Q54=273,273,IF(Q54&gt;273,"up")))</f>
        <v>up</v>
      </c>
    </row>
    <row r="55" spans="1:37" x14ac:dyDescent="0.25">
      <c r="A55">
        <f>IF(X55=6415,6415,"Error")</f>
        <v>6415</v>
      </c>
      <c r="B55" t="str">
        <f>IF(K55&lt;1775,"down",IF(K55=1775,"low",IF(K55=1835,"high",IF(AND(K55&gt;1775,K55&lt;1835),"normal","up"))))</f>
        <v>normal</v>
      </c>
      <c r="C55" t="str">
        <f>IF(K55&lt;1775,"down",IF(K55=1775,"low",IF(K55=1835,"high",IF(AND(K55&gt;1775,K55&lt;1835),"normal","up"))))</f>
        <v>normal</v>
      </c>
      <c r="D55" t="str">
        <f>IF(K55&lt;1775,"down",IF(K55=1775,"low",IF(K55=1835,"high",IF(AND(K55&gt;1775,K55&lt;1835),"normal","up"))))</f>
        <v>normal</v>
      </c>
      <c r="E55" t="str">
        <f>IF(K55&lt;1700,"down",IF(K55=1700,"low",IF(K55=1905,"high",IF(AND(K55&gt;1700,K55&lt;1905),"normal","up"))))</f>
        <v>normal</v>
      </c>
      <c r="F55" t="str">
        <f>IF(P55&lt;1785,"PVP-down",IF(P55=1785,1785,IF(P55&gt;1785,"PVP-up")))</f>
        <v>PVP-down</v>
      </c>
      <c r="G55" t="str">
        <f>IF(R55&lt;55,"PVV-down",IF(R55=55,55,IF(R55&gt;55,"PVV-up")))</f>
        <v>PVV-up</v>
      </c>
      <c r="H55" s="3">
        <f t="shared" si="1"/>
        <v>2.440799890261637E-3</v>
      </c>
      <c r="I55">
        <f>[1]!'6415.PreviousPrice'</f>
        <v>1785</v>
      </c>
      <c r="J55">
        <f>[1]!'6415.PreOpenPrice'</f>
        <v>1750</v>
      </c>
      <c r="K55">
        <f>[1]!'6415.Open'</f>
        <v>1780</v>
      </c>
      <c r="L55">
        <f>[1]!'6415.Change'</f>
        <v>-35</v>
      </c>
      <c r="M55">
        <f>[1]!'6415.ChangePercent'</f>
        <v>-1.9599999999999999E-2</v>
      </c>
      <c r="N55">
        <f>[1]!'6415.BidPrice'</f>
        <v>1750</v>
      </c>
      <c r="O55">
        <f>[1]!'6415.AskPrice'</f>
        <v>1765</v>
      </c>
      <c r="P55">
        <f>[1]!'6415.Price'</f>
        <v>1750</v>
      </c>
      <c r="Q55">
        <f>[1]!'6415.Volume'</f>
        <v>34</v>
      </c>
      <c r="R55">
        <f>[1]!'6415.CumulativeVolume'</f>
        <v>225</v>
      </c>
      <c r="S55">
        <f>[1]!'6415.PreviousVolume'</f>
        <v>181</v>
      </c>
      <c r="T55" s="3">
        <f t="shared" si="2"/>
        <v>-1.6853932584269662E-2</v>
      </c>
      <c r="U55" s="3">
        <f>((T55*AB55)*D4)</f>
        <v>-0.9743606098755635</v>
      </c>
      <c r="V55" s="5">
        <f t="shared" si="3"/>
        <v>59500000</v>
      </c>
      <c r="W55" s="5">
        <f t="shared" si="4"/>
        <v>0</v>
      </c>
      <c r="X55">
        <v>6415</v>
      </c>
      <c r="Y55" s="5">
        <v>921828950</v>
      </c>
      <c r="Z55" s="3">
        <f>((D2*AB55)/P55)/10</f>
        <v>3.3329651523027462E-3</v>
      </c>
      <c r="AA55" s="3">
        <f>((M55*AB55)*D2)</f>
        <v>-1.1432070472398419</v>
      </c>
      <c r="AB55" s="3">
        <f>AE55/AE323</f>
        <v>4.5235683391731084E-3</v>
      </c>
      <c r="AC55" s="3">
        <f>AF55/AF323</f>
        <v>4.5711707999480933E-3</v>
      </c>
      <c r="AD55" s="5">
        <f t="shared" si="5"/>
        <v>161320066250</v>
      </c>
      <c r="AE55" s="5">
        <f t="shared" si="6"/>
        <v>161320066250</v>
      </c>
      <c r="AF55" s="5">
        <f t="shared" si="7"/>
        <v>164546467575</v>
      </c>
      <c r="AG55" t="str">
        <f t="shared" si="8"/>
        <v>DBM10-50</v>
      </c>
      <c r="AH55">
        <f t="shared" si="9"/>
        <v>0</v>
      </c>
      <c r="AI55">
        <f t="shared" si="10"/>
        <v>0</v>
      </c>
      <c r="AJ55">
        <f t="shared" si="11"/>
        <v>0</v>
      </c>
      <c r="AK55" t="str">
        <f>IF(Q55&lt;0,"down",IF(Q55=0,0,IF(Q55&gt;0,"up")))</f>
        <v>up</v>
      </c>
    </row>
    <row r="56" spans="1:37" x14ac:dyDescent="0.25">
      <c r="A56">
        <f>IF(X56=4938,4938,"Error")</f>
        <v>4938</v>
      </c>
      <c r="B56" t="str">
        <f>IF(K56&lt;63.3,"down",IF(K56=63.3,"low",IF(K56=64,"high",IF(AND(K56&gt;63.3,K56&lt;64),"normal","up"))))</f>
        <v>normal</v>
      </c>
      <c r="C56" t="str">
        <f>IF(K56&lt;63.3,"down",IF(K56=63.3,"low",IF(K56=64,"high",IF(AND(K56&gt;63.3,K56&lt;64),"normal","up"))))</f>
        <v>normal</v>
      </c>
      <c r="D56" t="str">
        <f>IF(K56&lt;63.3,"down",IF(K56=63.3,"low",IF(K56=64,"high",IF(AND(K56&gt;63.3,K56&lt;64),"normal","up"))))</f>
        <v>normal</v>
      </c>
      <c r="E56" t="str">
        <f>IF(K56&lt;61.7,"down",IF(K56=61.7,"low",IF(K56=64.5,"high",IF(AND(K56&gt;61.7,K56&lt;64.5),"normal","up"))))</f>
        <v>normal</v>
      </c>
      <c r="F56" t="str">
        <f>IF(P56&lt;63.7,"PVP-down",IF(P56=63.7,63.7,IF(P56&gt;63.7,"PVP-up")))</f>
        <v>PVP-down</v>
      </c>
      <c r="G56" t="str">
        <f>IF(R56&lt;2158,"PVV-down",IF(R56=2158,2158,IF(R56&gt;2158,"PVV-up")))</f>
        <v>PVV-up</v>
      </c>
      <c r="H56" s="3">
        <f t="shared" si="1"/>
        <v>2.6881071173042023E-3</v>
      </c>
      <c r="I56">
        <f>[1]!'4938.PreviousPrice'</f>
        <v>63.6</v>
      </c>
      <c r="J56">
        <f>[1]!'4938.PreOpenPrice'</f>
        <v>62</v>
      </c>
      <c r="K56">
        <f>[1]!'4938.Open'</f>
        <v>63.6</v>
      </c>
      <c r="L56">
        <f>[1]!'4938.Change'</f>
        <v>-1.6</v>
      </c>
      <c r="M56">
        <f>[1]!'4938.ChangePercent'</f>
        <v>-2.52E-2</v>
      </c>
      <c r="N56">
        <f>[1]!'4938.BidPrice'</f>
        <v>62</v>
      </c>
      <c r="O56">
        <f>[1]!'4938.AskPrice'</f>
        <v>62.1</v>
      </c>
      <c r="P56">
        <f>[1]!'4938.Price'</f>
        <v>62</v>
      </c>
      <c r="Q56">
        <f>[1]!'4938.Volume'</f>
        <v>575</v>
      </c>
      <c r="R56">
        <f>[1]!'4938.CumulativeVolume'</f>
        <v>7018</v>
      </c>
      <c r="S56">
        <f>[1]!'4938.PreviousVolume'</f>
        <v>7480</v>
      </c>
      <c r="T56" s="3">
        <f t="shared" si="2"/>
        <v>-2.5157232704402538E-2</v>
      </c>
      <c r="U56" s="3">
        <f>((T56*AB56)*D4)</f>
        <v>-1.4593229891994457</v>
      </c>
      <c r="V56" s="5">
        <f t="shared" si="3"/>
        <v>35650000</v>
      </c>
      <c r="W56" s="5">
        <f t="shared" si="4"/>
        <v>0</v>
      </c>
      <c r="X56">
        <v>4938</v>
      </c>
      <c r="Y56" s="5">
        <v>26107590560</v>
      </c>
      <c r="Z56" s="3">
        <f>((D2*AB56)/P56)/10</f>
        <v>9.4394615776677585E-2</v>
      </c>
      <c r="AA56" s="3">
        <f>((M56*AB56)*D2)</f>
        <v>-1.4748214768948107</v>
      </c>
      <c r="AB56" s="3">
        <f>AE56/AE323</f>
        <v>4.5389066062928576E-3</v>
      </c>
      <c r="AC56" s="3">
        <f>AF56/AF323</f>
        <v>4.6127805534824408E-3</v>
      </c>
      <c r="AD56" s="5">
        <f t="shared" si="5"/>
        <v>161867061472</v>
      </c>
      <c r="AE56" s="5">
        <f t="shared" si="6"/>
        <v>161867061472</v>
      </c>
      <c r="AF56" s="5">
        <f t="shared" si="7"/>
        <v>166044275961.60001</v>
      </c>
      <c r="AG56" t="str">
        <f t="shared" si="8"/>
        <v>DBM200</v>
      </c>
      <c r="AH56">
        <f t="shared" si="9"/>
        <v>0</v>
      </c>
      <c r="AI56">
        <f t="shared" si="10"/>
        <v>0</v>
      </c>
      <c r="AJ56">
        <f t="shared" si="11"/>
        <v>0</v>
      </c>
      <c r="AK56" t="str">
        <f>IF(Q56&lt;81,"down",IF(Q56=81,81,IF(Q56&gt;81,"up")))</f>
        <v>up</v>
      </c>
    </row>
    <row r="57" spans="1:37" x14ac:dyDescent="0.25">
      <c r="A57">
        <f>IF(X57=2357,2357,"Error")</f>
        <v>2357</v>
      </c>
      <c r="B57" t="str">
        <f>IF(K57&lt;228.5,"down",IF(K57=228.5,"low",IF(K57=232.5,"high",IF(AND(K57&gt;228.5,K57&lt;232.5),"normal","up"))))</f>
        <v>normal</v>
      </c>
      <c r="C57" t="str">
        <f>IF(K57&lt;228.5,"down",IF(K57=228.5,"low",IF(K57=232.5,"high",IF(AND(K57&gt;228.5,K57&lt;232.5),"normal","up"))))</f>
        <v>normal</v>
      </c>
      <c r="D57" t="str">
        <f>IF(K57&lt;228.5,"down",IF(K57=228.5,"low",IF(K57=232.5,"high",IF(AND(K57&gt;228.5,K57&lt;232.5),"normal","up"))))</f>
        <v>normal</v>
      </c>
      <c r="E57" t="str">
        <f>IF(K57&lt;212.5,"down",IF(K57=212.5,"low",IF(K57=232.5,"high",IF(AND(K57&gt;212.5,K57&lt;232.5),"normal","up"))))</f>
        <v>normal</v>
      </c>
      <c r="F57" t="str">
        <f>IF(P57&lt;230.5,"PVP-down",IF(P57=230.5,230.5,IF(P57&gt;230.5,"PVP-up")))</f>
        <v>PVP-down</v>
      </c>
      <c r="G57" t="str">
        <f>IF(R57&lt;970,"PVV-down",IF(R57=970,970,IF(R57&gt;970,"PVV-up")))</f>
        <v>PVV-up</v>
      </c>
      <c r="H57" s="3">
        <f t="shared" si="1"/>
        <v>3.9730180509921723E-3</v>
      </c>
      <c r="I57">
        <f>[1]!'2357.PreviousPrice'</f>
        <v>230.5</v>
      </c>
      <c r="J57">
        <f>[1]!'2357.PreOpenPrice'</f>
        <v>229.5</v>
      </c>
      <c r="K57">
        <f>[1]!'2357.Open'</f>
        <v>232</v>
      </c>
      <c r="L57">
        <f>[1]!'2357.Change'</f>
        <v>-1</v>
      </c>
      <c r="M57">
        <f>[1]!'2357.ChangePercent'</f>
        <v>-4.3E-3</v>
      </c>
      <c r="N57">
        <f>[1]!'2357.BidPrice'</f>
        <v>229</v>
      </c>
      <c r="O57">
        <f>[1]!'2357.AskPrice'</f>
        <v>229.5</v>
      </c>
      <c r="P57">
        <f>[1]!'2357.Price'</f>
        <v>229.5</v>
      </c>
      <c r="Q57">
        <f>[1]!'2357.Volume'</f>
        <v>227</v>
      </c>
      <c r="R57">
        <f>[1]!'2357.CumulativeVolume'</f>
        <v>2951</v>
      </c>
      <c r="S57">
        <f>[1]!'2357.PreviousVolume'</f>
        <v>3185</v>
      </c>
      <c r="T57" s="3">
        <f t="shared" si="2"/>
        <v>-1.0775862068965518E-2</v>
      </c>
      <c r="U57" s="3">
        <f>((T57*AB57)*D4)</f>
        <v>-0.65828424248492823</v>
      </c>
      <c r="V57" s="5">
        <f t="shared" si="3"/>
        <v>0</v>
      </c>
      <c r="W57" s="5">
        <f t="shared" si="4"/>
        <v>52096500</v>
      </c>
      <c r="X57">
        <v>2357</v>
      </c>
      <c r="Y57" s="5">
        <v>7427602800</v>
      </c>
      <c r="Z57" s="3">
        <f>((D2*AB57)/P57)/10</f>
        <v>2.6855243912166465E-2</v>
      </c>
      <c r="AA57" s="3">
        <f>((M57*AB57)*D2)</f>
        <v>-0.26502097454721474</v>
      </c>
      <c r="AB57" s="3">
        <f>AE57/AE323</f>
        <v>4.7799584906485218E-3</v>
      </c>
      <c r="AC57" s="3">
        <f>AF57/AF323</f>
        <v>4.7561822343789115E-3</v>
      </c>
      <c r="AD57" s="5">
        <f t="shared" si="5"/>
        <v>170463484260</v>
      </c>
      <c r="AE57" s="5">
        <f t="shared" si="6"/>
        <v>170463484260</v>
      </c>
      <c r="AF57" s="5">
        <f t="shared" si="7"/>
        <v>171206244540</v>
      </c>
      <c r="AG57">
        <f t="shared" si="8"/>
        <v>0</v>
      </c>
      <c r="AH57" t="str">
        <f t="shared" si="9"/>
        <v>DAM200</v>
      </c>
      <c r="AI57">
        <f t="shared" si="10"/>
        <v>0</v>
      </c>
      <c r="AJ57">
        <f t="shared" si="11"/>
        <v>0</v>
      </c>
      <c r="AK57" t="str">
        <f>IF(Q57&lt;188,"down",IF(Q57=188,188,IF(Q57&gt;188,"up")))</f>
        <v>up</v>
      </c>
    </row>
    <row r="58" spans="1:37" x14ac:dyDescent="0.25">
      <c r="A58">
        <f>IF(X58=6669,6669,"Error")</f>
        <v>6669</v>
      </c>
      <c r="B58" t="str">
        <f>IF(K58&lt;785,"down",IF(K58=785,"low",IF(K58=854,"high",IF(AND(K58&gt;785,K58&lt;854),"normal","up"))))</f>
        <v>normal</v>
      </c>
      <c r="C58" t="str">
        <f>IF(K58&lt;785,"down",IF(K58=785,"low",IF(K58=854,"high",IF(AND(K58&gt;785,K58&lt;854),"normal","up"))))</f>
        <v>normal</v>
      </c>
      <c r="D58" t="str">
        <f>IF(K58&lt;785,"down",IF(K58=785,"low",IF(K58=854,"high",IF(AND(K58&gt;785,K58&lt;854),"normal","up"))))</f>
        <v>normal</v>
      </c>
      <c r="E58" t="str">
        <f>IF(K58&lt;767,"down",IF(K58=767,"low",IF(K58=854,"high",IF(AND(K58&gt;767,K58&lt;854),"normal","up"))))</f>
        <v>normal</v>
      </c>
      <c r="F58" t="str">
        <f>IF(P58&lt;835,"PVP-down",IF(P58=835,835,IF(P58&gt;835,"PVP-up")))</f>
        <v>PVP-down</v>
      </c>
      <c r="G58" t="str">
        <f>IF(R58&lt;418,"PVV-down",IF(R58=418,418,IF(R58&gt;418,"PVV-up")))</f>
        <v>PVV-up</v>
      </c>
      <c r="H58" s="3">
        <f t="shared" si="1"/>
        <v>1.9314714722378487E-2</v>
      </c>
      <c r="I58">
        <f>[1]!'6669.PreviousPrice'</f>
        <v>838</v>
      </c>
      <c r="J58">
        <f>[1]!'6669.PreOpenPrice'</f>
        <v>789</v>
      </c>
      <c r="K58">
        <f>[1]!'6669.Open'</f>
        <v>843</v>
      </c>
      <c r="L58">
        <f>[1]!'6669.Change'</f>
        <v>-52</v>
      </c>
      <c r="M58">
        <f>[1]!'6669.ChangePercent'</f>
        <v>-6.2100000000000002E-2</v>
      </c>
      <c r="N58">
        <f>[1]!'6669.BidPrice'</f>
        <v>786</v>
      </c>
      <c r="O58">
        <f>[1]!'6669.AskPrice'</f>
        <v>787</v>
      </c>
      <c r="P58">
        <f>[1]!'6669.Price'</f>
        <v>786</v>
      </c>
      <c r="Q58">
        <f>[1]!'6669.Volume'</f>
        <v>171</v>
      </c>
      <c r="R58">
        <f>[1]!'6669.CumulativeVolume'</f>
        <v>3377</v>
      </c>
      <c r="S58">
        <f>[1]!'6669.PreviousVolume'</f>
        <v>4504</v>
      </c>
      <c r="T58" s="3">
        <f t="shared" si="2"/>
        <v>-6.7615658362989328E-2</v>
      </c>
      <c r="U58" s="3">
        <f>((T58*AB58)*D4)</f>
        <v>-3.329987967083162</v>
      </c>
      <c r="V58" s="5">
        <f t="shared" si="3"/>
        <v>134406000</v>
      </c>
      <c r="W58" s="5">
        <f t="shared" si="4"/>
        <v>0</v>
      </c>
      <c r="X58">
        <v>6669</v>
      </c>
      <c r="Y58" s="5">
        <v>1748407910</v>
      </c>
      <c r="Z58" s="3">
        <f>((D2*AB58)/P58)/10</f>
        <v>6.3215443993600729E-3</v>
      </c>
      <c r="AA58" s="3">
        <f>((M58*AB58)*D2)</f>
        <v>-3.0855837505940475</v>
      </c>
      <c r="AB58" s="3">
        <f>AE58/AE323</f>
        <v>3.8535240405591881E-3</v>
      </c>
      <c r="AC58" s="3">
        <f>AF58/AF323</f>
        <v>4.0702929399769276E-3</v>
      </c>
      <c r="AD58" s="5">
        <f t="shared" si="5"/>
        <v>137949384099</v>
      </c>
      <c r="AE58" s="5">
        <f t="shared" si="6"/>
        <v>137424861726</v>
      </c>
      <c r="AF58" s="5">
        <f t="shared" si="7"/>
        <v>146516582858</v>
      </c>
      <c r="AG58" t="str">
        <f t="shared" si="8"/>
        <v>DBM150</v>
      </c>
      <c r="AH58">
        <f t="shared" si="9"/>
        <v>0</v>
      </c>
      <c r="AI58">
        <f t="shared" si="10"/>
        <v>0</v>
      </c>
      <c r="AJ58">
        <f t="shared" si="11"/>
        <v>0</v>
      </c>
      <c r="AK58" t="str">
        <f>IF(Q58&lt;132,"down",IF(Q58=132,132,IF(Q58&gt;132,"up")))</f>
        <v>up</v>
      </c>
    </row>
    <row r="59" spans="1:37" x14ac:dyDescent="0.25">
      <c r="A59">
        <f>IF(X59=2345,2345,"Error")</f>
        <v>2345</v>
      </c>
      <c r="B59" t="str">
        <f>IF(K59&lt;218,"down",IF(K59=218,"low",IF(K59=226,"high",IF(AND(K59&gt;218,K59&lt;226),"normal","up"))))</f>
        <v>normal</v>
      </c>
      <c r="C59" t="str">
        <f>IF(K59&lt;218,"down",IF(K59=218,"low",IF(K59=226,"high",IF(AND(K59&gt;218,K59&lt;226),"normal","up"))))</f>
        <v>normal</v>
      </c>
      <c r="D59" t="str">
        <f>IF(K59&lt;218,"down",IF(K59=218,"low",IF(K59=226,"high",IF(AND(K59&gt;218,K59&lt;226),"normal","up"))))</f>
        <v>normal</v>
      </c>
      <c r="E59" t="str">
        <f>IF(K59&lt;218,"down",IF(K59=218,"low",IF(K59=251,"high",IF(AND(K59&gt;218,K59&lt;251),"normal","up"))))</f>
        <v>normal</v>
      </c>
      <c r="F59" t="str">
        <f>IF(P59&lt;220,"PVP-down",IF(P59=220,220,IF(P59&gt;220,"PVP-up")))</f>
        <v>PVP-down</v>
      </c>
      <c r="G59" t="str">
        <f>IF(R59&lt;684,"PVV-down",IF(R59=684,684,IF(R59&gt;684,"PVV-up")))</f>
        <v>PVV-up</v>
      </c>
      <c r="H59" s="3">
        <f t="shared" si="1"/>
        <v>1.4470505277762289E-2</v>
      </c>
      <c r="I59">
        <f>[1]!'2345.PreviousPrice'</f>
        <v>220</v>
      </c>
      <c r="J59">
        <f>[1]!'2345.PreOpenPrice'</f>
        <v>209</v>
      </c>
      <c r="K59">
        <f>[1]!'2345.Open'</f>
        <v>218.5</v>
      </c>
      <c r="L59">
        <f>[1]!'2345.Change'</f>
        <v>-11</v>
      </c>
      <c r="M59">
        <f>[1]!'2345.ChangePercent'</f>
        <v>-0.05</v>
      </c>
      <c r="N59">
        <f>[1]!'2345.BidPrice'</f>
        <v>209</v>
      </c>
      <c r="O59">
        <f>[1]!'2345.AskPrice'</f>
        <v>209.5</v>
      </c>
      <c r="P59">
        <f>[1]!'2345.Price'</f>
        <v>209</v>
      </c>
      <c r="Q59">
        <f>[1]!'2345.Volume'</f>
        <v>509</v>
      </c>
      <c r="R59">
        <f>[1]!'2345.CumulativeVolume'</f>
        <v>8082</v>
      </c>
      <c r="S59">
        <f>[1]!'2345.PreviousVolume'</f>
        <v>3283</v>
      </c>
      <c r="T59" s="3">
        <f t="shared" si="2"/>
        <v>-4.3478260869565216E-2</v>
      </c>
      <c r="U59" s="3">
        <f>((T59*AB59)*D4)</f>
        <v>-1.81879467783043</v>
      </c>
      <c r="V59" s="5">
        <f t="shared" si="3"/>
        <v>106381000</v>
      </c>
      <c r="W59" s="5">
        <f t="shared" si="4"/>
        <v>0</v>
      </c>
      <c r="X59">
        <v>2345</v>
      </c>
      <c r="Y59" s="5">
        <v>5585153970</v>
      </c>
      <c r="Z59" s="3">
        <f>((D2*AB59)/P59)/10</f>
        <v>2.0193685121578507E-2</v>
      </c>
      <c r="AA59" s="3">
        <f>((M59*AB59)*D2)</f>
        <v>-2.1102400952049543</v>
      </c>
      <c r="AB59" s="3">
        <f>AE59/AE323</f>
        <v>3.273212494501247E-3</v>
      </c>
      <c r="AC59" s="3">
        <f>AF59/AF323</f>
        <v>3.4134749203492262E-3</v>
      </c>
      <c r="AD59" s="5">
        <f t="shared" si="5"/>
        <v>116729717973</v>
      </c>
      <c r="AE59" s="5">
        <f t="shared" si="6"/>
        <v>116729717973</v>
      </c>
      <c r="AF59" s="5">
        <f t="shared" si="7"/>
        <v>122873387340</v>
      </c>
      <c r="AG59" t="str">
        <f t="shared" si="8"/>
        <v>DBM200</v>
      </c>
      <c r="AH59">
        <f t="shared" si="9"/>
        <v>0</v>
      </c>
      <c r="AI59">
        <f t="shared" si="10"/>
        <v>0</v>
      </c>
      <c r="AJ59">
        <f t="shared" si="11"/>
        <v>0</v>
      </c>
      <c r="AK59" t="str">
        <f>IF(Q59&lt;174,"down",IF(Q59=174,174,IF(Q59&gt;174,"up")))</f>
        <v>up</v>
      </c>
    </row>
    <row r="60" spans="1:37" x14ac:dyDescent="0.25">
      <c r="A60">
        <f>IF(X60=5269,5269,"Error")</f>
        <v>5269</v>
      </c>
      <c r="B60" t="str">
        <f>IF(K60&lt;1810,"down",IF(K60=1810,"low",IF(K60=1930,"high",IF(AND(K60&gt;1810,K60&lt;1930),"normal","up"))))</f>
        <v>normal</v>
      </c>
      <c r="C60" t="str">
        <f>IF(K60&lt;1810,"down",IF(K60=1810,"low",IF(K60=1930,"high",IF(AND(K60&gt;1810,K60&lt;1930),"normal","up"))))</f>
        <v>normal</v>
      </c>
      <c r="D60" t="str">
        <f>IF(K60&lt;1810,"down",IF(K60=1810,"low",IF(K60=1930,"high",IF(AND(K60&gt;1810,K60&lt;1930),"normal","up"))))</f>
        <v>normal</v>
      </c>
      <c r="E60" t="str">
        <f>IF(K60&lt;1760,"down",IF(K60=1760,"low",IF(K60=1960,"high",IF(AND(K60&gt;1760,K60&lt;1960),"normal","up"))))</f>
        <v>normal</v>
      </c>
      <c r="F60" t="str">
        <f>IF(P60&lt;1815,"PVP-down",IF(P60=1815,1815,IF(P60&gt;1815,"PVP-up")))</f>
        <v>PVP-down</v>
      </c>
      <c r="G60" t="str">
        <f>IF(R60&lt;125,"PVV-down",IF(R60=125,125,IF(R60&gt;125,"PVV-up")))</f>
        <v>PVV-up</v>
      </c>
      <c r="H60" s="3">
        <f t="shared" si="1"/>
        <v>1.6497440058133396E-2</v>
      </c>
      <c r="I60">
        <f>[1]!'5269.PreviousPrice'</f>
        <v>1815</v>
      </c>
      <c r="J60">
        <f>[1]!'5269.PreOpenPrice'</f>
        <v>1800</v>
      </c>
      <c r="K60">
        <f>[1]!'5269.Open'</f>
        <v>1825</v>
      </c>
      <c r="L60">
        <f>[1]!'5269.Change'</f>
        <v>-15</v>
      </c>
      <c r="M60">
        <f>[1]!'5269.ChangePercent'</f>
        <v>-8.3000000000000001E-3</v>
      </c>
      <c r="N60">
        <f>[1]!'5269.BidPrice'</f>
        <v>1795</v>
      </c>
      <c r="O60">
        <f>[1]!'5269.AskPrice'</f>
        <v>1800</v>
      </c>
      <c r="P60">
        <f>[1]!'5269.Price'</f>
        <v>1800</v>
      </c>
      <c r="Q60">
        <f>[1]!'5269.Volume'</f>
        <v>138</v>
      </c>
      <c r="R60">
        <f>[1]!'5269.CumulativeVolume'</f>
        <v>1142</v>
      </c>
      <c r="S60">
        <f>[1]!'5269.PreviousVolume'</f>
        <v>1068</v>
      </c>
      <c r="T60" s="3">
        <f t="shared" si="2"/>
        <v>-1.3698630136986301E-2</v>
      </c>
      <c r="U60" s="3">
        <f>((T60*AB60)*D4)</f>
        <v>-0.61168701920411495</v>
      </c>
      <c r="V60" s="5">
        <f t="shared" si="3"/>
        <v>0</v>
      </c>
      <c r="W60" s="5">
        <f t="shared" si="4"/>
        <v>248400000</v>
      </c>
      <c r="X60">
        <v>5269</v>
      </c>
      <c r="Y60" s="5">
        <v>692228610</v>
      </c>
      <c r="Z60" s="3">
        <f>((D2*AB60)/P60)/10</f>
        <v>2.5028220632005195E-3</v>
      </c>
      <c r="AA60" s="3">
        <f>((M60*AB60)*D2)</f>
        <v>-0.37392161624215758</v>
      </c>
      <c r="AB60" s="3">
        <f>AE60/AE323</f>
        <v>3.4939349416480028E-3</v>
      </c>
      <c r="AC60" s="3">
        <f>AF60/AF323</f>
        <v>3.4903185032357214E-3</v>
      </c>
      <c r="AD60" s="5">
        <f t="shared" si="5"/>
        <v>124601149800</v>
      </c>
      <c r="AE60" s="5">
        <f t="shared" si="6"/>
        <v>124601149800</v>
      </c>
      <c r="AF60" s="5">
        <f t="shared" si="7"/>
        <v>125639492715</v>
      </c>
      <c r="AG60">
        <f t="shared" si="8"/>
        <v>0</v>
      </c>
      <c r="AH60" t="str">
        <f t="shared" si="9"/>
        <v>DAM100</v>
      </c>
      <c r="AI60">
        <f t="shared" si="10"/>
        <v>0</v>
      </c>
      <c r="AJ60">
        <f t="shared" si="11"/>
        <v>0</v>
      </c>
      <c r="AK60" t="str">
        <f>IF(Q60&lt;12,"down",IF(Q60=12,12,IF(Q60&gt;12,"up")))</f>
        <v>up</v>
      </c>
    </row>
    <row r="61" spans="1:37" x14ac:dyDescent="0.25">
      <c r="A61">
        <f>IF(X61=4958,4958,"Error")</f>
        <v>4958</v>
      </c>
      <c r="B61" t="str">
        <f>IF(K61&lt;142.5,"down",IF(K61=142.5,"low",IF(K61=147.5,"high",IF(AND(K61&gt;142.5,K61&lt;147.5),"normal","up"))))</f>
        <v>normal</v>
      </c>
      <c r="C61" t="str">
        <f>IF(K61&lt;142.5,"down",IF(K61=142.5,"low",IF(K61=147.5,"high",IF(AND(K61&gt;142.5,K61&lt;147.5),"normal","up"))))</f>
        <v>normal</v>
      </c>
      <c r="D61" t="str">
        <f>IF(K61&lt;142.5,"down",IF(K61=142.5,"low",IF(K61=147.5,"high",IF(AND(K61&gt;142.5,K61&lt;147.5),"normal","up"))))</f>
        <v>normal</v>
      </c>
      <c r="E61" t="str">
        <f>IF(K61&lt;129.5,"down",IF(K61=129.5,"low",IF(K61=151.5,"high",IF(AND(K61&gt;129.5,K61&lt;151.5),"normal","up"))))</f>
        <v>normal</v>
      </c>
      <c r="F61" t="str">
        <f>IF(P61&lt;144,"PVP-down",IF(P61=144,144,IF(P61&gt;144,"PVP-up")))</f>
        <v>PVP-down</v>
      </c>
      <c r="G61" t="str">
        <f>IF(R61&lt;1513,"PVV-down",IF(R61=1513,1513,IF(R61&gt;1513,"PVV-up")))</f>
        <v>PVV-up</v>
      </c>
      <c r="H61" s="3">
        <f t="shared" si="1"/>
        <v>9.0364995856094931E-3</v>
      </c>
      <c r="I61">
        <f>[1]!'4958.PreviousPrice'</f>
        <v>144</v>
      </c>
      <c r="J61">
        <f>[1]!'4958.PreOpenPrice'</f>
        <v>139</v>
      </c>
      <c r="K61">
        <f>[1]!'4958.Open'</f>
        <v>144</v>
      </c>
      <c r="L61">
        <f>[1]!'4958.Change'</f>
        <v>-5</v>
      </c>
      <c r="M61">
        <f>[1]!'4958.ChangePercent'</f>
        <v>-3.4700000000000002E-2</v>
      </c>
      <c r="N61">
        <f>[1]!'4958.BidPrice'</f>
        <v>139</v>
      </c>
      <c r="O61">
        <f>[1]!'4958.AskPrice'</f>
        <v>139.5</v>
      </c>
      <c r="P61">
        <f>[1]!'4958.Price'</f>
        <v>139</v>
      </c>
      <c r="Q61">
        <f>[1]!'4958.Volume'</f>
        <v>410</v>
      </c>
      <c r="R61">
        <f>[1]!'4958.CumulativeVolume'</f>
        <v>8153</v>
      </c>
      <c r="S61">
        <f>[1]!'4958.PreviousVolume'</f>
        <v>7731</v>
      </c>
      <c r="T61" s="3">
        <f t="shared" si="2"/>
        <v>-3.4722222222222224E-2</v>
      </c>
      <c r="U61" s="3">
        <f>((T61*AB61)*D4)</f>
        <v>-1.5605209242621612</v>
      </c>
      <c r="V61" s="5">
        <f t="shared" si="3"/>
        <v>56990000</v>
      </c>
      <c r="W61" s="5">
        <f t="shared" si="4"/>
        <v>0</v>
      </c>
      <c r="X61">
        <v>4958</v>
      </c>
      <c r="Y61" s="5">
        <v>9022298870</v>
      </c>
      <c r="Z61" s="3">
        <f>((D2*AB61)/P61)/10</f>
        <v>3.2621027716010047E-2</v>
      </c>
      <c r="AA61" s="3">
        <f>((M61*AB61)*D2)</f>
        <v>-1.573410029826313</v>
      </c>
      <c r="AB61" s="3">
        <f>AE61/AE323</f>
        <v>3.5166145901391324E-3</v>
      </c>
      <c r="AC61" s="3">
        <f>AF61/AF323</f>
        <v>3.6092634768216227E-3</v>
      </c>
      <c r="AD61" s="5">
        <f t="shared" si="5"/>
        <v>125409954293</v>
      </c>
      <c r="AE61" s="5">
        <f t="shared" si="6"/>
        <v>125409954293</v>
      </c>
      <c r="AF61" s="5">
        <f t="shared" si="7"/>
        <v>129921103728</v>
      </c>
      <c r="AG61" t="str">
        <f t="shared" si="8"/>
        <v>DBM200</v>
      </c>
      <c r="AH61">
        <f t="shared" si="9"/>
        <v>0</v>
      </c>
      <c r="AI61">
        <f t="shared" si="10"/>
        <v>0</v>
      </c>
      <c r="AJ61">
        <f t="shared" si="11"/>
        <v>0</v>
      </c>
      <c r="AK61" t="str">
        <f>IF(Q61&lt;190,"down",IF(Q61=190,190,IF(Q61&gt;190,"up")))</f>
        <v>up</v>
      </c>
    </row>
    <row r="62" spans="1:37" x14ac:dyDescent="0.25">
      <c r="A62">
        <f>IF(X62=2301,2301,"Error")</f>
        <v>2301</v>
      </c>
      <c r="B62" t="str">
        <f>IF(K62&lt;48.5,"down",IF(K62=48.5,"low",IF(K62=49,"high",IF(AND(K62&gt;48.5,K62&lt;49),"normal","up"))))</f>
        <v>down</v>
      </c>
      <c r="C62" t="str">
        <f>IF(K62&lt;48.5,"down",IF(K62=48.5,"low",IF(K62=49,"high",IF(AND(K62&gt;48.5,K62&lt;49),"normal","up"))))</f>
        <v>down</v>
      </c>
      <c r="D62" t="str">
        <f>IF(K62&lt;48.5,"down",IF(K62=48.5,"low",IF(K62=49,"high",IF(AND(K62&gt;48.5,K62&lt;49),"normal","up"))))</f>
        <v>down</v>
      </c>
      <c r="E62" t="str">
        <f>IF(K62&lt;48.1,"down",IF(K62=48.1,"low",IF(K62=50.5,"high",IF(AND(K62&gt;48.1,K62&lt;50.5),"normal","up"))))</f>
        <v>normal</v>
      </c>
      <c r="F62" t="str">
        <f>IF(P62&lt;48.5,"PVP-down",IF(P62=48.5,48.5,IF(P62&gt;48.5,"PVP-up")))</f>
        <v>PVP-down</v>
      </c>
      <c r="G62" t="str">
        <f>IF(R62&lt;875,"PVV-down",IF(R62=875,875,IF(R62&gt;875,"PVV-up")))</f>
        <v>PVV-up</v>
      </c>
      <c r="H62" s="3">
        <f t="shared" si="1"/>
        <v>3.2409319184327221E-3</v>
      </c>
      <c r="I62">
        <f>[1]!'2301.PreviousPrice'</f>
        <v>48.5</v>
      </c>
      <c r="J62">
        <f>[1]!'2301.PreOpenPrice'</f>
        <v>48</v>
      </c>
      <c r="K62">
        <f>[1]!'2301.Open'</f>
        <v>48.45</v>
      </c>
      <c r="L62">
        <f>[1]!'2301.Change'</f>
        <v>-0.5</v>
      </c>
      <c r="M62">
        <f>[1]!'2301.ChangePercent'</f>
        <v>-1.03E-2</v>
      </c>
      <c r="N62">
        <f>[1]!'2301.BidPrice'</f>
        <v>47.95</v>
      </c>
      <c r="O62">
        <f>[1]!'2301.AskPrice'</f>
        <v>48</v>
      </c>
      <c r="P62">
        <f>[1]!'2301.Price'</f>
        <v>48</v>
      </c>
      <c r="Q62">
        <f>[1]!'2301.Volume'</f>
        <v>896</v>
      </c>
      <c r="R62">
        <f>[1]!'2301.CumulativeVolume'</f>
        <v>7619</v>
      </c>
      <c r="S62">
        <f>[1]!'2301.PreviousVolume'</f>
        <v>5415</v>
      </c>
      <c r="T62" s="3">
        <f t="shared" si="2"/>
        <v>-9.2879256965944859E-3</v>
      </c>
      <c r="U62" s="3">
        <f>((T62*AB62)*D4)</f>
        <v>-0.37559353635361326</v>
      </c>
      <c r="V62" s="5">
        <f t="shared" si="3"/>
        <v>0</v>
      </c>
      <c r="W62" s="5">
        <f t="shared" si="4"/>
        <v>43008000</v>
      </c>
      <c r="X62">
        <v>2301</v>
      </c>
      <c r="Y62" s="5">
        <v>23508670320</v>
      </c>
      <c r="Z62" s="3">
        <f>((D2*AB62)/P62)/10</f>
        <v>8.4997958627285292E-2</v>
      </c>
      <c r="AA62" s="3">
        <f>((M62*AB62)*D2)</f>
        <v>-0.42022990745329847</v>
      </c>
      <c r="AB62" s="3">
        <f>AE62/AE323</f>
        <v>3.1641864542498017E-3</v>
      </c>
      <c r="AC62" s="3">
        <f>AF62/AF323</f>
        <v>3.1674421344082349E-3</v>
      </c>
      <c r="AD62" s="5">
        <f t="shared" si="5"/>
        <v>112841617536</v>
      </c>
      <c r="AE62" s="5">
        <f t="shared" si="6"/>
        <v>112841617536</v>
      </c>
      <c r="AF62" s="5">
        <f t="shared" si="7"/>
        <v>114017051052</v>
      </c>
      <c r="AG62">
        <f t="shared" si="8"/>
        <v>0</v>
      </c>
      <c r="AH62" t="str">
        <f t="shared" si="9"/>
        <v>DAM200</v>
      </c>
      <c r="AI62">
        <f t="shared" si="10"/>
        <v>0</v>
      </c>
      <c r="AJ62">
        <f t="shared" si="11"/>
        <v>0</v>
      </c>
      <c r="AK62" t="str">
        <f>IF(Q62&lt;118,"down",IF(Q62=118,118,IF(Q62&gt;118,"up")))</f>
        <v>up</v>
      </c>
    </row>
    <row r="63" spans="1:37" x14ac:dyDescent="0.25">
      <c r="A63">
        <f>IF(X63=2377,2377,"Error")</f>
        <v>2377</v>
      </c>
      <c r="B63" t="str">
        <f>IF(K63&lt;132,"down",IF(K63=132,"low",IF(K63=139,"high",IF(AND(K63&gt;132,K63&lt;139),"normal","up"))))</f>
        <v>normal</v>
      </c>
      <c r="C63" t="str">
        <f>IF(K63&lt;132,"down",IF(K63=132,"low",IF(K63=139,"high",IF(AND(K63&gt;132,K63&lt;139),"normal","up"))))</f>
        <v>normal</v>
      </c>
      <c r="D63" t="str">
        <f>IF(K63&lt;132,"down",IF(K63=132,"low",IF(K63=139,"high",IF(AND(K63&gt;132,K63&lt;139),"normal","up"))))</f>
        <v>normal</v>
      </c>
      <c r="E63" t="str">
        <f>IF(K63&lt;129,"down",IF(K63=129,"low",IF(K63=141,"high",IF(AND(K63&gt;129,K63&lt;141),"normal","up"))))</f>
        <v>normal</v>
      </c>
      <c r="F63" t="str">
        <f>IF(P63&lt;133,"PVP-down",IF(P63=133,133,IF(P63&gt;133,"PVP-up")))</f>
        <v>PVP-up</v>
      </c>
      <c r="G63" t="str">
        <f>IF(R63&lt;1194,"PVV-down",IF(R63=1194,1194,IF(R63&gt;1194,"PVV-up")))</f>
        <v>PVV-up</v>
      </c>
      <c r="H63" s="3">
        <f t="shared" si="1"/>
        <v>6.526554467525425E-3</v>
      </c>
      <c r="I63">
        <f>[1]!'2377.PreviousPrice'</f>
        <v>133</v>
      </c>
      <c r="J63">
        <f>[1]!'2377.PreOpenPrice'</f>
        <v>137</v>
      </c>
      <c r="K63">
        <f>[1]!'2377.Open'</f>
        <v>134</v>
      </c>
      <c r="L63">
        <f>[1]!'2377.Change'</f>
        <v>4</v>
      </c>
      <c r="M63">
        <f>[1]!'2377.ChangePercent'</f>
        <v>3.0099999999999998E-2</v>
      </c>
      <c r="N63">
        <f>[1]!'2377.BidPrice'</f>
        <v>136.5</v>
      </c>
      <c r="O63">
        <f>[1]!'2377.AskPrice'</f>
        <v>137</v>
      </c>
      <c r="P63">
        <f>[1]!'2377.Price'</f>
        <v>137</v>
      </c>
      <c r="Q63">
        <f>[1]!'2377.Volume'</f>
        <v>435</v>
      </c>
      <c r="R63">
        <f>[1]!'2377.CumulativeVolume'</f>
        <v>5514</v>
      </c>
      <c r="S63">
        <f>[1]!'2377.PreviousVolume'</f>
        <v>7178</v>
      </c>
      <c r="T63" s="3">
        <f t="shared" si="2"/>
        <v>2.2388059701492536E-2</v>
      </c>
      <c r="U63" s="3">
        <f>((T63*AB63)*D4)</f>
        <v>0.92864535971950135</v>
      </c>
      <c r="V63" s="5">
        <f t="shared" si="3"/>
        <v>0</v>
      </c>
      <c r="W63" s="5">
        <f t="shared" si="4"/>
        <v>59595000</v>
      </c>
      <c r="X63">
        <v>2377</v>
      </c>
      <c r="Y63" s="5">
        <v>8448561990</v>
      </c>
      <c r="Z63" s="3">
        <f>((D2*AB63)/P63)/10</f>
        <v>3.054662440330122E-2</v>
      </c>
      <c r="AA63" s="3">
        <f>((M63*AB63)*D2)</f>
        <v>1.2596511505189323</v>
      </c>
      <c r="AB63" s="3">
        <f>AE63/AE323</f>
        <v>3.2456084560665947E-3</v>
      </c>
      <c r="AC63" s="3">
        <f>AF63/AF323</f>
        <v>3.1215717471422808E-3</v>
      </c>
      <c r="AD63" s="5">
        <f t="shared" si="5"/>
        <v>115745299263</v>
      </c>
      <c r="AE63" s="5">
        <f t="shared" si="6"/>
        <v>115745299263</v>
      </c>
      <c r="AF63" s="5">
        <f t="shared" si="7"/>
        <v>112365874467</v>
      </c>
      <c r="AG63">
        <f t="shared" si="8"/>
        <v>0</v>
      </c>
      <c r="AH63">
        <f t="shared" si="9"/>
        <v>0</v>
      </c>
      <c r="AI63" t="str">
        <f t="shared" si="10"/>
        <v>UAM200</v>
      </c>
      <c r="AJ63">
        <f t="shared" si="11"/>
        <v>0</v>
      </c>
      <c r="AK63" t="str">
        <f>IF(Q63&lt;155,"down",IF(Q63=155,155,IF(Q63&gt;155,"up")))</f>
        <v>up</v>
      </c>
    </row>
    <row r="64" spans="1:37" x14ac:dyDescent="0.25">
      <c r="A64">
        <f>IF(X64=3231,3231,"Error")</f>
        <v>3231</v>
      </c>
      <c r="B64" t="str">
        <f>IF(K64&lt;34.05,"down",IF(K64=34.05,"low",IF(K64=35.05,"high",IF(AND(K64&gt;34.05,K64&lt;35.05),"normal","up"))))</f>
        <v>normal</v>
      </c>
      <c r="C64" t="str">
        <f>IF(K64&lt;34.05,"down",IF(K64=34.05,"low",IF(K64=35.05,"high",IF(AND(K64&gt;34.05,K64&lt;35.05),"normal","up"))))</f>
        <v>normal</v>
      </c>
      <c r="D64" t="str">
        <f>IF(K64&lt;34.05,"down",IF(K64=34.05,"low",IF(K64=35.05,"high",IF(AND(K64&gt;34.05,K64&lt;35.05),"normal","up"))))</f>
        <v>normal</v>
      </c>
      <c r="E64" t="str">
        <f>IF(K64&lt;33.65,"down",IF(K64=33.65,"low",IF(K64=35.7,"high",IF(AND(K64&gt;33.65,K64&lt;35.7),"normal","up"))))</f>
        <v>normal</v>
      </c>
      <c r="F64" t="str">
        <f>IF(P64&lt;34.6,"PVP-down",IF(P64=34.6,34.6,IF(P64&gt;34.6,"PVP-up")))</f>
        <v>PVP-down</v>
      </c>
      <c r="G64" t="str">
        <f>IF(R64&lt;2013,"PVV-down",IF(R64=2013,2013,IF(R64&gt;2013,"PVV-up")))</f>
        <v>PVV-up</v>
      </c>
      <c r="H64" s="3">
        <f t="shared" si="1"/>
        <v>5.2696389850208514E-3</v>
      </c>
      <c r="I64">
        <f>[1]!'3231.PreviousPrice'</f>
        <v>34.5</v>
      </c>
      <c r="J64">
        <f>[1]!'3231.PreOpenPrice'</f>
        <v>34</v>
      </c>
      <c r="K64">
        <f>[1]!'3231.Open'</f>
        <v>34.6</v>
      </c>
      <c r="L64">
        <f>[1]!'3231.Change'</f>
        <v>-0.5</v>
      </c>
      <c r="M64">
        <f>[1]!'3231.ChangePercent'</f>
        <v>-1.4500000000000001E-2</v>
      </c>
      <c r="N64">
        <f>[1]!'3231.BidPrice'</f>
        <v>33.950000000000003</v>
      </c>
      <c r="O64">
        <f>[1]!'3231.AskPrice'</f>
        <v>34</v>
      </c>
      <c r="P64">
        <f>[1]!'3231.Price'</f>
        <v>34</v>
      </c>
      <c r="Q64">
        <f>[1]!'3231.Volume'</f>
        <v>1219</v>
      </c>
      <c r="R64">
        <f>[1]!'3231.CumulativeVolume'</f>
        <v>14969</v>
      </c>
      <c r="S64">
        <f>[1]!'3231.PreviousVolume'</f>
        <v>18560</v>
      </c>
      <c r="T64" s="3">
        <f t="shared" si="2"/>
        <v>-1.7341040462427786E-2</v>
      </c>
      <c r="U64" s="3">
        <f>((T64*AB64)*D4)</f>
        <v>-0.60020010646113298</v>
      </c>
      <c r="V64" s="5">
        <f t="shared" si="3"/>
        <v>0</v>
      </c>
      <c r="W64" s="5">
        <f t="shared" si="4"/>
        <v>41446000</v>
      </c>
      <c r="X64">
        <v>3231</v>
      </c>
      <c r="Y64" s="5">
        <v>28406120500</v>
      </c>
      <c r="Z64" s="3">
        <f>((D2*AB64)/P64)/10</f>
        <v>0.10270518162682205</v>
      </c>
      <c r="AA64" s="3">
        <f>((M64*AB64)*D2)</f>
        <v>-0.50633654542023276</v>
      </c>
      <c r="AB64" s="3">
        <f>AE64/AE323</f>
        <v>2.7082179116736074E-3</v>
      </c>
      <c r="AC64" s="3">
        <f>AF64/AF323</f>
        <v>2.7225126444009834E-3</v>
      </c>
      <c r="AD64" s="5">
        <f t="shared" si="5"/>
        <v>96580809700</v>
      </c>
      <c r="AE64" s="5">
        <f t="shared" si="6"/>
        <v>96580809700</v>
      </c>
      <c r="AF64" s="5">
        <f t="shared" si="7"/>
        <v>98001115725</v>
      </c>
      <c r="AG64">
        <f t="shared" si="8"/>
        <v>0</v>
      </c>
      <c r="AH64" t="str">
        <f t="shared" si="9"/>
        <v>DAM200</v>
      </c>
      <c r="AI64">
        <f t="shared" si="10"/>
        <v>0</v>
      </c>
      <c r="AJ64">
        <f t="shared" si="11"/>
        <v>0</v>
      </c>
      <c r="AK64" t="str">
        <f>IF(Q64&lt;473,"down",IF(Q64=473,473,IF(Q64&gt;473,"up")))</f>
        <v>up</v>
      </c>
    </row>
    <row r="65" spans="1:37" x14ac:dyDescent="0.25">
      <c r="A65">
        <f>IF(X65=3037,3037,"Error")</f>
        <v>3037</v>
      </c>
      <c r="B65" t="str">
        <f>IF(K65&lt;74.6,"down",IF(K65=74.6,"low",IF(K65=78.7,"high",IF(AND(K65&gt;74.6,K65&lt;78.7),"normal","up"))))</f>
        <v>normal</v>
      </c>
      <c r="C65" t="str">
        <f>IF(K65&lt;74.6,"down",IF(K65=74.6,"low",IF(K65=78.7,"high",IF(AND(K65&gt;74.6,K65&lt;78.7),"normal","up"))))</f>
        <v>normal</v>
      </c>
      <c r="D65" t="str">
        <f>IF(K65&lt;74.6,"down",IF(K65=74.6,"low",IF(K65=78.7,"high",IF(AND(K65&gt;74.6,K65&lt;78.7),"normal","up"))))</f>
        <v>normal</v>
      </c>
      <c r="E65" t="str">
        <f>IF(K65&lt;63.4,"down",IF(K65=63.4,"low",IF(K65=78.7,"high",IF(AND(K65&gt;63.4,K65&lt;78.7),"normal","up"))))</f>
        <v>normal</v>
      </c>
      <c r="F65" t="str">
        <f>IF(P65&lt;76,"PVP-down",IF(P65=76,76,IF(P65&gt;76,"PVP-up")))</f>
        <v>PVP-up</v>
      </c>
      <c r="G65" t="str">
        <f>IF(R65&lt;5279,"PVV-down",IF(R65=5279,5279,IF(R65&gt;5279,"PVV-up")))</f>
        <v>PVV-up</v>
      </c>
      <c r="H65" s="3">
        <f t="shared" si="1"/>
        <v>9.3881148761093311E-2</v>
      </c>
      <c r="I65">
        <f>[1]!'3037.PreviousPrice'</f>
        <v>76</v>
      </c>
      <c r="J65">
        <f>[1]!'3037.PreOpenPrice'</f>
        <v>81.599999999999994</v>
      </c>
      <c r="K65">
        <f>[1]!'3037.Open'</f>
        <v>77.5</v>
      </c>
      <c r="L65">
        <f>[1]!'3037.Change'</f>
        <v>5.6</v>
      </c>
      <c r="M65">
        <f>[1]!'3037.ChangePercent'</f>
        <v>7.3700000000000002E-2</v>
      </c>
      <c r="N65">
        <f>[1]!'3037.BidPrice'</f>
        <v>81.5</v>
      </c>
      <c r="O65">
        <f>[1]!'3037.AskPrice'</f>
        <v>81.599999999999994</v>
      </c>
      <c r="P65">
        <f>[1]!'3037.Price'</f>
        <v>81.599999999999994</v>
      </c>
      <c r="Q65">
        <f>[1]!'3037.Volume'</f>
        <v>3144</v>
      </c>
      <c r="R65">
        <f>[1]!'3037.CumulativeVolume'</f>
        <v>141266</v>
      </c>
      <c r="S65">
        <f>[1]!'3037.PreviousVolume'</f>
        <v>61912</v>
      </c>
      <c r="T65" s="3">
        <f t="shared" si="2"/>
        <v>5.2903225806451543E-2</v>
      </c>
      <c r="U65" s="3">
        <f>((T65*AB65)*D4)</f>
        <v>2.3278856353957913</v>
      </c>
      <c r="V65" s="5">
        <f t="shared" si="3"/>
        <v>0</v>
      </c>
      <c r="W65" s="5">
        <f t="shared" si="4"/>
        <v>256550400</v>
      </c>
      <c r="X65">
        <v>3037</v>
      </c>
      <c r="Y65" s="5">
        <v>15047323330</v>
      </c>
      <c r="Z65" s="3">
        <f>((D2*AB65)/P65)/10</f>
        <v>5.4405108772426936E-2</v>
      </c>
      <c r="AA65" s="3">
        <f>((M65*AB65)*D2)</f>
        <v>3.2718797174867382</v>
      </c>
      <c r="AB65" s="3">
        <f>AE65/AE323</f>
        <v>3.4430408529781591E-3</v>
      </c>
      <c r="AC65" s="3">
        <f>AF65/AF323</f>
        <v>3.1769598818043795E-3</v>
      </c>
      <c r="AD65" s="5">
        <f t="shared" si="5"/>
        <v>122786158372.8</v>
      </c>
      <c r="AE65" s="5">
        <f t="shared" si="6"/>
        <v>122786158372.8</v>
      </c>
      <c r="AF65" s="5">
        <f t="shared" si="7"/>
        <v>114359657308</v>
      </c>
      <c r="AG65">
        <f t="shared" si="8"/>
        <v>0</v>
      </c>
      <c r="AH65">
        <f t="shared" si="9"/>
        <v>0</v>
      </c>
      <c r="AI65" t="str">
        <f t="shared" si="10"/>
        <v>UAM200</v>
      </c>
      <c r="AJ65">
        <f t="shared" si="11"/>
        <v>0</v>
      </c>
      <c r="AK65" t="str">
        <f>IF(Q65&lt;826,"down",IF(Q65=826,826,IF(Q65&gt;826,"up")))</f>
        <v>up</v>
      </c>
    </row>
    <row r="66" spans="1:37" x14ac:dyDescent="0.25">
      <c r="A66">
        <f>IF(X66=2409,2409,"Error")</f>
        <v>2409</v>
      </c>
      <c r="B66" t="str">
        <f>IF(K66&lt;10,"down",IF(K66=10,"low",IF(K66=10.25,"high",IF(AND(K66&gt;10,K66&lt;10.25),"normal","up"))))</f>
        <v>normal</v>
      </c>
      <c r="C66" t="str">
        <f>IF(K66&lt;10,"down",IF(K66=10,"low",IF(K66=10.25,"high",IF(AND(K66&gt;10,K66&lt;10.25),"normal","up"))))</f>
        <v>normal</v>
      </c>
      <c r="D66" t="str">
        <f>IF(K66&lt;10,"down",IF(K66=10,"low",IF(K66=10.25,"high",IF(AND(K66&gt;10,K66&lt;10.25),"normal","up"))))</f>
        <v>normal</v>
      </c>
      <c r="E66" t="str">
        <f>IF(K66&lt;9.9,"down",IF(K66=9.9,"low",IF(K66=10.6,"high",IF(AND(K66&gt;9.9,K66&lt;10.6),"normal","up"))))</f>
        <v>normal</v>
      </c>
      <c r="F66" t="str">
        <f>IF(P66&lt;10.15,"PVP-down",IF(P66=10.15,10.15,IF(P66&gt;10.15,"PVP-up")))</f>
        <v>PVP-down</v>
      </c>
      <c r="G66" t="str">
        <f>IF(R66&lt;15225,"PVV-down",IF(R66=15225,15225,IF(R66&gt;15225,"PVV-up")))</f>
        <v>PVV-up</v>
      </c>
      <c r="H66" s="3">
        <f t="shared" si="1"/>
        <v>5.3712264580036105E-3</v>
      </c>
      <c r="I66">
        <f>[1]!'2409.PreviousPrice'</f>
        <v>10</v>
      </c>
      <c r="J66">
        <f>[1]!'2409.PreOpenPrice'</f>
        <v>9.91</v>
      </c>
      <c r="K66">
        <f>[1]!'2409.Open'</f>
        <v>10.050000000000001</v>
      </c>
      <c r="L66">
        <f>[1]!'2409.Change'</f>
        <v>-0.09</v>
      </c>
      <c r="M66">
        <f>[1]!'2409.ChangePercent'</f>
        <v>-8.9999999999999993E-3</v>
      </c>
      <c r="N66">
        <f>[1]!'2409.BidPrice'</f>
        <v>9.91</v>
      </c>
      <c r="O66">
        <f>[1]!'2409.AskPrice'</f>
        <v>9.92</v>
      </c>
      <c r="P66">
        <f>[1]!'2409.Price'</f>
        <v>9.91</v>
      </c>
      <c r="Q66">
        <f>[1]!'2409.Volume'</f>
        <v>5505</v>
      </c>
      <c r="R66">
        <f>[1]!'2409.CumulativeVolume'</f>
        <v>51694</v>
      </c>
      <c r="S66">
        <f>[1]!'2409.PreviousVolume'</f>
        <v>72363</v>
      </c>
      <c r="T66" s="3">
        <f t="shared" si="2"/>
        <v>-1.3930348258706524E-2</v>
      </c>
      <c r="U66" s="3">
        <f>((T66*AB66)*D4)</f>
        <v>-0.47613748998496325</v>
      </c>
      <c r="V66" s="5">
        <f t="shared" si="3"/>
        <v>54554550</v>
      </c>
      <c r="W66" s="5">
        <f t="shared" si="4"/>
        <v>0</v>
      </c>
      <c r="X66">
        <v>2409</v>
      </c>
      <c r="Y66" s="5">
        <v>96242451150</v>
      </c>
      <c r="Z66" s="3">
        <f>((D2*AB66)/P66)/10</f>
        <v>0.3479742482107438</v>
      </c>
      <c r="AA66" s="3">
        <f>((M66*AB66)*D2)</f>
        <v>-0.31035823197916235</v>
      </c>
      <c r="AB66" s="3">
        <f>AE66/AE323</f>
        <v>2.6744414454540648E-3</v>
      </c>
      <c r="AC66" s="3">
        <f>AF66/AF323</f>
        <v>2.6736561950914356E-3</v>
      </c>
      <c r="AD66" s="5">
        <f t="shared" si="5"/>
        <v>95376269089.649994</v>
      </c>
      <c r="AE66" s="5">
        <f t="shared" si="6"/>
        <v>95376269089.649994</v>
      </c>
      <c r="AF66" s="5">
        <f t="shared" si="7"/>
        <v>96242451150</v>
      </c>
      <c r="AG66" t="str">
        <f t="shared" si="8"/>
        <v>DBM200</v>
      </c>
      <c r="AH66">
        <f t="shared" si="9"/>
        <v>0</v>
      </c>
      <c r="AI66">
        <f t="shared" si="10"/>
        <v>0</v>
      </c>
      <c r="AJ66">
        <f t="shared" si="11"/>
        <v>0</v>
      </c>
      <c r="AK66" t="str">
        <f>IF(Q66&lt;2913,"down",IF(Q66=2913,2913,IF(Q66&gt;2913,"up")))</f>
        <v>up</v>
      </c>
    </row>
    <row r="67" spans="1:37" x14ac:dyDescent="0.25">
      <c r="A67">
        <f>IF(X67=2356,2356,"Error")</f>
        <v>2356</v>
      </c>
      <c r="B67" t="str">
        <f>IF(K67&lt;24.45,"down",IF(K67=24.45,"low",IF(K67=24.75,"high",IF(AND(K67&gt;24.45,K67&lt;24.75),"normal","up"))))</f>
        <v>normal</v>
      </c>
      <c r="C67" t="str">
        <f>IF(K67&lt;24.45,"down",IF(K67=24.45,"low",IF(K67=24.75,"high",IF(AND(K67&gt;24.45,K67&lt;24.75),"normal","up"))))</f>
        <v>normal</v>
      </c>
      <c r="D67" t="str">
        <f>IF(K67&lt;24.45,"down",IF(K67=24.45,"low",IF(K67=24.75,"high",IF(AND(K67&gt;24.45,K67&lt;24.75),"normal","up"))))</f>
        <v>normal</v>
      </c>
      <c r="E67" t="str">
        <f>IF(K67&lt;24.25,"down",IF(K67=24.25,"low",IF(K67=24.95,"high",IF(AND(K67&gt;24.25,K67&lt;24.95),"normal","up"))))</f>
        <v>normal</v>
      </c>
      <c r="F67" t="str">
        <f>IF(P67&lt;24.55,"PVP-down",IF(P67=24.55,24.55,IF(P67&gt;24.55,"PVP-up")))</f>
        <v>PVP-down</v>
      </c>
      <c r="G67" t="str">
        <f>IF(R67&lt;3717,"PVV-down",IF(R67=3717,3717,IF(R67&gt;3717,"PVV-up")))</f>
        <v>PVV-up</v>
      </c>
      <c r="H67" s="3">
        <f t="shared" si="1"/>
        <v>4.2712491984188191E-3</v>
      </c>
      <c r="I67">
        <f>[1]!'2356.PreviousPrice'</f>
        <v>24.75</v>
      </c>
      <c r="J67">
        <f>[1]!'2356.PreOpenPrice'</f>
        <v>24.15</v>
      </c>
      <c r="K67">
        <f>[1]!'2356.Open'</f>
        <v>24.55</v>
      </c>
      <c r="L67">
        <f>[1]!'2356.Change'</f>
        <v>-0.6</v>
      </c>
      <c r="M67">
        <f>[1]!'2356.ChangePercent'</f>
        <v>-2.4199999999999999E-2</v>
      </c>
      <c r="N67">
        <f>[1]!'2356.BidPrice'</f>
        <v>24.15</v>
      </c>
      <c r="O67">
        <f>[1]!'2356.AskPrice'</f>
        <v>24.2</v>
      </c>
      <c r="P67">
        <f>[1]!'2356.Price'</f>
        <v>24.15</v>
      </c>
      <c r="Q67">
        <f>[1]!'2356.Volume'</f>
        <v>860</v>
      </c>
      <c r="R67">
        <f>[1]!'2356.CumulativeVolume'</f>
        <v>15323</v>
      </c>
      <c r="S67">
        <f>[1]!'2356.PreviousVolume'</f>
        <v>11119</v>
      </c>
      <c r="T67" s="3">
        <f t="shared" si="2"/>
        <v>-1.6293279022403344E-2</v>
      </c>
      <c r="U67" s="3">
        <f>((T67*AB67)*D4)</f>
        <v>-0.50587660548993107</v>
      </c>
      <c r="V67" s="5">
        <f t="shared" si="3"/>
        <v>20769000</v>
      </c>
      <c r="W67" s="5">
        <f t="shared" si="4"/>
        <v>0</v>
      </c>
      <c r="X67">
        <v>2356</v>
      </c>
      <c r="Y67" s="5">
        <v>35874750660</v>
      </c>
      <c r="Z67" s="3">
        <f>((D2*AB67)/P67)/10</f>
        <v>0.1297087640796375</v>
      </c>
      <c r="AA67" s="3">
        <f>((M67*AB67)*D2)</f>
        <v>-0.75805692991062545</v>
      </c>
      <c r="AB67" s="3">
        <f>AE67/AE323</f>
        <v>2.4293986757586827E-3</v>
      </c>
      <c r="AC67" s="3">
        <f>AF67/AF323</f>
        <v>2.4666241539291591E-3</v>
      </c>
      <c r="AD67" s="5">
        <f t="shared" si="5"/>
        <v>86637522843.899994</v>
      </c>
      <c r="AE67" s="5">
        <f t="shared" si="6"/>
        <v>86637522843.899994</v>
      </c>
      <c r="AF67" s="5">
        <f t="shared" si="7"/>
        <v>88790007883.5</v>
      </c>
      <c r="AG67" t="str">
        <f t="shared" si="8"/>
        <v>DBM200</v>
      </c>
      <c r="AH67">
        <f t="shared" si="9"/>
        <v>0</v>
      </c>
      <c r="AI67">
        <f t="shared" si="10"/>
        <v>0</v>
      </c>
      <c r="AJ67">
        <f t="shared" si="11"/>
        <v>0</v>
      </c>
      <c r="AK67" t="str">
        <f>IF(Q67&lt;230,"down",IF(Q67=230,230,IF(Q67&gt;230,"up")))</f>
        <v>up</v>
      </c>
    </row>
    <row r="68" spans="1:37" x14ac:dyDescent="0.25">
      <c r="A68">
        <f>IF(X68=2492,2492,"Error")</f>
        <v>2492</v>
      </c>
      <c r="B68" t="str">
        <f>IF(K68&lt;175.5,"down",IF(K68=175.5,"low",IF(K68=179.5,"high",IF(AND(K68&gt;175.5,K68&lt;179.5),"normal","up"))))</f>
        <v>normal</v>
      </c>
      <c r="C68" t="str">
        <f>IF(K68&lt;175.5,"down",IF(K68=175.5,"low",IF(K68=179.5,"high",IF(AND(K68&gt;175.5,K68&lt;179.5),"normal","up"))))</f>
        <v>normal</v>
      </c>
      <c r="D68" t="str">
        <f>IF(K68&lt;175.5,"down",IF(K68=175.5,"low",IF(K68=179.5,"high",IF(AND(K68&gt;175.5,K68&lt;179.5),"normal","up"))))</f>
        <v>normal</v>
      </c>
      <c r="E68" t="str">
        <f>IF(K68&lt;175.5,"down",IF(K68=175.5,"low",IF(K68=185,"high",IF(AND(K68&gt;175.5,K68&lt;185),"normal","up"))))</f>
        <v>normal</v>
      </c>
      <c r="F68" t="str">
        <f>IF(P68&lt;176,"PVP-down",IF(P68=176,176,IF(P68&gt;176,"PVP-up")))</f>
        <v>PVP-up</v>
      </c>
      <c r="G68" t="str">
        <f>IF(R68&lt;1108,"PVV-down",IF(R68=1108,1108,IF(R68&gt;1108,"PVV-up")))</f>
        <v>PVV-up</v>
      </c>
      <c r="H68" s="3">
        <f t="shared" si="1"/>
        <v>2.4454508027995061E-2</v>
      </c>
      <c r="I68">
        <f>[1]!'2492.PreviousPrice'</f>
        <v>176</v>
      </c>
      <c r="J68">
        <f>[1]!'2492.PreOpenPrice'</f>
        <v>179</v>
      </c>
      <c r="K68">
        <f>[1]!'2492.Open'</f>
        <v>179</v>
      </c>
      <c r="L68">
        <f>[1]!'2492.Change'</f>
        <v>3</v>
      </c>
      <c r="M68">
        <f>[1]!'2492.ChangePercent'</f>
        <v>1.7000000000000001E-2</v>
      </c>
      <c r="N68">
        <f>[1]!'2492.BidPrice'</f>
        <v>179</v>
      </c>
      <c r="O68">
        <f>[1]!'2492.AskPrice'</f>
        <v>179.5</v>
      </c>
      <c r="P68">
        <f>[1]!'2492.Price'</f>
        <v>179</v>
      </c>
      <c r="Q68">
        <f>[1]!'2492.Volume'</f>
        <v>454</v>
      </c>
      <c r="R68">
        <f>[1]!'2492.CumulativeVolume'</f>
        <v>11880</v>
      </c>
      <c r="S68">
        <f>[1]!'2492.PreviousVolume'</f>
        <v>3609</v>
      </c>
      <c r="T68" s="3">
        <f t="shared" si="2"/>
        <v>0</v>
      </c>
      <c r="U68" s="3">
        <f>((T68*AB68)*D4)</f>
        <v>0</v>
      </c>
      <c r="V68" s="5">
        <f t="shared" si="3"/>
        <v>81266000</v>
      </c>
      <c r="W68" s="5">
        <f t="shared" si="4"/>
        <v>0</v>
      </c>
      <c r="X68">
        <v>2492</v>
      </c>
      <c r="Y68" s="5">
        <v>4858000000</v>
      </c>
      <c r="Z68" s="3">
        <f>((D2*AB68)/P68)/10</f>
        <v>1.7564586911581311E-2</v>
      </c>
      <c r="AA68" s="3">
        <f>((M68*AB68)*D2)</f>
        <v>0.53449037971941915</v>
      </c>
      <c r="AB68" s="3">
        <f>AE68/AE323</f>
        <v>2.4383907687087437E-3</v>
      </c>
      <c r="AC68" s="3">
        <f>AF68/AF323</f>
        <v>2.3752485610428449E-3</v>
      </c>
      <c r="AD68" s="5">
        <f t="shared" si="5"/>
        <v>86958200000</v>
      </c>
      <c r="AE68" s="5">
        <f t="shared" si="6"/>
        <v>86958200000</v>
      </c>
      <c r="AF68" s="5">
        <f t="shared" si="7"/>
        <v>85500800000</v>
      </c>
      <c r="AG68">
        <f t="shared" si="8"/>
        <v>0</v>
      </c>
      <c r="AH68">
        <f t="shared" si="9"/>
        <v>0</v>
      </c>
      <c r="AI68">
        <f t="shared" si="10"/>
        <v>0</v>
      </c>
      <c r="AJ68" t="str">
        <f t="shared" si="11"/>
        <v>UBM200</v>
      </c>
      <c r="AK68" t="str">
        <f>IF(Q68&lt;135,"down",IF(Q68=135,135,IF(Q68&gt;135,"up")))</f>
        <v>up</v>
      </c>
    </row>
    <row r="69" spans="1:37" x14ac:dyDescent="0.25">
      <c r="A69">
        <f>IF(X69=2324,2324,"Error")</f>
        <v>2324</v>
      </c>
      <c r="B69" t="str">
        <f>IF(K69&lt;18.8,"down",IF(K69=18.8,"low",IF(K69=19,"high",IF(AND(K69&gt;18.8,K69&lt;19),"normal","up"))))</f>
        <v>up</v>
      </c>
      <c r="C69" t="str">
        <f>IF(K69&lt;18.8,"down",IF(K69=18.8,"low",IF(K69=19,"high",IF(AND(K69&gt;18.8,K69&lt;19),"normal","up"))))</f>
        <v>up</v>
      </c>
      <c r="D69" t="str">
        <f>IF(K69&lt;18.8,"down",IF(K69=18.8,"low",IF(K69=19,"high",IF(AND(K69&gt;18.8,K69&lt;19),"normal","up"))))</f>
        <v>up</v>
      </c>
      <c r="E69" t="str">
        <f>IF(K69&lt;18.3,"down",IF(K69=18.3,"low",IF(K69=19,"high",IF(AND(K69&gt;18.3,K69&lt;19),"normal","up"))))</f>
        <v>up</v>
      </c>
      <c r="F69" t="str">
        <f>IF(P69&lt;18.85,"PVP-down",IF(P69=18.85,18.85,IF(P69&gt;18.85,"PVP-up")))</f>
        <v>PVP-down</v>
      </c>
      <c r="G69" t="str">
        <f>IF(R69&lt;7619,"PVV-down",IF(R69=7619,7619,IF(R69&gt;7619,"PVV-up")))</f>
        <v>PVV-up</v>
      </c>
      <c r="H69" s="3">
        <f t="shared" si="1"/>
        <v>2.5696898614077767E-3</v>
      </c>
      <c r="I69">
        <f>[1]!'2324.PreviousPrice'</f>
        <v>19</v>
      </c>
      <c r="J69">
        <f>[1]!'2324.PreOpenPrice'</f>
        <v>18.8</v>
      </c>
      <c r="K69">
        <f>[1]!'2324.Open'</f>
        <v>19.100000000000001</v>
      </c>
      <c r="L69">
        <f>[1]!'2324.Change'</f>
        <v>-0.2</v>
      </c>
      <c r="M69">
        <f>[1]!'2324.ChangePercent'</f>
        <v>-1.0500000000000001E-2</v>
      </c>
      <c r="N69">
        <f>[1]!'2324.BidPrice'</f>
        <v>18.8</v>
      </c>
      <c r="O69">
        <f>[1]!'2324.AskPrice'</f>
        <v>18.850000000000001</v>
      </c>
      <c r="P69">
        <f>[1]!'2324.Price'</f>
        <v>18.8</v>
      </c>
      <c r="Q69">
        <f>[1]!'2324.Volume'</f>
        <v>1152</v>
      </c>
      <c r="R69">
        <f>[1]!'2324.CumulativeVolume'</f>
        <v>11325</v>
      </c>
      <c r="S69">
        <f>[1]!'2324.PreviousVolume'</f>
        <v>14860</v>
      </c>
      <c r="T69" s="3">
        <f t="shared" si="2"/>
        <v>-1.570680628272255E-2</v>
      </c>
      <c r="U69" s="3">
        <f>((T69*AB69)*D4)</f>
        <v>-0.46637290469072074</v>
      </c>
      <c r="V69" s="5">
        <f t="shared" si="3"/>
        <v>21657600.000000004</v>
      </c>
      <c r="W69" s="5">
        <f t="shared" si="4"/>
        <v>0</v>
      </c>
      <c r="X69">
        <v>2324</v>
      </c>
      <c r="Y69" s="5">
        <v>44071466250</v>
      </c>
      <c r="Z69" s="3">
        <f>((D2*AB69)/P69)/10</f>
        <v>0.15934481252963098</v>
      </c>
      <c r="AA69" s="3">
        <f>((M69*AB69)*D2)</f>
        <v>-0.31454665993349157</v>
      </c>
      <c r="AB69" s="3">
        <f>AE69/AE323</f>
        <v>2.3233150888452478E-3</v>
      </c>
      <c r="AC69" s="3">
        <f>AF69/AF323</f>
        <v>2.3262157185357977E-3</v>
      </c>
      <c r="AD69" s="5">
        <f t="shared" si="5"/>
        <v>82854356550</v>
      </c>
      <c r="AE69" s="5">
        <f t="shared" si="6"/>
        <v>82854356550</v>
      </c>
      <c r="AF69" s="5">
        <f t="shared" si="7"/>
        <v>83735785875</v>
      </c>
      <c r="AG69" t="str">
        <f t="shared" si="8"/>
        <v>DBM200</v>
      </c>
      <c r="AH69">
        <f t="shared" si="9"/>
        <v>0</v>
      </c>
      <c r="AI69">
        <f t="shared" si="10"/>
        <v>0</v>
      </c>
      <c r="AJ69">
        <f t="shared" si="11"/>
        <v>0</v>
      </c>
      <c r="AK69" t="str">
        <f>IF(Q69&lt;204,"down",IF(Q69=204,204,IF(Q69&gt;204,"up")))</f>
        <v>up</v>
      </c>
    </row>
    <row r="70" spans="1:37" x14ac:dyDescent="0.25">
      <c r="A70">
        <f>IF(X70=3481,3481,"Error")</f>
        <v>3481</v>
      </c>
      <c r="B70" t="str">
        <f>IF(K70&lt;8.17,"down",IF(K70=8.17,"low",IF(K70=8.3,"high",IF(AND(K70&gt;8.17,K70&lt;8.3),"normal","up"))))</f>
        <v>normal</v>
      </c>
      <c r="C70" t="str">
        <f>IF(K70&lt;8.17,"down",IF(K70=8.17,"low",IF(K70=8.3,"high",IF(AND(K70&gt;8.17,K70&lt;8.3),"normal","up"))))</f>
        <v>normal</v>
      </c>
      <c r="D70" t="str">
        <f>IF(K70&lt;8.17,"down",IF(K70=8.17,"low",IF(K70=8.3,"high",IF(AND(K70&gt;8.17,K70&lt;8.3),"normal","up"))))</f>
        <v>normal</v>
      </c>
      <c r="E70" t="str">
        <f>IF(K70&lt;8.13,"down",IF(K70=8.13,"low",IF(K70=8.82,"high",IF(AND(K70&gt;8.13,K70&lt;8.82),"normal","up"))))</f>
        <v>normal</v>
      </c>
      <c r="F70" t="str">
        <f>IF(P70&lt;8.19,"PVP-down",IF(P70=8.19,8.19,IF(P70&gt;8.19,"PVP-up")))</f>
        <v>PVP-down</v>
      </c>
      <c r="G70" t="str">
        <f>IF(R70&lt;12543,"PVV-down",IF(R70=12543,12543,IF(R70&gt;12543,"PVV-up")))</f>
        <v>PVV-up</v>
      </c>
      <c r="H70" s="3">
        <f t="shared" si="1"/>
        <v>6.9693644697820575E-3</v>
      </c>
      <c r="I70">
        <f>[1]!'3481.PreviousPrice'</f>
        <v>8.19</v>
      </c>
      <c r="J70">
        <f>[1]!'3481.PreOpenPrice'</f>
        <v>8.11</v>
      </c>
      <c r="K70">
        <f>[1]!'3481.Open'</f>
        <v>8.27</v>
      </c>
      <c r="L70">
        <f>[1]!'3481.Change'</f>
        <v>-0.08</v>
      </c>
      <c r="M70">
        <f>[1]!'3481.ChangePercent'</f>
        <v>-9.7999999999999997E-3</v>
      </c>
      <c r="N70">
        <f>[1]!'3481.BidPrice'</f>
        <v>8.11</v>
      </c>
      <c r="O70">
        <f>[1]!'3481.AskPrice'</f>
        <v>8.1199999999999992</v>
      </c>
      <c r="P70">
        <f>[1]!'3481.Price'</f>
        <v>8.11</v>
      </c>
      <c r="Q70">
        <f>[1]!'3481.Volume'</f>
        <v>2941</v>
      </c>
      <c r="R70">
        <f>[1]!'3481.CumulativeVolume'</f>
        <v>67680</v>
      </c>
      <c r="S70">
        <f>[1]!'3481.PreviousVolume'</f>
        <v>71109</v>
      </c>
      <c r="T70" s="3">
        <f t="shared" si="2"/>
        <v>-1.9347037484885147E-2</v>
      </c>
      <c r="U70" s="3">
        <f>((T70*AB70)*D4)</f>
        <v>-0.54605020546056515</v>
      </c>
      <c r="V70" s="5">
        <f t="shared" si="3"/>
        <v>23851510</v>
      </c>
      <c r="W70" s="5">
        <f t="shared" si="4"/>
        <v>0</v>
      </c>
      <c r="X70">
        <v>3481</v>
      </c>
      <c r="Y70" s="5">
        <v>97110719770</v>
      </c>
      <c r="Z70" s="3">
        <f>((D2*AB70)/P70)/10</f>
        <v>0.35111356061061805</v>
      </c>
      <c r="AA70" s="3">
        <f>((M70*AB70)*D2)</f>
        <v>-0.27905803570210702</v>
      </c>
      <c r="AB70" s="3">
        <f>AE70/AE323</f>
        <v>2.2084155239274952E-3</v>
      </c>
      <c r="AC70" s="3">
        <f>AF70/AF323</f>
        <v>2.2094794173497436E-3</v>
      </c>
      <c r="AD70" s="5">
        <f t="shared" si="5"/>
        <v>78756793733.470001</v>
      </c>
      <c r="AE70" s="5">
        <f t="shared" si="6"/>
        <v>78756793733.470001</v>
      </c>
      <c r="AF70" s="5">
        <f t="shared" si="7"/>
        <v>79533679491.62999</v>
      </c>
      <c r="AG70" t="str">
        <f t="shared" si="8"/>
        <v>DBM200</v>
      </c>
      <c r="AH70">
        <f t="shared" si="9"/>
        <v>0</v>
      </c>
      <c r="AI70">
        <f t="shared" si="10"/>
        <v>0</v>
      </c>
      <c r="AJ70">
        <f t="shared" si="11"/>
        <v>0</v>
      </c>
      <c r="AK70" t="str">
        <f>IF(Q70&lt;3695,"down",IF(Q70=3695,3695,IF(Q70&gt;3695,"up")))</f>
        <v>down</v>
      </c>
    </row>
    <row r="71" spans="1:37" x14ac:dyDescent="0.25">
      <c r="A71">
        <f>IF(X71=2354,2354,"Error")</f>
        <v>2354</v>
      </c>
      <c r="B71" t="str">
        <f>IF(K71&lt;54.1,"down",IF(K71=54.1,"low",IF(K71=54.7,"high",IF(AND(K71&gt;54.1,K71&lt;54.7),"normal","up"))))</f>
        <v>high</v>
      </c>
      <c r="C71" t="str">
        <f>IF(K71&lt;54.1,"down",IF(K71=54.1,"low",IF(K71=54.7,"high",IF(AND(K71&gt;54.1,K71&lt;54.7),"normal","up"))))</f>
        <v>high</v>
      </c>
      <c r="D71" t="str">
        <f>IF(K71&lt;54.1,"down",IF(K71=54.1,"low",IF(K71=54.7,"high",IF(AND(K71&gt;54.1,K71&lt;54.7),"normal","up"))))</f>
        <v>high</v>
      </c>
      <c r="E71" t="str">
        <f>IF(K71&lt;53.8,"down",IF(K71=53.8,"low",IF(K71=55.2,"high",IF(AND(K71&gt;53.8,K71&lt;55.2),"normal","up"))))</f>
        <v>normal</v>
      </c>
      <c r="F71" t="str">
        <f>IF(P71&lt;54.4,"PVP-down",IF(P71=54.4,54.4,IF(P71&gt;54.4,"PVP-up")))</f>
        <v>PVP-down</v>
      </c>
      <c r="G71" t="str">
        <f>IF(R71&lt;758,"PVV-down",IF(R71=758,758,IF(R71&gt;758,"PVV-up")))</f>
        <v>PVV-up</v>
      </c>
      <c r="H71" s="3">
        <f t="shared" si="1"/>
        <v>1.7370277284599527E-3</v>
      </c>
      <c r="I71">
        <f>[1]!'2354.PreviousPrice'</f>
        <v>54.4</v>
      </c>
      <c r="J71">
        <f>[1]!'2354.PreOpenPrice'</f>
        <v>53.7</v>
      </c>
      <c r="K71">
        <f>[1]!'2354.Open'</f>
        <v>54.7</v>
      </c>
      <c r="L71">
        <f>[1]!'2354.Change'</f>
        <v>-0.7</v>
      </c>
      <c r="M71">
        <f>[1]!'2354.ChangePercent'</f>
        <v>-1.29E-2</v>
      </c>
      <c r="N71">
        <f>[1]!'2354.BidPrice'</f>
        <v>53.7</v>
      </c>
      <c r="O71">
        <f>[1]!'2354.AskPrice'</f>
        <v>53.8</v>
      </c>
      <c r="P71">
        <f>[1]!'2354.Price'</f>
        <v>53.7</v>
      </c>
      <c r="Q71">
        <f>[1]!'2354.Volume'</f>
        <v>154</v>
      </c>
      <c r="R71">
        <f>[1]!'2354.CumulativeVolume'</f>
        <v>2457</v>
      </c>
      <c r="S71">
        <f>[1]!'2354.PreviousVolume'</f>
        <v>2035</v>
      </c>
      <c r="T71" s="3">
        <f t="shared" si="2"/>
        <v>-1.8281535648994516E-2</v>
      </c>
      <c r="U71" s="3">
        <f>((T71*AB71)*D4)</f>
        <v>-0.49764018069652222</v>
      </c>
      <c r="V71" s="5">
        <f t="shared" si="3"/>
        <v>8269800.0000000009</v>
      </c>
      <c r="W71" s="5">
        <f t="shared" si="4"/>
        <v>0</v>
      </c>
      <c r="X71">
        <v>2354</v>
      </c>
      <c r="Y71" s="5">
        <v>14144851920</v>
      </c>
      <c r="Z71" s="3">
        <f>((D2*AB71)/P71)/10</f>
        <v>5.1142132750162148E-2</v>
      </c>
      <c r="AA71" s="3">
        <f>((M71*AB71)*D2)</f>
        <v>-0.35427689620019831</v>
      </c>
      <c r="AB71" s="3">
        <f>AE71/AE323</f>
        <v>2.1299306101161064E-3</v>
      </c>
      <c r="AC71" s="3">
        <f>AF71/AF323</f>
        <v>2.1376479878567689E-3</v>
      </c>
      <c r="AD71" s="5">
        <f t="shared" si="5"/>
        <v>75957854810.399994</v>
      </c>
      <c r="AE71" s="5">
        <f t="shared" si="6"/>
        <v>75957854810.399994</v>
      </c>
      <c r="AF71" s="5">
        <f t="shared" si="7"/>
        <v>76947994444.800003</v>
      </c>
      <c r="AG71" t="str">
        <f t="shared" si="8"/>
        <v>DBM150</v>
      </c>
      <c r="AH71">
        <f t="shared" si="9"/>
        <v>0</v>
      </c>
      <c r="AI71">
        <f t="shared" si="10"/>
        <v>0</v>
      </c>
      <c r="AJ71">
        <f t="shared" si="11"/>
        <v>0</v>
      </c>
      <c r="AK71" t="str">
        <f>IF(Q71&lt;36,"down",IF(Q71=36,36,IF(Q71&gt;36,"up")))</f>
        <v>up</v>
      </c>
    </row>
    <row r="72" spans="1:37" x14ac:dyDescent="0.25">
      <c r="A72">
        <f>IF(X72=6239,6239,"Error")</f>
        <v>6239</v>
      </c>
      <c r="B72" t="str">
        <f>IF(K72&lt;94,"down",IF(K72=94,"low",IF(K72=97.5,"high",IF(AND(K72&gt;94,K72&lt;97.5),"normal","up"))))</f>
        <v>normal</v>
      </c>
      <c r="C72" t="str">
        <f>IF(K72&lt;94,"down",IF(K72=94,"low",IF(K72=97.5,"high",IF(AND(K72&gt;94,K72&lt;97.5),"normal","up"))))</f>
        <v>normal</v>
      </c>
      <c r="D72" t="str">
        <f>IF(K72&lt;94,"down",IF(K72=94,"low",IF(K72=97.5,"high",IF(AND(K72&gt;94,K72&lt;97.5),"normal","up"))))</f>
        <v>normal</v>
      </c>
      <c r="E72" t="str">
        <f>IF(K72&lt;94,"down",IF(K72=94,"low",IF(K72=99.2,"high",IF(AND(K72&gt;94,K72&lt;99.2),"normal","up"))))</f>
        <v>normal</v>
      </c>
      <c r="F72" t="str">
        <f>IF(P72&lt;94.1,"PVP-down",IF(P72=94.1,94.1,IF(P72&gt;94.1,"PVP-up")))</f>
        <v>PVP-down</v>
      </c>
      <c r="G72" t="str">
        <f>IF(R72&lt;1593,"PVV-down",IF(R72=1593,1593,IF(R72&gt;1593,"PVV-up")))</f>
        <v>PVV-up</v>
      </c>
      <c r="H72" s="3">
        <f t="shared" si="1"/>
        <v>1.088241882849487E-2</v>
      </c>
      <c r="I72">
        <f>[1]!'6239.PreviousPrice'</f>
        <v>94.1</v>
      </c>
      <c r="J72">
        <f>[1]!'6239.PreOpenPrice'</f>
        <v>93.2</v>
      </c>
      <c r="K72">
        <f>[1]!'6239.Open'</f>
        <v>94.4</v>
      </c>
      <c r="L72">
        <f>[1]!'6239.Change'</f>
        <v>-0.9</v>
      </c>
      <c r="M72">
        <f>[1]!'6239.ChangePercent'</f>
        <v>-9.5999999999999992E-3</v>
      </c>
      <c r="N72">
        <f>[1]!'6239.BidPrice'</f>
        <v>93.2</v>
      </c>
      <c r="O72">
        <f>[1]!'6239.AskPrice'</f>
        <v>93.3</v>
      </c>
      <c r="P72">
        <f>[1]!'6239.Price'</f>
        <v>93.2</v>
      </c>
      <c r="Q72">
        <f>[1]!'6239.Volume'</f>
        <v>443</v>
      </c>
      <c r="R72">
        <f>[1]!'6239.CumulativeVolume'</f>
        <v>8479</v>
      </c>
      <c r="S72">
        <f>[1]!'6239.PreviousVolume'</f>
        <v>8019</v>
      </c>
      <c r="T72" s="3">
        <f t="shared" si="2"/>
        <v>-1.271186440677969E-2</v>
      </c>
      <c r="U72" s="3">
        <f>((T72*AB72)*D4)</f>
        <v>-0.33080680696501474</v>
      </c>
      <c r="V72" s="5">
        <f t="shared" si="3"/>
        <v>41287600</v>
      </c>
      <c r="W72" s="5">
        <f t="shared" si="4"/>
        <v>0</v>
      </c>
      <c r="X72">
        <v>6239</v>
      </c>
      <c r="Y72" s="5">
        <v>7791466340</v>
      </c>
      <c r="Z72" s="3">
        <f>((D2*AB72)/P72)/10</f>
        <v>2.8170829085547616E-2</v>
      </c>
      <c r="AA72" s="3">
        <f>((M72*AB72)*D2)</f>
        <v>-0.2520500419942116</v>
      </c>
      <c r="AB72" s="3">
        <f>AE72/AE323</f>
        <v>2.0362348927974545E-3</v>
      </c>
      <c r="AC72" s="3">
        <f>AF72/AF323</f>
        <v>2.0367968169843244E-3</v>
      </c>
      <c r="AD72" s="5">
        <f t="shared" si="5"/>
        <v>72616466288.800003</v>
      </c>
      <c r="AE72" s="5">
        <f t="shared" si="6"/>
        <v>72616466288.800003</v>
      </c>
      <c r="AF72" s="5">
        <f t="shared" si="7"/>
        <v>73317698259.399994</v>
      </c>
      <c r="AG72" t="str">
        <f t="shared" si="8"/>
        <v>DBM200</v>
      </c>
      <c r="AH72">
        <f t="shared" si="9"/>
        <v>0</v>
      </c>
      <c r="AI72">
        <f t="shared" si="10"/>
        <v>0</v>
      </c>
      <c r="AJ72">
        <f t="shared" si="11"/>
        <v>0</v>
      </c>
      <c r="AK72" t="str">
        <f>IF(Q72&lt;66,"down",IF(Q72=66,66,IF(Q72&gt;66,"up")))</f>
        <v>up</v>
      </c>
    </row>
    <row r="73" spans="1:37" x14ac:dyDescent="0.25">
      <c r="A73">
        <f>IF(X73=3406,3406,"Error")</f>
        <v>3406</v>
      </c>
      <c r="B73" t="str">
        <f>IF(K73&lt;651,"down",IF(K73=651,"low",IF(K73=682,"high",IF(AND(K73&gt;651,K73&lt;682),"normal","up"))))</f>
        <v>normal</v>
      </c>
      <c r="C73" t="str">
        <f>IF(K73&lt;651,"down",IF(K73=651,"low",IF(K73=682,"high",IF(AND(K73&gt;651,K73&lt;682),"normal","up"))))</f>
        <v>normal</v>
      </c>
      <c r="D73" t="str">
        <f>IF(K73&lt;651,"down",IF(K73=651,"low",IF(K73=682,"high",IF(AND(K73&gt;651,K73&lt;682),"normal","up"))))</f>
        <v>normal</v>
      </c>
      <c r="E73" t="str">
        <f>IF(K73&lt;640,"down",IF(K73=640,"low",IF(K73=705,"high",IF(AND(K73&gt;640,K73&lt;705),"normal","up"))))</f>
        <v>normal</v>
      </c>
      <c r="F73" t="str">
        <f>IF(P73&lt;662,"PVP-down",IF(P73=662,662,IF(P73&gt;662,"PVP-up")))</f>
        <v>PVP-down</v>
      </c>
      <c r="G73" t="str">
        <f>IF(R73&lt;1304,"PVV-down",IF(R73=1304,1304,IF(R73&gt;1304,"PVV-up")))</f>
        <v>PVV-up</v>
      </c>
      <c r="H73" s="3">
        <f t="shared" si="1"/>
        <v>4.4814659889972339E-2</v>
      </c>
      <c r="I73">
        <f>[1]!'3406.PreviousPrice'</f>
        <v>662</v>
      </c>
      <c r="J73">
        <f>[1]!'3406.PreOpenPrice'</f>
        <v>652</v>
      </c>
      <c r="K73">
        <f>[1]!'3406.Open'</f>
        <v>665</v>
      </c>
      <c r="L73">
        <f>[1]!'3406.Change'</f>
        <v>-10</v>
      </c>
      <c r="M73">
        <f>[1]!'3406.ChangePercent'</f>
        <v>-1.5100000000000001E-2</v>
      </c>
      <c r="N73">
        <f>[1]!'3406.BidPrice'</f>
        <v>652</v>
      </c>
      <c r="O73">
        <f>[1]!'3406.AskPrice'</f>
        <v>653</v>
      </c>
      <c r="P73">
        <f>[1]!'3406.Price'</f>
        <v>652</v>
      </c>
      <c r="Q73">
        <f>[1]!'3406.Volume'</f>
        <v>532</v>
      </c>
      <c r="R73">
        <f>[1]!'3406.CumulativeVolume'</f>
        <v>4995</v>
      </c>
      <c r="S73">
        <f>[1]!'3406.PreviousVolume'</f>
        <v>10597</v>
      </c>
      <c r="T73" s="3">
        <f t="shared" si="2"/>
        <v>-1.9548872180451128E-2</v>
      </c>
      <c r="U73" s="3">
        <f>((T73*AB73)*D4)</f>
        <v>-0.50911367787974771</v>
      </c>
      <c r="V73" s="5">
        <f t="shared" si="3"/>
        <v>346864000</v>
      </c>
      <c r="W73" s="5">
        <f t="shared" si="4"/>
        <v>0</v>
      </c>
      <c r="X73">
        <v>3406</v>
      </c>
      <c r="Y73" s="5">
        <v>1114590630</v>
      </c>
      <c r="Z73" s="3">
        <f>((D2*AB73)/P73)/10</f>
        <v>4.0299143662966578E-3</v>
      </c>
      <c r="AA73" s="3">
        <f>((M73*AB73)*D2)</f>
        <v>-0.3967531291906386</v>
      </c>
      <c r="AB73" s="3">
        <f>AE73/AE323</f>
        <v>2.0377727367965107E-3</v>
      </c>
      <c r="AC73" s="3">
        <f>AF73/AF323</f>
        <v>2.0498036521521225E-3</v>
      </c>
      <c r="AD73" s="5">
        <f t="shared" si="5"/>
        <v>72671309076</v>
      </c>
      <c r="AE73" s="5">
        <f t="shared" si="6"/>
        <v>72671309076</v>
      </c>
      <c r="AF73" s="5">
        <f t="shared" si="7"/>
        <v>73785899706</v>
      </c>
      <c r="AG73" t="str">
        <f t="shared" si="8"/>
        <v>DBM200</v>
      </c>
      <c r="AH73">
        <f t="shared" si="9"/>
        <v>0</v>
      </c>
      <c r="AI73">
        <f t="shared" si="10"/>
        <v>0</v>
      </c>
      <c r="AJ73">
        <f t="shared" si="11"/>
        <v>0</v>
      </c>
      <c r="AK73" t="str">
        <f>IF(Q73&lt;378,"down",IF(Q73=378,378,IF(Q73&gt;378,"up")))</f>
        <v>up</v>
      </c>
    </row>
    <row r="74" spans="1:37" x14ac:dyDescent="0.25">
      <c r="A74">
        <f>IF(X74=6409,6409,"Error")</f>
        <v>6409</v>
      </c>
      <c r="B74" t="str">
        <f>IF(K74&lt;970,"down",IF(K74=970,"low",IF(K74=1005,"high",IF(AND(K74&gt;970,K74&lt;1005),"normal","up"))))</f>
        <v>normal</v>
      </c>
      <c r="C74" t="str">
        <f>IF(K74&lt;970,"down",IF(K74=970,"low",IF(K74=1005,"high",IF(AND(K74&gt;970,K74&lt;1005),"normal","up"))))</f>
        <v>normal</v>
      </c>
      <c r="D74" t="str">
        <f>IF(K74&lt;970,"down",IF(K74=970,"low",IF(K74=1005,"high",IF(AND(K74&gt;970,K74&lt;1005),"normal","up"))))</f>
        <v>normal</v>
      </c>
      <c r="E74" t="str">
        <f>IF(K74&lt;878,"down",IF(K74=878,"low",IF(K74=1010,"high",IF(AND(K74&gt;878,K74&lt;1010),"normal","up"))))</f>
        <v>normal</v>
      </c>
      <c r="F74" t="str">
        <f>IF(P74&lt;980,"PVP-down",IF(P74=980,980,IF(P74&gt;980,"PVP-up")))</f>
        <v>PVP-down</v>
      </c>
      <c r="G74" t="str">
        <f>IF(R74&lt;22,"PVV-down",IF(R74=22,22,IF(R74&gt;22,"PVV-up")))</f>
        <v>PVV-up</v>
      </c>
      <c r="H74" s="3">
        <f t="shared" si="1"/>
        <v>2.6290045321157034E-3</v>
      </c>
      <c r="I74">
        <f>[1]!'6409.PreviousPrice'</f>
        <v>980</v>
      </c>
      <c r="J74">
        <f>[1]!'6409.PreOpenPrice'</f>
        <v>975</v>
      </c>
      <c r="K74">
        <f>[1]!'6409.Open'</f>
        <v>980</v>
      </c>
      <c r="L74">
        <f>[1]!'6409.Change'</f>
        <v>-5</v>
      </c>
      <c r="M74">
        <f>[1]!'6409.ChangePercent'</f>
        <v>-5.1000000000000004E-3</v>
      </c>
      <c r="N74">
        <f>[1]!'6409.BidPrice'</f>
        <v>975</v>
      </c>
      <c r="O74">
        <f>[1]!'6409.AskPrice'</f>
        <v>991</v>
      </c>
      <c r="P74">
        <f>[1]!'6409.Price'</f>
        <v>975</v>
      </c>
      <c r="Q74">
        <f>[1]!'6409.Volume'</f>
        <v>8</v>
      </c>
      <c r="R74">
        <f>[1]!'6409.CumulativeVolume'</f>
        <v>219</v>
      </c>
      <c r="S74">
        <f>[1]!'6409.PreviousVolume'</f>
        <v>133</v>
      </c>
      <c r="T74" s="3">
        <f t="shared" si="2"/>
        <v>-5.1020408163265302E-3</v>
      </c>
      <c r="U74" s="3">
        <f>((T74*AB74)*D4)</f>
        <v>-0.14850169094908891</v>
      </c>
      <c r="V74" s="5">
        <f t="shared" si="3"/>
        <v>7800000</v>
      </c>
      <c r="W74" s="5">
        <f t="shared" si="4"/>
        <v>0</v>
      </c>
      <c r="X74">
        <v>6409</v>
      </c>
      <c r="Y74" s="5">
        <v>833014920</v>
      </c>
      <c r="Z74" s="3">
        <f>((D2*AB74)/P74)/10</f>
        <v>3.0118491068307847E-3</v>
      </c>
      <c r="AA74" s="3">
        <f>((M74*AB74)*D2)</f>
        <v>-0.14976419683716077</v>
      </c>
      <c r="AB74" s="3">
        <f>AE74/AE323</f>
        <v>2.2774568630060609E-3</v>
      </c>
      <c r="AC74" s="3">
        <f>AF74/AF323</f>
        <v>2.267867833115101E-3</v>
      </c>
      <c r="AD74" s="5">
        <f t="shared" si="5"/>
        <v>81218954700</v>
      </c>
      <c r="AE74" s="5">
        <f t="shared" si="6"/>
        <v>81218954700</v>
      </c>
      <c r="AF74" s="5">
        <f t="shared" si="7"/>
        <v>81635462160</v>
      </c>
      <c r="AG74" t="str">
        <f t="shared" si="8"/>
        <v>DBL10</v>
      </c>
      <c r="AH74">
        <f t="shared" si="9"/>
        <v>0</v>
      </c>
      <c r="AI74">
        <f t="shared" si="10"/>
        <v>0</v>
      </c>
      <c r="AJ74">
        <f t="shared" si="11"/>
        <v>0</v>
      </c>
      <c r="AK74" t="str">
        <f>IF(Q74&lt;0,"down",IF(Q74=0,0,IF(Q74&gt;0,"up")))</f>
        <v>up</v>
      </c>
    </row>
    <row r="75" spans="1:37" x14ac:dyDescent="0.25">
      <c r="A75">
        <f>IF(X75=2347,2347,"Error")</f>
        <v>2347</v>
      </c>
      <c r="B75" t="str">
        <f>IF(K75&lt;42.8,"down",IF(K75=42.8,"low",IF(K75=43.5,"high",IF(AND(K75&gt;42.8,K75&lt;43.5),"normal","up"))))</f>
        <v>high</v>
      </c>
      <c r="C75" t="str">
        <f>IF(K75&lt;42.8,"down",IF(K75=42.8,"low",IF(K75=43.5,"high",IF(AND(K75&gt;42.8,K75&lt;43.5),"normal","up"))))</f>
        <v>high</v>
      </c>
      <c r="D75" t="str">
        <f>IF(K75&lt;42.8,"down",IF(K75=42.8,"low",IF(K75=43.5,"high",IF(AND(K75&gt;42.8,K75&lt;43.5),"normal","up"))))</f>
        <v>high</v>
      </c>
      <c r="E75" t="str">
        <f>IF(K75&lt;42.25,"down",IF(K75=42.25,"low",IF(K75=43.85,"high",IF(AND(K75&gt;42.25,K75&lt;43.85),"normal","up"))))</f>
        <v>normal</v>
      </c>
      <c r="F75" t="str">
        <f>IF(P75&lt;42.95,"PVP-down",IF(P75=42.95,42.95,IF(P75&gt;42.95,"PVP-up")))</f>
        <v>PVP-up</v>
      </c>
      <c r="G75" t="str">
        <f>IF(R75&lt;354,"PVV-down",IF(R75=354,354,IF(R75&gt;354,"PVV-up")))</f>
        <v>PVV-up</v>
      </c>
      <c r="H75" s="3">
        <f t="shared" si="1"/>
        <v>6.5811444911598651E-3</v>
      </c>
      <c r="I75">
        <f>[1]!'2347.PreviousPrice'</f>
        <v>42.8</v>
      </c>
      <c r="J75">
        <f>[1]!'2347.PreOpenPrice'</f>
        <v>44.4</v>
      </c>
      <c r="K75">
        <f>[1]!'2347.Open'</f>
        <v>43.5</v>
      </c>
      <c r="L75">
        <f>[1]!'2347.Change'</f>
        <v>1.6</v>
      </c>
      <c r="M75">
        <f>[1]!'2347.ChangePercent'</f>
        <v>3.7400000000000003E-2</v>
      </c>
      <c r="N75">
        <f>[1]!'2347.BidPrice'</f>
        <v>44.4</v>
      </c>
      <c r="O75">
        <f>[1]!'2347.AskPrice'</f>
        <v>44.5</v>
      </c>
      <c r="P75">
        <f>[1]!'2347.Price'</f>
        <v>44.4</v>
      </c>
      <c r="Q75">
        <f>[1]!'2347.Volume'</f>
        <v>663</v>
      </c>
      <c r="R75">
        <f>[1]!'2347.CumulativeVolume'</f>
        <v>10977</v>
      </c>
      <c r="S75">
        <f>[1]!'2347.PreviousVolume'</f>
        <v>2357</v>
      </c>
      <c r="T75" s="3">
        <f t="shared" si="2"/>
        <v>2.0689655172413762E-2</v>
      </c>
      <c r="U75" s="3">
        <f>((T75*AB75)*D4)</f>
        <v>0.54909632276947618</v>
      </c>
      <c r="V75" s="5">
        <f t="shared" si="3"/>
        <v>29437200</v>
      </c>
      <c r="W75" s="5">
        <f t="shared" si="4"/>
        <v>0</v>
      </c>
      <c r="X75">
        <v>2347</v>
      </c>
      <c r="Y75" s="5">
        <v>16679469680</v>
      </c>
      <c r="Z75" s="3">
        <f>((D2*AB75)/P75)/10</f>
        <v>6.0306297824916699E-2</v>
      </c>
      <c r="AA75" s="3">
        <f>((M75*AB75)*D2)</f>
        <v>1.0014222591614366</v>
      </c>
      <c r="AB75" s="3">
        <f>AE75/AE323</f>
        <v>2.0766244946690718E-3</v>
      </c>
      <c r="AC75" s="3">
        <f>AF75/AF323</f>
        <v>1.9831925970902825E-3</v>
      </c>
      <c r="AD75" s="5">
        <f t="shared" si="5"/>
        <v>74056845379.199997</v>
      </c>
      <c r="AE75" s="5">
        <f t="shared" si="6"/>
        <v>74056845379.199997</v>
      </c>
      <c r="AF75" s="5">
        <f t="shared" si="7"/>
        <v>71388130230.399994</v>
      </c>
      <c r="AG75">
        <f t="shared" si="8"/>
        <v>0</v>
      </c>
      <c r="AH75">
        <f t="shared" si="9"/>
        <v>0</v>
      </c>
      <c r="AI75">
        <f t="shared" si="10"/>
        <v>0</v>
      </c>
      <c r="AJ75" t="str">
        <f t="shared" si="11"/>
        <v>UBM200</v>
      </c>
      <c r="AK75" t="str">
        <f>IF(Q75&lt;187,"down",IF(Q75=187,187,IF(Q75&gt;187,"up")))</f>
        <v>up</v>
      </c>
    </row>
    <row r="76" spans="1:37" x14ac:dyDescent="0.25">
      <c r="A76">
        <f>IF(X76=2360,2360,"Error")</f>
        <v>2360</v>
      </c>
      <c r="B76" t="str">
        <f>IF(K76&lt;157.5,"down",IF(K76=157.5,"low",IF(K76=162,"high",IF(AND(K76&gt;157.5,K76&lt;162),"normal","up"))))</f>
        <v>normal</v>
      </c>
      <c r="C76" t="str">
        <f>IF(K76&lt;157.5,"down",IF(K76=157.5,"low",IF(K76=162,"high",IF(AND(K76&gt;157.5,K76&lt;162),"normal","up"))))</f>
        <v>normal</v>
      </c>
      <c r="D76" t="str">
        <f>IF(K76&lt;157.5,"down",IF(K76=157.5,"low",IF(K76=162,"high",IF(AND(K76&gt;157.5,K76&lt;162),"normal","up"))))</f>
        <v>normal</v>
      </c>
      <c r="E76" t="str">
        <f>IF(K76&lt;157.5,"down",IF(K76=157.5,"low",IF(K76=173,"high",IF(AND(K76&gt;157.5,K76&lt;173),"normal","up"))))</f>
        <v>normal</v>
      </c>
      <c r="F76" t="str">
        <f>IF(P76&lt;158,"PVP-down",IF(P76=158,158,IF(P76&gt;158,"PVP-up")))</f>
        <v>PVP-up</v>
      </c>
      <c r="G76" t="str">
        <f>IF(R76&lt;304,"PVV-down",IF(R76=304,304,IF(R76&gt;304,"PVV-up")))</f>
        <v>PVV-up</v>
      </c>
      <c r="H76" s="3">
        <f t="shared" si="1"/>
        <v>2.1485522476224908E-3</v>
      </c>
      <c r="I76">
        <f>[1]!'2360.PreviousPrice'</f>
        <v>158</v>
      </c>
      <c r="J76">
        <f>[1]!'2360.PreOpenPrice'</f>
        <v>158.5</v>
      </c>
      <c r="K76">
        <f>[1]!'2360.Open'</f>
        <v>160</v>
      </c>
      <c r="L76">
        <f>[1]!'2360.Change'</f>
        <v>0.5</v>
      </c>
      <c r="M76">
        <f>[1]!'2360.ChangePercent'</f>
        <v>3.2000000000000002E-3</v>
      </c>
      <c r="N76">
        <f>[1]!'2360.BidPrice'</f>
        <v>158.5</v>
      </c>
      <c r="O76">
        <f>[1]!'2360.AskPrice'</f>
        <v>159</v>
      </c>
      <c r="P76">
        <f>[1]!'2360.Price'</f>
        <v>158.5</v>
      </c>
      <c r="Q76">
        <f>[1]!'2360.Volume'</f>
        <v>40</v>
      </c>
      <c r="R76">
        <f>[1]!'2360.CumulativeVolume'</f>
        <v>904</v>
      </c>
      <c r="S76">
        <f>[1]!'2360.PreviousVolume'</f>
        <v>840</v>
      </c>
      <c r="T76" s="3">
        <f t="shared" si="2"/>
        <v>-9.3749999999999997E-3</v>
      </c>
      <c r="U76" s="3">
        <f>((T76*AB76)*D4)</f>
        <v>-0.22405422031832203</v>
      </c>
      <c r="V76" s="5">
        <f t="shared" si="3"/>
        <v>6340000</v>
      </c>
      <c r="W76" s="5">
        <f t="shared" si="4"/>
        <v>0</v>
      </c>
      <c r="X76">
        <v>2360</v>
      </c>
      <c r="Y76" s="5">
        <v>4207484370</v>
      </c>
      <c r="Z76" s="3">
        <f>((D2*AB76)/P76)/10</f>
        <v>1.5212582316999781E-2</v>
      </c>
      <c r="AA76" s="3">
        <f>((M76*AB76)*D2)</f>
        <v>7.7158217511822877E-2</v>
      </c>
      <c r="AB76" s="3">
        <f>AE76/AE323</f>
        <v>1.8700126394016327E-3</v>
      </c>
      <c r="AC76" s="3">
        <f>AF76/AF323</f>
        <v>1.8467941222556237E-3</v>
      </c>
      <c r="AD76" s="5">
        <f t="shared" si="5"/>
        <v>66688627264.5</v>
      </c>
      <c r="AE76" s="5">
        <f t="shared" si="6"/>
        <v>66688627264.5</v>
      </c>
      <c r="AF76" s="5">
        <f t="shared" si="7"/>
        <v>66478253046</v>
      </c>
      <c r="AG76">
        <f t="shared" si="8"/>
        <v>0</v>
      </c>
      <c r="AH76">
        <f t="shared" si="9"/>
        <v>0</v>
      </c>
      <c r="AI76">
        <f t="shared" si="10"/>
        <v>0</v>
      </c>
      <c r="AJ76" t="str">
        <f t="shared" si="11"/>
        <v>UBM10-50</v>
      </c>
      <c r="AK76" t="str">
        <f>IF(Q76&lt;10,"down",IF(Q76=10,10,IF(Q76&gt;10,"up")))</f>
        <v>up</v>
      </c>
    </row>
    <row r="77" spans="1:37" x14ac:dyDescent="0.25">
      <c r="A77">
        <f>IF(X77=3702,3702,"Error")</f>
        <v>3702</v>
      </c>
      <c r="B77" t="str">
        <f>IF(K77&lt;39.95,"down",IF(K77=39.95,"low",IF(K77=40.25,"high",IF(AND(K77&gt;39.95,K77&lt;40.25),"normal","up"))))</f>
        <v>up</v>
      </c>
      <c r="C77" t="str">
        <f>IF(K77&lt;39.95,"down",IF(K77=39.95,"low",IF(K77=40.25,"high",IF(AND(K77&gt;39.95,K77&lt;40.25),"normal","up"))))</f>
        <v>up</v>
      </c>
      <c r="D77" t="str">
        <f>IF(K77&lt;39.95,"down",IF(K77=39.95,"low",IF(K77=40.25,"high",IF(AND(K77&gt;39.95,K77&lt;40.25),"normal","up"))))</f>
        <v>up</v>
      </c>
      <c r="E77" t="str">
        <f>IF(K77&lt;39.45,"down",IF(K77=39.45,"low",IF(K77=40.6,"high",IF(AND(K77&gt;39.45,K77&lt;40.6),"normal","up"))))</f>
        <v>normal</v>
      </c>
      <c r="F77" t="str">
        <f>IF(P77&lt;40,"PVP-down",IF(P77=40,40,IF(P77&gt;40,"PVP-up")))</f>
        <v>PVP-up</v>
      </c>
      <c r="G77" t="str">
        <f>IF(R77&lt;1373,"PVV-down",IF(R77=1373,1373,IF(R77&gt;1373,"PVV-up")))</f>
        <v>PVV-up</v>
      </c>
      <c r="H77" s="3">
        <f t="shared" si="1"/>
        <v>2.4054621023801678E-3</v>
      </c>
      <c r="I77">
        <f>[1]!'3702.PreviousPrice'</f>
        <v>40</v>
      </c>
      <c r="J77">
        <f>[1]!'3702.PreOpenPrice'</f>
        <v>40.35</v>
      </c>
      <c r="K77">
        <f>[1]!'3702.Open'</f>
        <v>40.299999999999997</v>
      </c>
      <c r="L77">
        <f>[1]!'3702.Change'</f>
        <v>0.35</v>
      </c>
      <c r="M77">
        <f>[1]!'3702.ChangePercent'</f>
        <v>8.8000000000000005E-3</v>
      </c>
      <c r="N77">
        <f>[1]!'3702.BidPrice'</f>
        <v>40.299999999999997</v>
      </c>
      <c r="O77">
        <f>[1]!'3702.AskPrice'</f>
        <v>40.35</v>
      </c>
      <c r="P77">
        <f>[1]!'3702.Price'</f>
        <v>40.35</v>
      </c>
      <c r="Q77">
        <f>[1]!'3702.Volume'</f>
        <v>358</v>
      </c>
      <c r="R77">
        <f>[1]!'3702.CumulativeVolume'</f>
        <v>4520</v>
      </c>
      <c r="S77">
        <f>[1]!'3702.PreviousVolume'</f>
        <v>2298</v>
      </c>
      <c r="T77" s="3">
        <f t="shared" si="2"/>
        <v>1.2406947890819917E-3</v>
      </c>
      <c r="U77" s="3">
        <f>((T77*AB77)*D4)</f>
        <v>3.3711531865189222E-2</v>
      </c>
      <c r="V77" s="5">
        <f t="shared" si="3"/>
        <v>0</v>
      </c>
      <c r="W77" s="5">
        <f t="shared" si="4"/>
        <v>14445300.000000002</v>
      </c>
      <c r="X77">
        <v>3702</v>
      </c>
      <c r="Y77" s="5">
        <v>18790568330</v>
      </c>
      <c r="Z77" s="3">
        <f>((D2*AB77)/P77)/10</f>
        <v>6.7939187021468145E-2</v>
      </c>
      <c r="AA77" s="3">
        <f>((M77*AB77)*D2)</f>
        <v>0.24123846527582912</v>
      </c>
      <c r="AB77" s="3">
        <f>AE77/AE323</f>
        <v>2.1260634375029003E-3</v>
      </c>
      <c r="AC77" s="3">
        <f>AF77/AF323</f>
        <v>2.0880398960949958E-3</v>
      </c>
      <c r="AD77" s="5">
        <f t="shared" si="5"/>
        <v>75819943211.550003</v>
      </c>
      <c r="AE77" s="5">
        <f t="shared" si="6"/>
        <v>75819943211.550003</v>
      </c>
      <c r="AF77" s="5">
        <f t="shared" si="7"/>
        <v>75162273320</v>
      </c>
      <c r="AG77">
        <f t="shared" si="8"/>
        <v>0</v>
      </c>
      <c r="AH77">
        <f t="shared" si="9"/>
        <v>0</v>
      </c>
      <c r="AI77" t="str">
        <f t="shared" si="10"/>
        <v>UAM200</v>
      </c>
      <c r="AJ77">
        <f t="shared" si="11"/>
        <v>0</v>
      </c>
      <c r="AK77" t="str">
        <f>IF(Q77&lt;10,"down",IF(Q77=10,10,IF(Q77&gt;10,"up")))</f>
        <v>up</v>
      </c>
    </row>
    <row r="78" spans="1:37" x14ac:dyDescent="0.25">
      <c r="A78">
        <f>IF(X78=3044,3044,"Error")</f>
        <v>3044</v>
      </c>
      <c r="B78" t="str">
        <f>IF(K78&lt;125,"down",IF(K78=125,"low",IF(K78=131.5,"high",IF(AND(K78&gt;125,K78&lt;131.5),"normal","up"))))</f>
        <v>down</v>
      </c>
      <c r="C78" t="str">
        <f>IF(K78&lt;125,"down",IF(K78=125,"low",IF(K78=131.5,"high",IF(AND(K78&gt;125,K78&lt;131.5),"normal","up"))))</f>
        <v>down</v>
      </c>
      <c r="D78" t="str">
        <f>IF(K78&lt;125,"down",IF(K78=125,"low",IF(K78=131.5,"high",IF(AND(K78&gt;125,K78&lt;131.5),"normal","up"))))</f>
        <v>down</v>
      </c>
      <c r="E78" t="str">
        <f>IF(K78&lt;124,"down",IF(K78=124,"low",IF(K78=132,"high",IF(AND(K78&gt;124,K78&lt;132),"normal","up"))))</f>
        <v>down</v>
      </c>
      <c r="F78" t="str">
        <f>IF(P78&lt;130,"PVP-down",IF(P78=130,130,IF(P78&gt;130,"PVP-up")))</f>
        <v>PVP-down</v>
      </c>
      <c r="G78" t="str">
        <f>IF(R78&lt;784,"PVV-down",IF(R78=784,784,IF(R78&gt;784,"PVV-up")))</f>
        <v>PVV-up</v>
      </c>
      <c r="H78" s="3">
        <f t="shared" si="1"/>
        <v>1.1930992448642574E-2</v>
      </c>
      <c r="I78">
        <f>[1]!'3044.PreviousPrice'</f>
        <v>125.5</v>
      </c>
      <c r="J78">
        <f>[1]!'3044.PreOpenPrice'</f>
        <v>122</v>
      </c>
      <c r="K78">
        <f>[1]!'3044.Open'</f>
        <v>123.5</v>
      </c>
      <c r="L78">
        <f>[1]!'3044.Change'</f>
        <v>-3.5</v>
      </c>
      <c r="M78">
        <f>[1]!'3044.ChangePercent'</f>
        <v>-2.7900000000000001E-2</v>
      </c>
      <c r="N78">
        <f>[1]!'3044.BidPrice'</f>
        <v>122</v>
      </c>
      <c r="O78">
        <f>[1]!'3044.AskPrice'</f>
        <v>122.5</v>
      </c>
      <c r="P78">
        <f>[1]!'3044.Price'</f>
        <v>122</v>
      </c>
      <c r="Q78">
        <f>[1]!'3044.Volume'</f>
        <v>214</v>
      </c>
      <c r="R78">
        <f>[1]!'3044.CumulativeVolume'</f>
        <v>6271</v>
      </c>
      <c r="S78">
        <f>[1]!'3044.PreviousVolume'</f>
        <v>4515</v>
      </c>
      <c r="T78" s="3">
        <f t="shared" si="2"/>
        <v>-1.2145748987854251E-2</v>
      </c>
      <c r="U78" s="3">
        <f>((T78*AB78)*D4)</f>
        <v>-0.27910938291249709</v>
      </c>
      <c r="V78" s="5">
        <f t="shared" si="3"/>
        <v>26108000</v>
      </c>
      <c r="W78" s="5">
        <f t="shared" si="4"/>
        <v>0</v>
      </c>
      <c r="X78">
        <v>3044</v>
      </c>
      <c r="Y78" s="5">
        <v>5256058980</v>
      </c>
      <c r="Z78" s="3">
        <f>((D2*AB78)/P78)/10</f>
        <v>1.9003809132689873E-2</v>
      </c>
      <c r="AA78" s="3">
        <f>((M78*AB78)*D2)</f>
        <v>-0.64685165525849797</v>
      </c>
      <c r="AB78" s="3">
        <f>AE78/AE323</f>
        <v>1.7980957919870983E-3</v>
      </c>
      <c r="AC78" s="3">
        <f>AF78/AF323</f>
        <v>1.8324951806178026E-3</v>
      </c>
      <c r="AD78" s="5">
        <f t="shared" si="5"/>
        <v>64123919556</v>
      </c>
      <c r="AE78" s="5">
        <f t="shared" si="6"/>
        <v>64123919556</v>
      </c>
      <c r="AF78" s="5">
        <f t="shared" si="7"/>
        <v>65963540199</v>
      </c>
      <c r="AG78" t="str">
        <f t="shared" si="8"/>
        <v>DBM200</v>
      </c>
      <c r="AH78">
        <f t="shared" si="9"/>
        <v>0</v>
      </c>
      <c r="AI78">
        <f t="shared" si="10"/>
        <v>0</v>
      </c>
      <c r="AJ78">
        <f t="shared" si="11"/>
        <v>0</v>
      </c>
      <c r="AK78" t="str">
        <f>IF(Q78&lt;61,"down",IF(Q78=61,61,IF(Q78&gt;61,"up")))</f>
        <v>up</v>
      </c>
    </row>
    <row r="79" spans="1:37" x14ac:dyDescent="0.25">
      <c r="A79">
        <f>IF(X79=8046,8046,"Error")</f>
        <v>8046</v>
      </c>
      <c r="B79" t="str">
        <f>IF(K79&lt;111.5,"down",IF(K79=111.5,"low",IF(K79=121,"high",IF(AND(K79&gt;111.5,K79&lt;121),"normal","up"))))</f>
        <v>normal</v>
      </c>
      <c r="C79" t="str">
        <f>IF(K79&lt;111.5,"down",IF(K79=111.5,"low",IF(K79=121,"high",IF(AND(K79&gt;111.5,K79&lt;121),"normal","up"))))</f>
        <v>normal</v>
      </c>
      <c r="D79" t="str">
        <f>IF(K79&lt;111.5,"down",IF(K79=111.5,"low",IF(K79=121,"high",IF(AND(K79&gt;111.5,K79&lt;121),"normal","up"))))</f>
        <v>normal</v>
      </c>
      <c r="E79" t="str">
        <f>IF(K79&lt;100,"down",IF(K79=100,"low",IF(K79=121.5,"high",IF(AND(K79&gt;100,K79&lt;121.5),"normal","up"))))</f>
        <v>normal</v>
      </c>
      <c r="F79" t="str">
        <f>IF(P79&lt;120,"PVP-down",IF(P79=120,120,IF(P79&gt;120,"PVP-up")))</f>
        <v>PVP-down</v>
      </c>
      <c r="G79" t="str">
        <f>IF(R79&lt;3874,"PVV-down",IF(R79=3874,3874,IF(R79&gt;3874,"PVV-up")))</f>
        <v>PVV-up</v>
      </c>
      <c r="H79" s="3">
        <f t="shared" si="1"/>
        <v>4.4617053340083451E-2</v>
      </c>
      <c r="I79">
        <f>[1]!'8046.PreviousPrice'</f>
        <v>120</v>
      </c>
      <c r="J79">
        <f>[1]!'8046.PreOpenPrice'</f>
        <v>117.5</v>
      </c>
      <c r="K79">
        <f>[1]!'8046.Open'</f>
        <v>118</v>
      </c>
      <c r="L79">
        <f>[1]!'8046.Change'</f>
        <v>-2.5</v>
      </c>
      <c r="M79">
        <f>[1]!'8046.ChangePercent'</f>
        <v>-2.0799999999999999E-2</v>
      </c>
      <c r="N79">
        <f>[1]!'8046.BidPrice'</f>
        <v>117.5</v>
      </c>
      <c r="O79">
        <f>[1]!'8046.AskPrice'</f>
        <v>118</v>
      </c>
      <c r="P79">
        <f>[1]!'8046.Price'</f>
        <v>117.5</v>
      </c>
      <c r="Q79">
        <f>[1]!'8046.Volume'</f>
        <v>888</v>
      </c>
      <c r="R79">
        <f>[1]!'8046.CumulativeVolume'</f>
        <v>28830</v>
      </c>
      <c r="S79">
        <f>[1]!'8046.PreviousVolume'</f>
        <v>22648</v>
      </c>
      <c r="T79" s="3">
        <f t="shared" si="2"/>
        <v>-4.2372881355932203E-3</v>
      </c>
      <c r="U79" s="3">
        <f>((T79*AB79)*D4)</f>
        <v>-0.11529213878916859</v>
      </c>
      <c r="V79" s="5">
        <f t="shared" si="3"/>
        <v>104340000</v>
      </c>
      <c r="W79" s="5">
        <f t="shared" si="4"/>
        <v>0</v>
      </c>
      <c r="X79">
        <v>8046</v>
      </c>
      <c r="Y79" s="5">
        <v>6461654870</v>
      </c>
      <c r="Z79" s="3">
        <f>((D2*AB79)/P79)/10</f>
        <v>2.3362762156598934E-2</v>
      </c>
      <c r="AA79" s="3">
        <f>((M79*AB79)*D2)</f>
        <v>-0.57098590710727792</v>
      </c>
      <c r="AB79" s="3">
        <f>AE79/AE323</f>
        <v>2.1289937594232782E-3</v>
      </c>
      <c r="AC79" s="3">
        <f>AF79/AF323</f>
        <v>2.1540902211801046E-3</v>
      </c>
      <c r="AD79" s="5">
        <f t="shared" si="5"/>
        <v>75924444722.5</v>
      </c>
      <c r="AE79" s="5">
        <f t="shared" si="6"/>
        <v>75924444722.5</v>
      </c>
      <c r="AF79" s="5">
        <f t="shared" si="7"/>
        <v>77539858440</v>
      </c>
      <c r="AG79" t="str">
        <f t="shared" si="8"/>
        <v>DBM200</v>
      </c>
      <c r="AH79">
        <f t="shared" si="9"/>
        <v>0</v>
      </c>
      <c r="AI79">
        <f t="shared" si="10"/>
        <v>0</v>
      </c>
      <c r="AJ79">
        <f t="shared" si="11"/>
        <v>0</v>
      </c>
      <c r="AK79" t="str">
        <f>IF(Q79&lt;348,"down",IF(Q79=348,348,IF(Q79&gt;348,"up")))</f>
        <v>up</v>
      </c>
    </row>
    <row r="80" spans="1:37" x14ac:dyDescent="0.25">
      <c r="A80">
        <f>IF(X80=2385,2385,"Error")</f>
        <v>2385</v>
      </c>
      <c r="B80" t="str">
        <f>IF(K80&lt;89,"down",IF(K80=89,"low",IF(K80=93.7,"high",IF(AND(K80&gt;89,K80&lt;93.7),"normal","up"))))</f>
        <v>up</v>
      </c>
      <c r="C80" t="str">
        <f>IF(K80&lt;89,"down",IF(K80=89,"low",IF(K80=93.7,"high",IF(AND(K80&gt;89,K80&lt;93.7),"normal","up"))))</f>
        <v>up</v>
      </c>
      <c r="D80" t="str">
        <f>IF(K80&lt;89,"down",IF(K80=89,"low",IF(K80=93.7,"high",IF(AND(K80&gt;89,K80&lt;93.7),"normal","up"))))</f>
        <v>up</v>
      </c>
      <c r="E80" t="str">
        <f>IF(K80&lt;84.6,"down",IF(K80=84.6,"low",IF(K80=93.7,"high",IF(AND(K80&gt;84.6,K80&lt;93.7),"normal","up"))))</f>
        <v>up</v>
      </c>
      <c r="F80" t="str">
        <f>IF(P80&lt;91,"PVP-down",IF(P80=91,91,IF(P80&gt;91,"PVP-up")))</f>
        <v>PVP-down</v>
      </c>
      <c r="G80" t="str">
        <f>IF(R80&lt;576,"PVV-down",IF(R80=576,576,IF(R80&gt;576,"PVV-up")))</f>
        <v>PVV-up</v>
      </c>
      <c r="H80" s="3">
        <f t="shared" si="1"/>
        <v>9.5461514296305023E-3</v>
      </c>
      <c r="I80">
        <f>[1]!'2385.PreviousPrice'</f>
        <v>93.6</v>
      </c>
      <c r="J80">
        <f>[1]!'2385.PreOpenPrice'</f>
        <v>88.6</v>
      </c>
      <c r="K80">
        <f>[1]!'2385.Open'</f>
        <v>95.1</v>
      </c>
      <c r="L80">
        <f>[1]!'2385.Change'</f>
        <v>-5</v>
      </c>
      <c r="M80">
        <f>[1]!'2385.ChangePercent'</f>
        <v>-5.3400000000000003E-2</v>
      </c>
      <c r="N80">
        <f>[1]!'2385.BidPrice'</f>
        <v>88.6</v>
      </c>
      <c r="O80">
        <f>[1]!'2385.AskPrice'</f>
        <v>88.7</v>
      </c>
      <c r="P80">
        <f>[1]!'2385.Price'</f>
        <v>88.6</v>
      </c>
      <c r="Q80">
        <f>[1]!'2385.Volume'</f>
        <v>353</v>
      </c>
      <c r="R80">
        <f>[1]!'2385.CumulativeVolume'</f>
        <v>7059</v>
      </c>
      <c r="S80">
        <f>[1]!'2385.PreviousVolume'</f>
        <v>6529</v>
      </c>
      <c r="T80" s="3">
        <f t="shared" si="2"/>
        <v>-6.8349106203995799E-2</v>
      </c>
      <c r="U80" s="3">
        <f>((T80*AB80)*D4)</f>
        <v>-1.6047652029169923</v>
      </c>
      <c r="V80" s="5">
        <f t="shared" si="3"/>
        <v>31275800</v>
      </c>
      <c r="W80" s="5">
        <f t="shared" si="4"/>
        <v>0</v>
      </c>
      <c r="X80">
        <v>2385</v>
      </c>
      <c r="Y80" s="5">
        <v>7394603000</v>
      </c>
      <c r="Z80" s="3">
        <f>((D2*AB80)/P80)/10</f>
        <v>2.673592982094275E-2</v>
      </c>
      <c r="AA80" s="3">
        <f>((M80*AB80)*D2)</f>
        <v>-1.2649410060603721</v>
      </c>
      <c r="AB80" s="3">
        <f>AE80/AE323</f>
        <v>1.8371361735191002E-3</v>
      </c>
      <c r="AC80" s="3">
        <f>AF80/AF323</f>
        <v>1.9227800028278315E-3</v>
      </c>
      <c r="AD80" s="5">
        <f t="shared" si="5"/>
        <v>65516182580</v>
      </c>
      <c r="AE80" s="5">
        <f t="shared" si="6"/>
        <v>65516182580</v>
      </c>
      <c r="AF80" s="5">
        <f t="shared" si="7"/>
        <v>69213484080</v>
      </c>
      <c r="AG80" t="str">
        <f t="shared" si="8"/>
        <v>DBM200</v>
      </c>
      <c r="AH80">
        <f t="shared" si="9"/>
        <v>0</v>
      </c>
      <c r="AI80">
        <f t="shared" si="10"/>
        <v>0</v>
      </c>
      <c r="AJ80">
        <f t="shared" si="11"/>
        <v>0</v>
      </c>
      <c r="AK80" t="str">
        <f>IF(Q80&lt;84,"down",IF(Q80=84,84,IF(Q80&gt;84,"up")))</f>
        <v>up</v>
      </c>
    </row>
    <row r="81" spans="1:37" x14ac:dyDescent="0.25">
      <c r="A81">
        <f>IF(X81=2353,2353,"Error")</f>
        <v>2353</v>
      </c>
      <c r="B81" t="str">
        <f>IF(K81&lt;22.2,"down",IF(K81=22.2,"low",IF(K81=23.85,"high",IF(AND(K81&gt;22.2,K81&lt;23.85),"normal","up"))))</f>
        <v>normal</v>
      </c>
      <c r="C81" t="str">
        <f>IF(K81&lt;22.2,"down",IF(K81=22.2,"low",IF(K81=23.85,"high",IF(AND(K81&gt;22.2,K81&lt;23.85),"normal","up"))))</f>
        <v>normal</v>
      </c>
      <c r="D81" t="str">
        <f>IF(K81&lt;22.2,"down",IF(K81=22.2,"low",IF(K81=23.85,"high",IF(AND(K81&gt;22.2,K81&lt;23.85),"normal","up"))))</f>
        <v>normal</v>
      </c>
      <c r="E81" t="str">
        <f>IF(K81&lt;20.1,"down",IF(K81=20.1,"low",IF(K81=23.85,"high",IF(AND(K81&gt;20.1,K81&lt;23.85),"normal","up"))))</f>
        <v>normal</v>
      </c>
      <c r="F81" t="str">
        <f>IF(P81&lt;23.2,"PVP-down",IF(P81=23.2,23.2,IF(P81&gt;23.2,"PVP-up")))</f>
        <v>PVP-down</v>
      </c>
      <c r="G81" t="str">
        <f>IF(R81&lt;9787,"PVV-down",IF(R81=9787,9787,IF(R81&gt;9787,"PVV-up")))</f>
        <v>PVV-up</v>
      </c>
      <c r="H81" s="3">
        <f t="shared" si="1"/>
        <v>1.9400417484366106E-2</v>
      </c>
      <c r="I81">
        <f>[1]!'2353.PreviousPrice'</f>
        <v>23.2</v>
      </c>
      <c r="J81">
        <f>[1]!'2353.PreOpenPrice'</f>
        <v>22.55</v>
      </c>
      <c r="K81">
        <f>[1]!'2353.Open'</f>
        <v>23.2</v>
      </c>
      <c r="L81">
        <f>[1]!'2353.Change'</f>
        <v>-0.65</v>
      </c>
      <c r="M81">
        <f>[1]!'2353.ChangePercent'</f>
        <v>-2.8000000000000001E-2</v>
      </c>
      <c r="N81">
        <f>[1]!'2353.BidPrice'</f>
        <v>22.5</v>
      </c>
      <c r="O81">
        <f>[1]!'2353.AskPrice'</f>
        <v>22.55</v>
      </c>
      <c r="P81">
        <f>[1]!'2353.Price'</f>
        <v>22.55</v>
      </c>
      <c r="Q81">
        <f>[1]!'2353.Volume'</f>
        <v>2344</v>
      </c>
      <c r="R81">
        <f>[1]!'2353.CumulativeVolume'</f>
        <v>59655</v>
      </c>
      <c r="S81">
        <f>[1]!'2353.PreviousVolume'</f>
        <v>106674</v>
      </c>
      <c r="T81" s="3">
        <f t="shared" si="2"/>
        <v>-2.8017241379310283E-2</v>
      </c>
      <c r="U81" s="3">
        <f>((T81*AB81)*D4)</f>
        <v>-0.69620600792726206</v>
      </c>
      <c r="V81" s="5">
        <f t="shared" si="3"/>
        <v>0</v>
      </c>
      <c r="W81" s="5">
        <f t="shared" si="4"/>
        <v>52857200.000000007</v>
      </c>
      <c r="X81">
        <v>2353</v>
      </c>
      <c r="Y81" s="5">
        <v>30749338280</v>
      </c>
      <c r="Z81" s="3">
        <f>((D2*AB81)/P81)/10</f>
        <v>0.11117732085069451</v>
      </c>
      <c r="AA81" s="3">
        <f>((M81*AB81)*D2)</f>
        <v>-0.70197360385128527</v>
      </c>
      <c r="AB81" s="3">
        <f>AE81/AE323</f>
        <v>1.9443528658160088E-3</v>
      </c>
      <c r="AC81" s="3">
        <f>AF81/AF323</f>
        <v>1.9818128705931179E-3</v>
      </c>
      <c r="AD81" s="5">
        <f t="shared" si="5"/>
        <v>69339757821.399994</v>
      </c>
      <c r="AE81" s="5">
        <f t="shared" si="6"/>
        <v>69339757821.399994</v>
      </c>
      <c r="AF81" s="5">
        <f t="shared" si="7"/>
        <v>71338464809.600006</v>
      </c>
      <c r="AG81">
        <f t="shared" si="8"/>
        <v>0</v>
      </c>
      <c r="AH81" t="str">
        <f t="shared" si="9"/>
        <v>DAM200</v>
      </c>
      <c r="AI81">
        <f t="shared" si="10"/>
        <v>0</v>
      </c>
      <c r="AJ81">
        <f t="shared" si="11"/>
        <v>0</v>
      </c>
      <c r="AK81" t="str">
        <f>IF(Q81&lt;2757,"down",IF(Q81=2757,2757,IF(Q81&gt;2757,"up")))</f>
        <v>down</v>
      </c>
    </row>
    <row r="82" spans="1:37" x14ac:dyDescent="0.25">
      <c r="A82">
        <f>IF(X82=2337,2337,"Error")</f>
        <v>2337</v>
      </c>
      <c r="B82" t="str">
        <f>IF(K82&lt;30.35,"down",IF(K82=30.35,"low",IF(K82=30.85,"high",IF(AND(K82&gt;30.35,K82&lt;30.85),"normal","up"))))</f>
        <v>normal</v>
      </c>
      <c r="C82" t="str">
        <f>IF(K82&lt;30.35,"down",IF(K82=30.35,"low",IF(K82=30.85,"high",IF(AND(K82&gt;30.35,K82&lt;30.85),"normal","up"))))</f>
        <v>normal</v>
      </c>
      <c r="D82" t="str">
        <f>IF(K82&lt;30.35,"down",IF(K82=30.35,"low",IF(K82=30.85,"high",IF(AND(K82&gt;30.35,K82&lt;30.85),"normal","up"))))</f>
        <v>normal</v>
      </c>
      <c r="E82" t="str">
        <f>IF(K82&lt;30.25,"down",IF(K82=30.25,"low",IF(K82=31.7,"high",IF(AND(K82&gt;30.25,K82&lt;31.7),"normal","up"))))</f>
        <v>normal</v>
      </c>
      <c r="F82">
        <f>IF(P82&lt;30.6,"PVP-down",IF(P82=30.6,30.6,IF(P82&gt;30.6,"PVP-up")))</f>
        <v>30.6</v>
      </c>
      <c r="G82" t="str">
        <f>IF(R82&lt;3714,"PVV-down",IF(R82=3714,3714,IF(R82&gt;3714,"PVV-up")))</f>
        <v>PVV-up</v>
      </c>
      <c r="H82" s="3">
        <f t="shared" si="1"/>
        <v>1.2443509663333102E-2</v>
      </c>
      <c r="I82">
        <f>[1]!'2337.PreviousPrice'</f>
        <v>30.5</v>
      </c>
      <c r="J82">
        <f>[1]!'2337.PreOpenPrice'</f>
        <v>30.6</v>
      </c>
      <c r="K82">
        <f>[1]!'2337.Open'</f>
        <v>30.6</v>
      </c>
      <c r="L82">
        <f>[1]!'2337.Change'</f>
        <v>0.1</v>
      </c>
      <c r="M82">
        <f>[1]!'2337.ChangePercent'</f>
        <v>3.3E-3</v>
      </c>
      <c r="N82">
        <f>[1]!'2337.BidPrice'</f>
        <v>30.6</v>
      </c>
      <c r="O82">
        <f>[1]!'2337.AskPrice'</f>
        <v>30.65</v>
      </c>
      <c r="P82">
        <f>[1]!'2337.Price'</f>
        <v>30.6</v>
      </c>
      <c r="Q82">
        <f>[1]!'2337.Volume'</f>
        <v>1017</v>
      </c>
      <c r="R82">
        <f>[1]!'2337.CumulativeVolume'</f>
        <v>23099</v>
      </c>
      <c r="S82">
        <f>[1]!'2337.PreviousVolume'</f>
        <v>15119</v>
      </c>
      <c r="T82" s="3">
        <f t="shared" si="2"/>
        <v>0</v>
      </c>
      <c r="U82" s="3">
        <f>((T82*AB82)*D4)</f>
        <v>0</v>
      </c>
      <c r="V82" s="5">
        <f t="shared" si="3"/>
        <v>31120200</v>
      </c>
      <c r="W82" s="5">
        <f t="shared" si="4"/>
        <v>0</v>
      </c>
      <c r="X82">
        <v>2337</v>
      </c>
      <c r="Y82" s="5">
        <v>18563090820</v>
      </c>
      <c r="Z82" s="3">
        <f>((D2*AB82)/P82)/10</f>
        <v>6.7116719237436617E-2</v>
      </c>
      <c r="AA82" s="3">
        <f>((M82*AB82)*D2)</f>
        <v>6.7774463085963507E-2</v>
      </c>
      <c r="AB82" s="3">
        <f>AE82/AE323</f>
        <v>1.5928118571937031E-3</v>
      </c>
      <c r="AC82" s="3">
        <f>AF82/AF323</f>
        <v>1.5728561839663906E-3</v>
      </c>
      <c r="AD82" s="5">
        <f t="shared" si="5"/>
        <v>56803057909.199997</v>
      </c>
      <c r="AE82" s="5">
        <f t="shared" si="6"/>
        <v>56803057909.199997</v>
      </c>
      <c r="AF82" s="5">
        <f t="shared" si="7"/>
        <v>56617427001</v>
      </c>
      <c r="AG82">
        <f t="shared" si="8"/>
        <v>0</v>
      </c>
      <c r="AH82">
        <f t="shared" si="9"/>
        <v>0</v>
      </c>
      <c r="AI82">
        <f t="shared" si="10"/>
        <v>0</v>
      </c>
      <c r="AJ82" t="str">
        <f t="shared" si="11"/>
        <v>UBM200</v>
      </c>
      <c r="AK82" t="str">
        <f>IF(Q82&lt;605,"down",IF(Q82=605,605,IF(Q82&gt;605,"up")))</f>
        <v>up</v>
      </c>
    </row>
    <row r="83" spans="1:37" x14ac:dyDescent="0.25">
      <c r="A83">
        <f>IF(X83=6176,6176,"Error")</f>
        <v>6176</v>
      </c>
      <c r="B83" t="str">
        <f>IF(K83&lt;118,"down",IF(K83=118,"low",IF(K83=122.5,"high",IF(AND(K83&gt;118,K83&lt;122.5),"normal","up"))))</f>
        <v>down</v>
      </c>
      <c r="C83" t="str">
        <f>IF(K83&lt;118,"down",IF(K83=118,"low",IF(K83=122.5,"high",IF(AND(K83&gt;118,K83&lt;122.5),"normal","up"))))</f>
        <v>down</v>
      </c>
      <c r="D83" t="str">
        <f>IF(K83&lt;118,"down",IF(K83=118,"low",IF(K83=122.5,"high",IF(AND(K83&gt;118,K83&lt;122.5),"normal","up"))))</f>
        <v>down</v>
      </c>
      <c r="E83" t="str">
        <f>IF(K83&lt;118,"down",IF(K83=118,"low",IF(K83=127,"high",IF(AND(K83&gt;118,K83&lt;127),"normal","up"))))</f>
        <v>down</v>
      </c>
      <c r="F83" t="str">
        <f>IF(P83&lt;118.5,"PVP-down",IF(P83=118.5,118.5,IF(P83&gt;118.5,"PVP-up")))</f>
        <v>PVP-down</v>
      </c>
      <c r="G83" t="str">
        <f>IF(R83&lt;2174,"PVV-down",IF(R83=2174,2174,IF(R83&gt;2174,"PVV-up")))</f>
        <v>PVV-up</v>
      </c>
      <c r="H83" s="3">
        <f t="shared" si="1"/>
        <v>1.378413807106187E-2</v>
      </c>
      <c r="I83">
        <f>[1]!'6176.PreviousPrice'</f>
        <v>118.5</v>
      </c>
      <c r="J83">
        <f>[1]!'6176.PreOpenPrice'</f>
        <v>116</v>
      </c>
      <c r="K83">
        <f>[1]!'6176.Open'</f>
        <v>117.5</v>
      </c>
      <c r="L83">
        <f>[1]!'6176.Change'</f>
        <v>-2.5</v>
      </c>
      <c r="M83">
        <f>[1]!'6176.ChangePercent'</f>
        <v>-2.1100000000000001E-2</v>
      </c>
      <c r="N83">
        <f>[1]!'6176.BidPrice'</f>
        <v>116</v>
      </c>
      <c r="O83">
        <f>[1]!'6176.AskPrice'</f>
        <v>116.5</v>
      </c>
      <c r="P83">
        <f>[1]!'6176.Price'</f>
        <v>116</v>
      </c>
      <c r="Q83">
        <f>[1]!'6176.Volume'</f>
        <v>342</v>
      </c>
      <c r="R83">
        <f>[1]!'6176.CumulativeVolume'</f>
        <v>6410</v>
      </c>
      <c r="S83">
        <f>[1]!'6176.PreviousVolume'</f>
        <v>6518</v>
      </c>
      <c r="T83" s="3">
        <f t="shared" si="2"/>
        <v>-1.276595744680851E-2</v>
      </c>
      <c r="U83" s="3">
        <f>((T83*AB83)*D4)</f>
        <v>-0.2467856318879996</v>
      </c>
      <c r="V83" s="5">
        <f t="shared" si="3"/>
        <v>39672000</v>
      </c>
      <c r="W83" s="5">
        <f t="shared" si="4"/>
        <v>0</v>
      </c>
      <c r="X83">
        <v>6176</v>
      </c>
      <c r="Y83" s="5">
        <v>4650272630</v>
      </c>
      <c r="Z83" s="3">
        <f>((D2*AB83)/P83)/10</f>
        <v>1.6813527742318403E-2</v>
      </c>
      <c r="AA83" s="3">
        <f>((M83*AB83)*D2)</f>
        <v>-0.41152790502098519</v>
      </c>
      <c r="AB83" s="3">
        <f>AE83/AE323</f>
        <v>1.512617665665375E-3</v>
      </c>
      <c r="AC83" s="3">
        <f>AF83/AF323</f>
        <v>1.5308606173093521E-3</v>
      </c>
      <c r="AD83" s="5">
        <f t="shared" si="5"/>
        <v>53943162508</v>
      </c>
      <c r="AE83" s="5">
        <f t="shared" si="6"/>
        <v>53943162508</v>
      </c>
      <c r="AF83" s="5">
        <f t="shared" si="7"/>
        <v>55105730665.5</v>
      </c>
      <c r="AG83" t="str">
        <f t="shared" si="8"/>
        <v>DBM200</v>
      </c>
      <c r="AH83">
        <f t="shared" si="9"/>
        <v>0</v>
      </c>
      <c r="AI83">
        <f t="shared" si="10"/>
        <v>0</v>
      </c>
      <c r="AJ83">
        <f t="shared" si="11"/>
        <v>0</v>
      </c>
      <c r="AK83" t="str">
        <f>IF(Q83&lt;233,"down",IF(Q83=233,233,IF(Q83&gt;233,"up")))</f>
        <v>up</v>
      </c>
    </row>
    <row r="84" spans="1:37" x14ac:dyDescent="0.25">
      <c r="A84">
        <f>IF(X84=2313,2313,"Error")</f>
        <v>2313</v>
      </c>
      <c r="B84" t="str">
        <f>IF(K84&lt;51,"down",IF(K84=51,"low",IF(K84=54.3,"high",IF(AND(K84&gt;51,K84&lt;54.3),"normal","up"))))</f>
        <v>normal</v>
      </c>
      <c r="C84" t="str">
        <f>IF(K84&lt;51,"down",IF(K84=51,"low",IF(K84=54.3,"high",IF(AND(K84&gt;51,K84&lt;54.3),"normal","up"))))</f>
        <v>normal</v>
      </c>
      <c r="D84" t="str">
        <f>IF(K84&lt;51,"down",IF(K84=51,"low",IF(K84=54.3,"high",IF(AND(K84&gt;51,K84&lt;54.3),"normal","up"))))</f>
        <v>normal</v>
      </c>
      <c r="E84" t="str">
        <f>IF(K84&lt;48.2,"down",IF(K84=48.2,"low",IF(K84=54.7,"high",IF(AND(K84&gt;48.2,K84&lt;54.7),"normal","up"))))</f>
        <v>normal</v>
      </c>
      <c r="F84" t="str">
        <f>IF(P84&lt;52.9,"PVP-down",IF(P84=52.9,52.9,IF(P84&gt;52.9,"PVP-up")))</f>
        <v>PVP-down</v>
      </c>
      <c r="G84" t="str">
        <f>IF(R84&lt;4385,"PVV-down",IF(R84=4385,4385,IF(R84&gt;4385,"PVV-up")))</f>
        <v>PVV-up</v>
      </c>
      <c r="H84" s="3">
        <f t="shared" si="1"/>
        <v>5.0051157490114483E-2</v>
      </c>
      <c r="I84">
        <f>[1]!'2313.PreviousPrice'</f>
        <v>51</v>
      </c>
      <c r="J84">
        <f>[1]!'2313.PreOpenPrice'</f>
        <v>52.5</v>
      </c>
      <c r="K84">
        <f>[1]!'2313.Open'</f>
        <v>51.7</v>
      </c>
      <c r="L84">
        <f>[1]!'2313.Change'</f>
        <v>1.5</v>
      </c>
      <c r="M84">
        <f>[1]!'2313.ChangePercent'</f>
        <v>2.9399999999999999E-2</v>
      </c>
      <c r="N84">
        <f>[1]!'2313.BidPrice'</f>
        <v>52.5</v>
      </c>
      <c r="O84">
        <f>[1]!'2313.AskPrice'</f>
        <v>52.6</v>
      </c>
      <c r="P84">
        <f>[1]!'2313.Price'</f>
        <v>52.5</v>
      </c>
      <c r="Q84">
        <f>[1]!'2313.Volume'</f>
        <v>1484</v>
      </c>
      <c r="R84">
        <f>[1]!'2313.CumulativeVolume'</f>
        <v>59652</v>
      </c>
      <c r="S84">
        <f>[1]!'2313.PreviousVolume'</f>
        <v>59277</v>
      </c>
      <c r="T84" s="3">
        <f t="shared" si="2"/>
        <v>1.5473887814313291E-2</v>
      </c>
      <c r="U84" s="3">
        <f>((T84*AB84)*D4)</f>
        <v>0.3469762152253737</v>
      </c>
      <c r="V84" s="5">
        <f t="shared" si="3"/>
        <v>77910000</v>
      </c>
      <c r="W84" s="5">
        <f t="shared" si="4"/>
        <v>0</v>
      </c>
      <c r="X84">
        <v>2313</v>
      </c>
      <c r="Y84" s="5">
        <v>11918205890</v>
      </c>
      <c r="Z84" s="3">
        <f>((D2*AB84)/P84)/10</f>
        <v>4.309147039625881E-2</v>
      </c>
      <c r="AA84" s="3">
        <f>((M84*AB84)*D2)</f>
        <v>0.66511684556625472</v>
      </c>
      <c r="AB84" s="3">
        <f>AE84/AE323</f>
        <v>1.7545386969160751E-3</v>
      </c>
      <c r="AC84" s="3">
        <f>AF84/AF323</f>
        <v>1.688573406227986E-3</v>
      </c>
      <c r="AD84" s="5">
        <f t="shared" si="5"/>
        <v>62570580922.5</v>
      </c>
      <c r="AE84" s="5">
        <f t="shared" si="6"/>
        <v>62570580922.5</v>
      </c>
      <c r="AF84" s="5">
        <f t="shared" si="7"/>
        <v>60782850039</v>
      </c>
      <c r="AG84">
        <f t="shared" si="8"/>
        <v>0</v>
      </c>
      <c r="AH84">
        <f t="shared" si="9"/>
        <v>0</v>
      </c>
      <c r="AI84">
        <f t="shared" si="10"/>
        <v>0</v>
      </c>
      <c r="AJ84" t="str">
        <f t="shared" si="11"/>
        <v>UBM200</v>
      </c>
      <c r="AK84" t="str">
        <f>IF(Q84&lt;1127,"down",IF(Q84=1127,1127,IF(Q84&gt;1127,"up")))</f>
        <v>up</v>
      </c>
    </row>
    <row r="85" spans="1:37" x14ac:dyDescent="0.25">
      <c r="A85">
        <f>IF(X85=2383,2383,"Error")</f>
        <v>2383</v>
      </c>
      <c r="B85" t="str">
        <f>IF(K85&lt;168.5,"down",IF(K85=168.5,"low",IF(K85=174,"high",IF(AND(K85&gt;168.5,K85&lt;174),"normal","up"))))</f>
        <v>normal</v>
      </c>
      <c r="C85" t="str">
        <f>IF(K85&lt;168.5,"down",IF(K85=168.5,"low",IF(K85=174,"high",IF(AND(K85&gt;168.5,K85&lt;174),"normal","up"))))</f>
        <v>normal</v>
      </c>
      <c r="D85" t="str">
        <f>IF(K85&lt;168.5,"down",IF(K85=168.5,"low",IF(K85=174,"high",IF(AND(K85&gt;168.5,K85&lt;174),"normal","up"))))</f>
        <v>normal</v>
      </c>
      <c r="E85" t="str">
        <f>IF(K85&lt;168.5,"down",IF(K85=168.5,"low",IF(K85=183,"high",IF(AND(K85&gt;168.5,K85&lt;183),"normal","up"))))</f>
        <v>normal</v>
      </c>
      <c r="F85" t="str">
        <f>IF(P85&lt;169.5,"PVP-down",IF(P85=169.5,169.5,IF(P85&gt;169.5,"PVP-up")))</f>
        <v>PVP-up</v>
      </c>
      <c r="G85" t="str">
        <f>IF(R85&lt;1093,"PVV-down",IF(R85=1093,1093,IF(R85&gt;1093,"PVV-up")))</f>
        <v>PVV-up</v>
      </c>
      <c r="H85" s="3">
        <f t="shared" si="1"/>
        <v>9.4242227183859838E-3</v>
      </c>
      <c r="I85">
        <f>[1]!'2383.PreviousPrice'</f>
        <v>169</v>
      </c>
      <c r="J85">
        <f>[1]!'2383.PreOpenPrice'</f>
        <v>171</v>
      </c>
      <c r="K85">
        <f>[1]!'2383.Open'</f>
        <v>170</v>
      </c>
      <c r="L85">
        <f>[1]!'2383.Change'</f>
        <v>1.5</v>
      </c>
      <c r="M85">
        <f>[1]!'2383.ChangePercent'</f>
        <v>8.8999999999999999E-3</v>
      </c>
      <c r="N85">
        <f>[1]!'2383.BidPrice'</f>
        <v>170.5</v>
      </c>
      <c r="O85">
        <f>[1]!'2383.AskPrice'</f>
        <v>171</v>
      </c>
      <c r="P85">
        <f>[1]!'2383.Price'</f>
        <v>170.5</v>
      </c>
      <c r="Q85">
        <f>[1]!'2383.Volume'</f>
        <v>97</v>
      </c>
      <c r="R85">
        <f>[1]!'2383.CumulativeVolume'</f>
        <v>3013</v>
      </c>
      <c r="S85">
        <f>[1]!'2383.PreviousVolume'</f>
        <v>4342</v>
      </c>
      <c r="T85" s="3">
        <f t="shared" si="2"/>
        <v>2.9411764705882353E-3</v>
      </c>
      <c r="U85" s="3">
        <f>((T85*AB85)*D4)</f>
        <v>5.7455172301765292E-2</v>
      </c>
      <c r="V85" s="5">
        <f t="shared" si="3"/>
        <v>16538500</v>
      </c>
      <c r="W85" s="5">
        <f t="shared" si="4"/>
        <v>0</v>
      </c>
      <c r="X85">
        <v>2383</v>
      </c>
      <c r="Y85" s="5">
        <v>3197080640</v>
      </c>
      <c r="Z85" s="3">
        <f>((D2*AB85)/P85)/10</f>
        <v>1.1559366151629063E-2</v>
      </c>
      <c r="AA85" s="3">
        <f>((M85*AB85)*D2)</f>
        <v>0.17540760166789524</v>
      </c>
      <c r="AB85" s="3">
        <f>AE85/AE323</f>
        <v>1.5285186356854006E-3</v>
      </c>
      <c r="AC85" s="3">
        <f>AF85/AF323</f>
        <v>1.5009947755564293E-3</v>
      </c>
      <c r="AD85" s="5">
        <f t="shared" si="5"/>
        <v>54670078944</v>
      </c>
      <c r="AE85" s="5">
        <f t="shared" si="6"/>
        <v>54510224912</v>
      </c>
      <c r="AF85" s="5">
        <f t="shared" si="7"/>
        <v>54030662816</v>
      </c>
      <c r="AG85">
        <f t="shared" si="8"/>
        <v>0</v>
      </c>
      <c r="AH85">
        <f t="shared" si="9"/>
        <v>0</v>
      </c>
      <c r="AI85">
        <f t="shared" si="10"/>
        <v>0</v>
      </c>
      <c r="AJ85" t="str">
        <f t="shared" si="11"/>
        <v>UBM50</v>
      </c>
      <c r="AK85" t="str">
        <f>IF(Q85&lt;20,"down",IF(Q85=20,20,IF(Q85&gt;20,"up")))</f>
        <v>up</v>
      </c>
    </row>
    <row r="86" spans="1:37" x14ac:dyDescent="0.25">
      <c r="A86">
        <f>IF(X86=2376,2376,"Error")</f>
        <v>2376</v>
      </c>
      <c r="B86" t="str">
        <f>IF(K86&lt;79.6,"down",IF(K86=79.6,"low",IF(K86=82.9,"high",IF(AND(K86&gt;79.6,K86&lt;82.9),"normal","up"))))</f>
        <v>normal</v>
      </c>
      <c r="C86" t="str">
        <f>IF(K86&lt;79.6,"down",IF(K86=79.6,"low",IF(K86=82.9,"high",IF(AND(K86&gt;79.6,K86&lt;82.9),"normal","up"))))</f>
        <v>normal</v>
      </c>
      <c r="D86" t="str">
        <f>IF(K86&lt;79.6,"down",IF(K86=79.6,"low",IF(K86=82.9,"high",IF(AND(K86&gt;79.6,K86&lt;82.9),"normal","up"))))</f>
        <v>normal</v>
      </c>
      <c r="E86" t="str">
        <f>IF(K86&lt;79.6,"down",IF(K86=79.6,"low",IF(K86=85.9,"high",IF(AND(K86&gt;79.6,K86&lt;85.9),"normal","up"))))</f>
        <v>normal</v>
      </c>
      <c r="F86" t="str">
        <f>IF(P86&lt;80.1,"PVP-down",IF(P86=80.1,80.1,IF(P86&gt;80.1,"PVP-up")))</f>
        <v>PVP-up</v>
      </c>
      <c r="G86" t="str">
        <f>IF(R86&lt;863,"PVV-down",IF(R86=863,863,IF(R86&gt;863,"PVV-up")))</f>
        <v>PVV-up</v>
      </c>
      <c r="H86" s="3">
        <f t="shared" si="1"/>
        <v>9.2151996503522307E-3</v>
      </c>
      <c r="I86">
        <f>[1]!'2376.PreviousPrice'</f>
        <v>80.099999999999994</v>
      </c>
      <c r="J86">
        <f>[1]!'2376.PreOpenPrice'</f>
        <v>82</v>
      </c>
      <c r="K86">
        <f>[1]!'2376.Open'</f>
        <v>80.8</v>
      </c>
      <c r="L86">
        <f>[1]!'2376.Change'</f>
        <v>1.9</v>
      </c>
      <c r="M86">
        <f>[1]!'2376.ChangePercent'</f>
        <v>2.3699999999999999E-2</v>
      </c>
      <c r="N86">
        <f>[1]!'2376.BidPrice'</f>
        <v>81.900000000000006</v>
      </c>
      <c r="O86">
        <f>[1]!'2376.AskPrice'</f>
        <v>82</v>
      </c>
      <c r="P86">
        <f>[1]!'2376.Price'</f>
        <v>82</v>
      </c>
      <c r="Q86">
        <f>[1]!'2376.Volume'</f>
        <v>242</v>
      </c>
      <c r="R86">
        <f>[1]!'2376.CumulativeVolume'</f>
        <v>5858</v>
      </c>
      <c r="S86">
        <f>[1]!'2376.PreviousVolume'</f>
        <v>7184</v>
      </c>
      <c r="T86" s="3">
        <f t="shared" si="2"/>
        <v>1.4851485148514887E-2</v>
      </c>
      <c r="U86" s="3">
        <f>((T86*AB86)*D4)</f>
        <v>0.27743319967806268</v>
      </c>
      <c r="V86" s="5">
        <f t="shared" si="3"/>
        <v>0</v>
      </c>
      <c r="W86" s="5">
        <f t="shared" si="4"/>
        <v>19844000</v>
      </c>
      <c r="X86">
        <v>2376</v>
      </c>
      <c r="Y86" s="5">
        <v>6356888860</v>
      </c>
      <c r="Z86" s="3">
        <f>((D2*AB86)/P86)/10</f>
        <v>2.2983970125305276E-2</v>
      </c>
      <c r="AA86" s="3">
        <f>((M86*AB86)*D2)</f>
        <v>0.44667047541518273</v>
      </c>
      <c r="AB86" s="3">
        <f>AE86/AE323</f>
        <v>1.461676400089214E-3</v>
      </c>
      <c r="AC86" s="3">
        <f>AF86/AF323</f>
        <v>1.414542563935876E-3</v>
      </c>
      <c r="AD86" s="5">
        <f t="shared" si="5"/>
        <v>52126488652</v>
      </c>
      <c r="AE86" s="5">
        <f t="shared" si="6"/>
        <v>52126488652</v>
      </c>
      <c r="AF86" s="5">
        <f t="shared" si="7"/>
        <v>50918679768.599991</v>
      </c>
      <c r="AG86">
        <f t="shared" si="8"/>
        <v>0</v>
      </c>
      <c r="AH86">
        <f t="shared" si="9"/>
        <v>0</v>
      </c>
      <c r="AI86" t="str">
        <f t="shared" si="10"/>
        <v>UAM200</v>
      </c>
      <c r="AJ86">
        <f t="shared" si="11"/>
        <v>0</v>
      </c>
      <c r="AK86" t="str">
        <f>IF(Q86&lt;114,"down",IF(Q86=114,114,IF(Q86&gt;114,"up")))</f>
        <v>up</v>
      </c>
    </row>
    <row r="87" spans="1:37" x14ac:dyDescent="0.25">
      <c r="A87">
        <f>IF(X87=2344,2344,"Error")</f>
        <v>2344</v>
      </c>
      <c r="B87" t="str">
        <f>IF(K87&lt;13.15,"down",IF(K87=13.15,"low",IF(K87=13.3,"high",IF(AND(K87&gt;13.15,K87&lt;13.3),"normal","up"))))</f>
        <v>normal</v>
      </c>
      <c r="C87" t="str">
        <f>IF(K87&lt;13.15,"down",IF(K87=13.15,"low",IF(K87=13.3,"high",IF(AND(K87&gt;13.15,K87&lt;13.3),"normal","up"))))</f>
        <v>normal</v>
      </c>
      <c r="D87" t="str">
        <f>IF(K87&lt;13.15,"down",IF(K87=13.15,"low",IF(K87=13.3,"high",IF(AND(K87&gt;13.15,K87&lt;13.3),"normal","up"))))</f>
        <v>normal</v>
      </c>
      <c r="E87" t="str">
        <f>IF(K87&lt;12.95,"down",IF(K87=12.95,"low",IF(K87=13.7,"high",IF(AND(K87&gt;12.95,K87&lt;13.7),"normal","up"))))</f>
        <v>normal</v>
      </c>
      <c r="F87" t="str">
        <f>IF(P87&lt;13.2,"PVP-down",IF(P87=13.2,13.2,IF(P87&gt;13.2,"PVP-up")))</f>
        <v>PVP-down</v>
      </c>
      <c r="G87" t="str">
        <f>IF(R87&lt;6926,"PVV-down",IF(R87=6926,6926,IF(R87&gt;6926,"PVV-up")))</f>
        <v>PVV-up</v>
      </c>
      <c r="H87" s="3">
        <f t="shared" si="1"/>
        <v>4.239698286868902E-3</v>
      </c>
      <c r="I87">
        <f>[1]!'2344.PreviousPrice'</f>
        <v>13.15</v>
      </c>
      <c r="J87">
        <f>[1]!'2344.PreOpenPrice'</f>
        <v>13.15</v>
      </c>
      <c r="K87">
        <f>[1]!'2344.Open'</f>
        <v>13.25</v>
      </c>
      <c r="L87">
        <f>[1]!'2344.Change'</f>
        <v>0</v>
      </c>
      <c r="M87">
        <f>[1]!'2344.ChangePercent'</f>
        <v>0</v>
      </c>
      <c r="N87">
        <f>[1]!'2344.BidPrice'</f>
        <v>13.15</v>
      </c>
      <c r="O87">
        <f>[1]!'2344.AskPrice'</f>
        <v>13.2</v>
      </c>
      <c r="P87">
        <f>[1]!'2344.Price'</f>
        <v>13.15</v>
      </c>
      <c r="Q87">
        <f>[1]!'2344.Volume'</f>
        <v>964</v>
      </c>
      <c r="R87">
        <f>[1]!'2344.CumulativeVolume'</f>
        <v>16874</v>
      </c>
      <c r="S87">
        <f>[1]!'2344.PreviousVolume'</f>
        <v>14368</v>
      </c>
      <c r="T87" s="3">
        <f t="shared" si="2"/>
        <v>-7.5471698113207279E-3</v>
      </c>
      <c r="U87" s="3">
        <f>((T87*AB87)*D4)</f>
        <v>-0.14155429207436049</v>
      </c>
      <c r="V87" s="5">
        <f t="shared" si="3"/>
        <v>12676600</v>
      </c>
      <c r="W87" s="5">
        <f t="shared" si="4"/>
        <v>0</v>
      </c>
      <c r="X87">
        <v>2344</v>
      </c>
      <c r="Y87" s="5">
        <v>39800001930</v>
      </c>
      <c r="Z87" s="3">
        <f>((D2*AB87)/P87)/10</f>
        <v>0.14390090427760166</v>
      </c>
      <c r="AA87" s="3">
        <f>((M87*AB87)*D2)</f>
        <v>0</v>
      </c>
      <c r="AB87" s="3">
        <f>AE87/AE323</f>
        <v>1.4675794099972559E-3</v>
      </c>
      <c r="AC87" s="3">
        <f>AF87/AF323</f>
        <v>1.4539441732423727E-3</v>
      </c>
      <c r="AD87" s="5">
        <f t="shared" si="5"/>
        <v>52337002537.949997</v>
      </c>
      <c r="AE87" s="5">
        <f t="shared" si="6"/>
        <v>52337002537.949997</v>
      </c>
      <c r="AF87" s="5">
        <f t="shared" si="7"/>
        <v>52337002537.949997</v>
      </c>
      <c r="AG87">
        <f t="shared" si="8"/>
        <v>0</v>
      </c>
      <c r="AH87">
        <f t="shared" si="9"/>
        <v>0</v>
      </c>
      <c r="AI87">
        <f t="shared" si="10"/>
        <v>0</v>
      </c>
      <c r="AJ87">
        <f t="shared" si="11"/>
        <v>0</v>
      </c>
      <c r="AK87" t="str">
        <f>IF(Q87&lt;245,"down",IF(Q87=245,245,IF(Q87&gt;245,"up")))</f>
        <v>up</v>
      </c>
    </row>
    <row r="88" spans="1:37" x14ac:dyDescent="0.25">
      <c r="A88">
        <f>IF(X88=3532,3532,"Error")</f>
        <v>3532</v>
      </c>
      <c r="B88" t="str">
        <f>IF(K88&lt;125.5,"down",IF(K88=125.5,"low",IF(K88=127,"high",IF(AND(K88&gt;125.5,K88&lt;127),"normal","up"))))</f>
        <v>normal</v>
      </c>
      <c r="C88" t="str">
        <f>IF(K88&lt;125.5,"down",IF(K88=125.5,"low",IF(K88=127,"high",IF(AND(K88&gt;125.5,K88&lt;127),"normal","up"))))</f>
        <v>normal</v>
      </c>
      <c r="D88" t="str">
        <f>IF(K88&lt;125.5,"down",IF(K88=125.5,"low",IF(K88=127,"high",IF(AND(K88&gt;125.5,K88&lt;127),"normal","up"))))</f>
        <v>normal</v>
      </c>
      <c r="E88" t="str">
        <f>IF(K88&lt;125.5,"down",IF(K88=125.5,"low",IF(K88=131,"high",IF(AND(K88&gt;125.5,K88&lt;131),"normal","up"))))</f>
        <v>normal</v>
      </c>
      <c r="F88" t="str">
        <f>IF(P88&lt;126.5,"PVP-down",IF(P88=126.5,126.5,IF(P88&gt;126.5,"PVP-up")))</f>
        <v>PVP-down</v>
      </c>
      <c r="G88" t="str">
        <f>IF(R88&lt;205,"PVV-down",IF(R88=205,205,IF(R88&gt;205,"PVV-up")))</f>
        <v>PVV-up</v>
      </c>
      <c r="H88" s="3">
        <f t="shared" si="1"/>
        <v>1.6527080304335484E-3</v>
      </c>
      <c r="I88">
        <f>[1]!'3532.PreviousPrice'</f>
        <v>126.5</v>
      </c>
      <c r="J88">
        <f>[1]!'3532.PreOpenPrice'</f>
        <v>126.5</v>
      </c>
      <c r="K88">
        <f>[1]!'3532.Open'</f>
        <v>126.5</v>
      </c>
      <c r="L88">
        <f>[1]!'3532.Change'</f>
        <v>-0.5</v>
      </c>
      <c r="M88">
        <f>[1]!'3532.ChangePercent'</f>
        <v>-4.0000000000000001E-3</v>
      </c>
      <c r="N88">
        <f>[1]!'3532.BidPrice'</f>
        <v>126</v>
      </c>
      <c r="O88">
        <f>[1]!'3532.AskPrice'</f>
        <v>126.5</v>
      </c>
      <c r="P88">
        <f>[1]!'3532.Price'</f>
        <v>126</v>
      </c>
      <c r="Q88">
        <f>[1]!'3532.Volume'</f>
        <v>39</v>
      </c>
      <c r="R88">
        <f>[1]!'3532.CumulativeVolume'</f>
        <v>641</v>
      </c>
      <c r="S88">
        <f>[1]!'3532.PreviousVolume'</f>
        <v>436</v>
      </c>
      <c r="T88" s="3">
        <f t="shared" si="2"/>
        <v>-3.952569169960474E-3</v>
      </c>
      <c r="U88" s="3">
        <f>((T88*AB88)*D4)</f>
        <v>-6.9221656932222542E-2</v>
      </c>
      <c r="V88" s="5">
        <f t="shared" si="3"/>
        <v>4914000</v>
      </c>
      <c r="W88" s="5">
        <f t="shared" si="4"/>
        <v>0</v>
      </c>
      <c r="X88">
        <v>3532</v>
      </c>
      <c r="Y88" s="5">
        <v>3878483000</v>
      </c>
      <c r="Z88" s="3">
        <f>((D2*AB88)/P88)/10</f>
        <v>1.402304482062384E-2</v>
      </c>
      <c r="AA88" s="3">
        <f>((M88*AB88)*D2)</f>
        <v>-7.0676145895944148E-2</v>
      </c>
      <c r="AB88" s="3">
        <f>AE88/AE323</f>
        <v>1.3703301127645446E-3</v>
      </c>
      <c r="AC88" s="3">
        <f>AF88/AF323</f>
        <v>1.3629857116477984E-3</v>
      </c>
      <c r="AD88" s="5">
        <f t="shared" si="5"/>
        <v>49062809950</v>
      </c>
      <c r="AE88" s="5">
        <f t="shared" si="6"/>
        <v>48868885800</v>
      </c>
      <c r="AF88" s="5">
        <f t="shared" si="7"/>
        <v>49062809950</v>
      </c>
      <c r="AG88" t="str">
        <f t="shared" si="8"/>
        <v>DBM10-50</v>
      </c>
      <c r="AH88">
        <f t="shared" si="9"/>
        <v>0</v>
      </c>
      <c r="AI88">
        <f t="shared" si="10"/>
        <v>0</v>
      </c>
      <c r="AJ88">
        <f t="shared" si="11"/>
        <v>0</v>
      </c>
      <c r="AK88" t="str">
        <f>IF(Q88&lt;20,"down",IF(Q88=20,20,IF(Q88&gt;20,"up")))</f>
        <v>up</v>
      </c>
    </row>
    <row r="89" spans="1:37" x14ac:dyDescent="0.25">
      <c r="A89">
        <f>IF(X89=2448,2448,"Error")</f>
        <v>2448</v>
      </c>
      <c r="B89" t="str">
        <f>IF(K89&lt;42.35,"down",IF(K89=42.35,"low",IF(K89=43.95,"high",IF(AND(K89&gt;42.35,K89&lt;43.95),"normal","up"))))</f>
        <v>normal</v>
      </c>
      <c r="C89" t="str">
        <f>IF(K89&lt;42.35,"down",IF(K89=42.35,"low",IF(K89=43.95,"high",IF(AND(K89&gt;42.35,K89&lt;43.95),"normal","up"))))</f>
        <v>normal</v>
      </c>
      <c r="D89" t="str">
        <f>IF(K89&lt;42.35,"down",IF(K89=42.35,"low",IF(K89=43.95,"high",IF(AND(K89&gt;42.35,K89&lt;43.95),"normal","up"))))</f>
        <v>normal</v>
      </c>
      <c r="E89" t="str">
        <f>IF(K89&lt;42.35,"down",IF(K89=42.35,"low",IF(K89=46.9,"high",IF(AND(K89&gt;42.35,K89&lt;46.9),"normal","up"))))</f>
        <v>normal</v>
      </c>
      <c r="F89">
        <f>IF(P89&lt;42.55,"PVP-down",IF(P89=42.55,42.55,IF(P89&gt;42.55,"PVP-up")))</f>
        <v>42.55</v>
      </c>
      <c r="G89" t="str">
        <f>IF(R89&lt;2459,"PVV-down",IF(R89=2459,2459,IF(R89&gt;2459,"PVV-up")))</f>
        <v>PVV-up</v>
      </c>
      <c r="H89" s="3">
        <f t="shared" si="1"/>
        <v>1.8573504006024942E-2</v>
      </c>
      <c r="I89">
        <f>[1]!'2448.PreviousPrice'</f>
        <v>42.55</v>
      </c>
      <c r="J89">
        <f>[1]!'2448.PreOpenPrice'</f>
        <v>42.55</v>
      </c>
      <c r="K89">
        <f>[1]!'2448.Open'</f>
        <v>42.6</v>
      </c>
      <c r="L89">
        <f>[1]!'2448.Change'</f>
        <v>0</v>
      </c>
      <c r="M89">
        <f>[1]!'2448.ChangePercent'</f>
        <v>0</v>
      </c>
      <c r="N89">
        <f>[1]!'2448.BidPrice'</f>
        <v>42.55</v>
      </c>
      <c r="O89">
        <f>[1]!'2448.AskPrice'</f>
        <v>42.6</v>
      </c>
      <c r="P89">
        <f>[1]!'2448.Price'</f>
        <v>42.55</v>
      </c>
      <c r="Q89">
        <f>[1]!'2448.Volume'</f>
        <v>1044</v>
      </c>
      <c r="R89">
        <f>[1]!'2448.CumulativeVolume'</f>
        <v>20221</v>
      </c>
      <c r="S89">
        <f>[1]!'2448.PreviousVolume'</f>
        <v>18986</v>
      </c>
      <c r="T89" s="3">
        <f t="shared" si="2"/>
        <v>-1.1737089201878934E-3</v>
      </c>
      <c r="U89" s="3">
        <f>((T89*AB89)*D4)</f>
        <v>-1.9484929084562841E-2</v>
      </c>
      <c r="V89" s="5">
        <f t="shared" si="3"/>
        <v>44422200</v>
      </c>
      <c r="W89" s="5">
        <f t="shared" si="4"/>
        <v>0</v>
      </c>
      <c r="X89">
        <v>2448</v>
      </c>
      <c r="Y89" s="5">
        <v>10887014100</v>
      </c>
      <c r="Z89" s="3">
        <f>((D2*AB89)/P89)/10</f>
        <v>3.9363092912116329E-2</v>
      </c>
      <c r="AA89" s="3">
        <f>((M89*AB89)*D2)</f>
        <v>0</v>
      </c>
      <c r="AB89" s="3">
        <f>AE89/AE323</f>
        <v>1.2989759604549013E-3</v>
      </c>
      <c r="AC89" s="3">
        <f>AF89/AF323</f>
        <v>1.2869072133472152E-3</v>
      </c>
      <c r="AD89" s="5">
        <f t="shared" si="5"/>
        <v>46324244995.499992</v>
      </c>
      <c r="AE89" s="5">
        <f t="shared" si="6"/>
        <v>46324244995.499992</v>
      </c>
      <c r="AF89" s="5">
        <f t="shared" si="7"/>
        <v>46324244995.499992</v>
      </c>
      <c r="AG89">
        <f t="shared" si="8"/>
        <v>0</v>
      </c>
      <c r="AH89">
        <f t="shared" si="9"/>
        <v>0</v>
      </c>
      <c r="AI89">
        <f t="shared" si="10"/>
        <v>0</v>
      </c>
      <c r="AJ89">
        <f t="shared" si="11"/>
        <v>0</v>
      </c>
      <c r="AK89" t="str">
        <f>IF(Q89&lt;381,"down",IF(Q89=381,381,IF(Q89&gt;381,"up")))</f>
        <v>up</v>
      </c>
    </row>
    <row r="90" spans="1:37" x14ac:dyDescent="0.25">
      <c r="A90">
        <f>IF(X90=6269,6269,"Error")</f>
        <v>6269</v>
      </c>
      <c r="B90" t="str">
        <f>IF(K90&lt;133,"down",IF(K90=133,"low",IF(K90=138,"high",IF(AND(K90&gt;133,K90&lt;138),"normal","up"))))</f>
        <v>normal</v>
      </c>
      <c r="C90" t="str">
        <f>IF(K90&lt;133,"down",IF(K90=133,"low",IF(K90=138,"high",IF(AND(K90&gt;133,K90&lt;138),"normal","up"))))</f>
        <v>normal</v>
      </c>
      <c r="D90" t="str">
        <f>IF(K90&lt;133,"down",IF(K90=133,"low",IF(K90=138,"high",IF(AND(K90&gt;133,K90&lt;138),"normal","up"))))</f>
        <v>normal</v>
      </c>
      <c r="E90" t="str">
        <f>IF(K90&lt;133,"down",IF(K90=133,"low",IF(K90=142.5,"high",IF(AND(K90&gt;133,K90&lt;142.5),"normal","up"))))</f>
        <v>normal</v>
      </c>
      <c r="F90" t="str">
        <f>IF(P90&lt;135.5,"PVP-down",IF(P90=135.5,135.5,IF(P90&gt;135.5,"PVP-up")))</f>
        <v>PVP-up</v>
      </c>
      <c r="G90" t="str">
        <f>IF(R90&lt;1055,"PVV-down",IF(R90=1055,1055,IF(R90&gt;1055,"PVV-up")))</f>
        <v>PVV-up</v>
      </c>
      <c r="H90" s="3">
        <f t="shared" si="1"/>
        <v>1.8764306751108389E-2</v>
      </c>
      <c r="I90">
        <f>[1]!'6269.PreviousPrice'</f>
        <v>133.5</v>
      </c>
      <c r="J90">
        <f>[1]!'6269.PreOpenPrice'</f>
        <v>137.5</v>
      </c>
      <c r="K90">
        <f>[1]!'6269.Open'</f>
        <v>133.5</v>
      </c>
      <c r="L90">
        <f>[1]!'6269.Change'</f>
        <v>4</v>
      </c>
      <c r="M90">
        <f>[1]!'6269.ChangePercent'</f>
        <v>0.03</v>
      </c>
      <c r="N90">
        <f>[1]!'6269.BidPrice'</f>
        <v>137</v>
      </c>
      <c r="O90">
        <f>[1]!'6269.AskPrice'</f>
        <v>137.5</v>
      </c>
      <c r="P90">
        <f>[1]!'6269.Price'</f>
        <v>137.5</v>
      </c>
      <c r="Q90">
        <f>[1]!'6269.Volume'</f>
        <v>375</v>
      </c>
      <c r="R90">
        <f>[1]!'6269.CumulativeVolume'</f>
        <v>6359</v>
      </c>
      <c r="S90">
        <f>[1]!'6269.PreviousVolume'</f>
        <v>5170</v>
      </c>
      <c r="T90" s="3">
        <f t="shared" si="2"/>
        <v>2.9962546816479401E-2</v>
      </c>
      <c r="U90" s="3">
        <f>((T90*AB90)*D4)</f>
        <v>0.50034296664356248</v>
      </c>
      <c r="V90" s="5">
        <f t="shared" si="3"/>
        <v>0</v>
      </c>
      <c r="W90" s="5">
        <f t="shared" si="4"/>
        <v>51562500</v>
      </c>
      <c r="X90">
        <v>6269</v>
      </c>
      <c r="Y90" s="5">
        <v>3388880860</v>
      </c>
      <c r="Z90" s="3">
        <f>((D2*AB90)/P90)/10</f>
        <v>1.2252839110429067E-2</v>
      </c>
      <c r="AA90" s="3">
        <f>((M90*AB90)*D2)</f>
        <v>0.50542961330519909</v>
      </c>
      <c r="AB90" s="3">
        <f>AE90/AE323</f>
        <v>1.3066274063006024E-3</v>
      </c>
      <c r="AC90" s="3">
        <f>AF90/AF323</f>
        <v>1.256829749623156E-3</v>
      </c>
      <c r="AD90" s="5">
        <f t="shared" si="5"/>
        <v>46597111825</v>
      </c>
      <c r="AE90" s="5">
        <f t="shared" si="6"/>
        <v>46597111825</v>
      </c>
      <c r="AF90" s="5">
        <f t="shared" si="7"/>
        <v>45241559481</v>
      </c>
      <c r="AG90">
        <f t="shared" si="8"/>
        <v>0</v>
      </c>
      <c r="AH90">
        <f t="shared" si="9"/>
        <v>0</v>
      </c>
      <c r="AI90" t="str">
        <f t="shared" si="10"/>
        <v>UAM200</v>
      </c>
      <c r="AJ90">
        <f t="shared" si="11"/>
        <v>0</v>
      </c>
      <c r="AK90" t="str">
        <f>IF(Q90&lt;76,"down",IF(Q90=76,76,IF(Q90&gt;76,"up")))</f>
        <v>up</v>
      </c>
    </row>
    <row r="91" spans="1:37" x14ac:dyDescent="0.25">
      <c r="A91">
        <f>IF(X91=2458,2458,"Error")</f>
        <v>2458</v>
      </c>
      <c r="B91" t="str">
        <f>IF(K91&lt;142,"down",IF(K91=142,"low",IF(K91=149,"high",IF(AND(K91&gt;142,K91&lt;149),"normal","up"))))</f>
        <v>normal</v>
      </c>
      <c r="C91" t="str">
        <f>IF(K91&lt;142,"down",IF(K91=142,"low",IF(K91=149,"high",IF(AND(K91&gt;142,K91&lt;149),"normal","up"))))</f>
        <v>normal</v>
      </c>
      <c r="D91" t="str">
        <f>IF(K91&lt;142,"down",IF(K91=142,"low",IF(K91=149,"high",IF(AND(K91&gt;142,K91&lt;149),"normal","up"))))</f>
        <v>normal</v>
      </c>
      <c r="E91" t="str">
        <f>IF(K91&lt;142,"down",IF(K91=142,"low",IF(K91=157,"high",IF(AND(K91&gt;142,K91&lt;157),"normal","up"))))</f>
        <v>normal</v>
      </c>
      <c r="F91" t="str">
        <f>IF(P91&lt;143,"PVP-down",IF(P91=143,143,IF(P91&gt;143,"PVP-up")))</f>
        <v>PVP-down</v>
      </c>
      <c r="G91" t="str">
        <f>IF(R91&lt;2111,"PVV-down",IF(R91=2111,2111,IF(R91&gt;2111,"PVV-up")))</f>
        <v>PVV-up</v>
      </c>
      <c r="H91" s="3">
        <f t="shared" si="1"/>
        <v>2.9893340403483487E-2</v>
      </c>
      <c r="I91">
        <f>[1]!'2458.PreviousPrice'</f>
        <v>143</v>
      </c>
      <c r="J91">
        <f>[1]!'2458.PreOpenPrice'</f>
        <v>141</v>
      </c>
      <c r="K91">
        <f>[1]!'2458.Open'</f>
        <v>144</v>
      </c>
      <c r="L91">
        <f>[1]!'2458.Change'</f>
        <v>-2</v>
      </c>
      <c r="M91">
        <f>[1]!'2458.ChangePercent'</f>
        <v>-1.4E-2</v>
      </c>
      <c r="N91">
        <f>[1]!'2458.BidPrice'</f>
        <v>140.5</v>
      </c>
      <c r="O91">
        <f>[1]!'2458.AskPrice'</f>
        <v>141</v>
      </c>
      <c r="P91">
        <f>[1]!'2458.Price'</f>
        <v>141</v>
      </c>
      <c r="Q91">
        <f>[1]!'2458.Volume'</f>
        <v>313</v>
      </c>
      <c r="R91">
        <f>[1]!'2458.CumulativeVolume'</f>
        <v>9084</v>
      </c>
      <c r="S91">
        <f>[1]!'2458.PreviousVolume'</f>
        <v>9754</v>
      </c>
      <c r="T91" s="3">
        <f t="shared" si="2"/>
        <v>-2.0833333333333332E-2</v>
      </c>
      <c r="U91" s="3">
        <f>((T91*AB91)*D4)</f>
        <v>-0.31989733915585716</v>
      </c>
      <c r="V91" s="5">
        <f t="shared" si="3"/>
        <v>0</v>
      </c>
      <c r="W91" s="5">
        <f t="shared" si="4"/>
        <v>44133000</v>
      </c>
      <c r="X91">
        <v>2458</v>
      </c>
      <c r="Y91" s="5">
        <v>3038803920</v>
      </c>
      <c r="Z91" s="3">
        <f>((D2*AB91)/P91)/10</f>
        <v>1.0987100774000405E-2</v>
      </c>
      <c r="AA91" s="3">
        <f>((M91*AB91)*D2)</f>
        <v>-0.216885369278768</v>
      </c>
      <c r="AB91" s="3">
        <f>AE91/AE323</f>
        <v>1.2014744913402026E-3</v>
      </c>
      <c r="AC91" s="3">
        <f>AF91/AF323</f>
        <v>1.207195480361358E-3</v>
      </c>
      <c r="AD91" s="5">
        <f t="shared" si="5"/>
        <v>42847135272</v>
      </c>
      <c r="AE91" s="5">
        <f t="shared" si="6"/>
        <v>42847135272</v>
      </c>
      <c r="AF91" s="5">
        <f t="shared" si="7"/>
        <v>43454896056</v>
      </c>
      <c r="AG91">
        <f t="shared" si="8"/>
        <v>0</v>
      </c>
      <c r="AH91" t="str">
        <f t="shared" si="9"/>
        <v>DAM200</v>
      </c>
      <c r="AI91">
        <f t="shared" si="10"/>
        <v>0</v>
      </c>
      <c r="AJ91">
        <f t="shared" si="11"/>
        <v>0</v>
      </c>
      <c r="AK91" t="str">
        <f>IF(Q91&lt;60,"down",IF(Q91=60,60,IF(Q91&gt;60,"up")))</f>
        <v>up</v>
      </c>
    </row>
    <row r="92" spans="1:37" x14ac:dyDescent="0.25">
      <c r="A92">
        <f>IF(X92=6456,6456,"Error")</f>
        <v>6456</v>
      </c>
      <c r="B92" t="str">
        <f>IF(K92&lt;128.5,"down",IF(K92=128.5,"low",IF(K92=134.5,"high",IF(AND(K92&gt;128.5,K92&lt;134.5),"normal","up"))))</f>
        <v>normal</v>
      </c>
      <c r="C92" t="str">
        <f>IF(K92&lt;128.5,"down",IF(K92=128.5,"low",IF(K92=134.5,"high",IF(AND(K92&gt;128.5,K92&lt;134.5),"normal","up"))))</f>
        <v>normal</v>
      </c>
      <c r="D92" t="str">
        <f>IF(K92&lt;128.5,"down",IF(K92=128.5,"low",IF(K92=134.5,"high",IF(AND(K92&gt;128.5,K92&lt;134.5),"normal","up"))))</f>
        <v>normal</v>
      </c>
      <c r="E92" t="str">
        <f>IF(K92&lt;128.5,"down",IF(K92=128.5,"low",IF(K92=140,"high",IF(AND(K92&gt;128.5,K92&lt;140),"normal","up"))))</f>
        <v>normal</v>
      </c>
      <c r="F92">
        <f>IF(P92&lt;131.5,"PVP-down",IF(P92=131.5,131.5,IF(P92&gt;131.5,"PVP-up")))</f>
        <v>131.5</v>
      </c>
      <c r="G92" t="str">
        <f>IF(R92&lt;2391,"PVV-down",IF(R92=2391,2391,IF(R92&gt;2391,"PVV-up")))</f>
        <v>PVV-up</v>
      </c>
      <c r="H92" s="3">
        <f t="shared" si="1"/>
        <v>2.0610429301454927E-2</v>
      </c>
      <c r="I92">
        <f>[1]!'6456.PreviousPrice'</f>
        <v>132</v>
      </c>
      <c r="J92">
        <f>[1]!'6456.PreOpenPrice'</f>
        <v>132</v>
      </c>
      <c r="K92">
        <f>[1]!'6456.Open'</f>
        <v>132</v>
      </c>
      <c r="L92">
        <f>[1]!'6456.Change'</f>
        <v>-0.5</v>
      </c>
      <c r="M92">
        <f>[1]!'6456.ChangePercent'</f>
        <v>-3.8E-3</v>
      </c>
      <c r="N92">
        <f>[1]!'6456.BidPrice'</f>
        <v>131</v>
      </c>
      <c r="O92">
        <f>[1]!'6456.AskPrice'</f>
        <v>131.5</v>
      </c>
      <c r="P92">
        <f>[1]!'6456.Price'</f>
        <v>131.5</v>
      </c>
      <c r="Q92">
        <f>[1]!'6456.Volume'</f>
        <v>377</v>
      </c>
      <c r="R92">
        <f>[1]!'6456.CumulativeVolume'</f>
        <v>6996</v>
      </c>
      <c r="S92">
        <f>[1]!'6456.PreviousVolume'</f>
        <v>11608</v>
      </c>
      <c r="T92" s="3">
        <f t="shared" si="2"/>
        <v>-3.787878787878788E-3</v>
      </c>
      <c r="U92" s="3">
        <f>((T92*AB92)*D4)</f>
        <v>-6.0591912874613504E-2</v>
      </c>
      <c r="V92" s="5">
        <f t="shared" si="3"/>
        <v>0</v>
      </c>
      <c r="W92" s="5">
        <f t="shared" si="4"/>
        <v>49575500</v>
      </c>
      <c r="X92">
        <v>6456</v>
      </c>
      <c r="Y92" s="5">
        <v>3394398000</v>
      </c>
      <c r="Z92" s="3">
        <f>((D2*AB92)/P92)/10</f>
        <v>1.2272786884211151E-2</v>
      </c>
      <c r="AA92" s="3">
        <f>((M92*AB92)*D2)</f>
        <v>-6.1327116060403121E-2</v>
      </c>
      <c r="AB92" s="3">
        <f>AE92/AE323</f>
        <v>1.2516453197407836E-3</v>
      </c>
      <c r="AC92" s="3">
        <f>AF92/AF323</f>
        <v>1.2447312111630369E-3</v>
      </c>
      <c r="AD92" s="5">
        <f t="shared" si="5"/>
        <v>44806053600</v>
      </c>
      <c r="AE92" s="5">
        <f t="shared" si="6"/>
        <v>44636333700</v>
      </c>
      <c r="AF92" s="5">
        <f t="shared" si="7"/>
        <v>44806053600</v>
      </c>
      <c r="AG92">
        <f t="shared" si="8"/>
        <v>0</v>
      </c>
      <c r="AH92" t="str">
        <f t="shared" si="9"/>
        <v>DAM200</v>
      </c>
      <c r="AI92">
        <f t="shared" si="10"/>
        <v>0</v>
      </c>
      <c r="AJ92">
        <f t="shared" si="11"/>
        <v>0</v>
      </c>
      <c r="AK92" t="str">
        <f>IF(Q92&lt;487,"down",IF(Q92=487,487,IF(Q92&gt;487,"up")))</f>
        <v>down</v>
      </c>
    </row>
    <row r="93" spans="1:37" x14ac:dyDescent="0.25">
      <c r="A93">
        <f>IF(X93=3533,3533,"Error")</f>
        <v>3533</v>
      </c>
      <c r="B93" t="str">
        <f>IF(K93&lt;433,"down",IF(K93=433,"low",IF(K93=460.5,"high",IF(AND(K93&gt;433,K93&lt;460.5),"normal","up"))))</f>
        <v>down</v>
      </c>
      <c r="C93" t="str">
        <f>IF(K93&lt;433,"down",IF(K93=433,"low",IF(K93=460.5,"high",IF(AND(K93&gt;433,K93&lt;460.5),"normal","up"))))</f>
        <v>down</v>
      </c>
      <c r="D93" t="str">
        <f>IF(K93&lt;433,"down",IF(K93=433,"low",IF(K93=460.5,"high",IF(AND(K93&gt;433,K93&lt;460.5),"normal","up"))))</f>
        <v>down</v>
      </c>
      <c r="E93" t="str">
        <f>IF(K93&lt;433,"down",IF(K93=433,"low",IF(K93=481,"high",IF(AND(K93&gt;433,K93&lt;481),"normal","up"))))</f>
        <v>down</v>
      </c>
      <c r="F93" t="str">
        <f>IF(P93&lt;435,"PVP-down",IF(P93=435,435,IF(P93&gt;435,"PVP-up")))</f>
        <v>PVP-down</v>
      </c>
      <c r="G93" t="str">
        <f>IF(R93&lt;77,"PVV-down",IF(R93=77,77,IF(R93&gt;77,"PVV-up")))</f>
        <v>PVV-up</v>
      </c>
      <c r="H93" s="3">
        <f t="shared" si="1"/>
        <v>1.9347126294600104E-2</v>
      </c>
      <c r="I93">
        <f>[1]!'3533.PreviousPrice'</f>
        <v>436</v>
      </c>
      <c r="J93">
        <f>[1]!'3533.PreOpenPrice'</f>
        <v>418.5</v>
      </c>
      <c r="K93">
        <f>[1]!'3533.Open'</f>
        <v>430</v>
      </c>
      <c r="L93">
        <f>[1]!'3533.Change'</f>
        <v>-18</v>
      </c>
      <c r="M93">
        <f>[1]!'3533.ChangePercent'</f>
        <v>-4.1300000000000003E-2</v>
      </c>
      <c r="N93">
        <f>[1]!'3533.BidPrice'</f>
        <v>416.5</v>
      </c>
      <c r="O93">
        <f>[1]!'3533.AskPrice'</f>
        <v>418</v>
      </c>
      <c r="P93">
        <f>[1]!'3533.Price'</f>
        <v>418</v>
      </c>
      <c r="Q93">
        <f>[1]!'3533.Volume'</f>
        <v>80</v>
      </c>
      <c r="R93">
        <f>[1]!'3533.CumulativeVolume'</f>
        <v>2002</v>
      </c>
      <c r="S93">
        <f>[1]!'3533.PreviousVolume'</f>
        <v>1046</v>
      </c>
      <c r="T93" s="3">
        <f t="shared" si="2"/>
        <v>-2.7906976744186046E-2</v>
      </c>
      <c r="U93" s="3">
        <f>((T93*AB93)*D4)</f>
        <v>-0.43258031565011229</v>
      </c>
      <c r="V93" s="5">
        <f t="shared" si="3"/>
        <v>0</v>
      </c>
      <c r="W93" s="5">
        <f t="shared" si="4"/>
        <v>33440000</v>
      </c>
      <c r="X93">
        <v>3533</v>
      </c>
      <c r="Y93" s="5">
        <v>1034779000</v>
      </c>
      <c r="Z93" s="3">
        <f>((D2*AB93)/P93)/10</f>
        <v>3.7413474021776852E-3</v>
      </c>
      <c r="AA93" s="3">
        <f>((M93*AB93)*D2)</f>
        <v>-0.64588376742754261</v>
      </c>
      <c r="AB93" s="3">
        <f>AE93/AE323</f>
        <v>1.2128766977743699E-3</v>
      </c>
      <c r="AC93" s="3">
        <f>AF93/AF323</f>
        <v>1.2533517770662338E-3</v>
      </c>
      <c r="AD93" s="5">
        <f t="shared" si="5"/>
        <v>43305501150</v>
      </c>
      <c r="AE93" s="5">
        <f t="shared" si="6"/>
        <v>43253762200</v>
      </c>
      <c r="AF93" s="5">
        <f t="shared" si="7"/>
        <v>45116364400</v>
      </c>
      <c r="AG93">
        <f t="shared" si="8"/>
        <v>0</v>
      </c>
      <c r="AH93" t="str">
        <f t="shared" si="9"/>
        <v>DAM50</v>
      </c>
      <c r="AI93">
        <f t="shared" si="10"/>
        <v>0</v>
      </c>
      <c r="AJ93">
        <f t="shared" si="11"/>
        <v>0</v>
      </c>
      <c r="AK93" t="str">
        <f>IF(Q93&lt;5,"down",IF(Q93=5,5,IF(Q93&gt;5,"up")))</f>
        <v>up</v>
      </c>
    </row>
    <row r="94" spans="1:37" x14ac:dyDescent="0.25">
      <c r="A94">
        <f>IF(X94=6213,6213,"Error")</f>
        <v>6213</v>
      </c>
      <c r="B94" t="str">
        <f>IF(K94&lt;130.5,"down",IF(K94=130.5,"low",IF(K94=132.5,"high",IF(AND(K94&gt;130.5,K94&lt;132.5),"normal","up"))))</f>
        <v>normal</v>
      </c>
      <c r="C94" t="str">
        <f>IF(K94&lt;130.5,"down",IF(K94=130.5,"low",IF(K94=132.5,"high",IF(AND(K94&gt;130.5,K94&lt;132.5),"normal","up"))))</f>
        <v>normal</v>
      </c>
      <c r="D94" t="str">
        <f>IF(K94&lt;130.5,"down",IF(K94=130.5,"low",IF(K94=132.5,"high",IF(AND(K94&gt;130.5,K94&lt;132.5),"normal","up"))))</f>
        <v>normal</v>
      </c>
      <c r="E94" t="str">
        <f>IF(K94&lt;128,"down",IF(K94=128,"low",IF(K94=134.5,"high",IF(AND(K94&gt;128,K94&lt;134.5),"normal","up"))))</f>
        <v>normal</v>
      </c>
      <c r="F94" t="str">
        <f>IF(P94&lt;131.5,"PVP-down",IF(P94=131.5,131.5,IF(P94&gt;131.5,"PVP-up")))</f>
        <v>PVP-down</v>
      </c>
      <c r="G94" t="str">
        <f>IF(R94&lt;1299,"PVV-down",IF(R94=1299,1299,IF(R94&gt;1299,"PVV-up")))</f>
        <v>PVV-up</v>
      </c>
      <c r="H94" s="3">
        <f t="shared" si="1"/>
        <v>1.4097907317329881E-2</v>
      </c>
      <c r="I94">
        <f>[1]!'6213.PreviousPrice'</f>
        <v>131</v>
      </c>
      <c r="J94">
        <f>[1]!'6213.PreOpenPrice'</f>
        <v>126.5</v>
      </c>
      <c r="K94">
        <f>[1]!'6213.Open'</f>
        <v>131</v>
      </c>
      <c r="L94">
        <f>[1]!'6213.Change'</f>
        <v>-4.5</v>
      </c>
      <c r="M94">
        <f>[1]!'6213.ChangePercent'</f>
        <v>-3.44E-2</v>
      </c>
      <c r="N94">
        <f>[1]!'6213.BidPrice'</f>
        <v>126.5</v>
      </c>
      <c r="O94">
        <f>[1]!'6213.AskPrice'</f>
        <v>127</v>
      </c>
      <c r="P94">
        <f>[1]!'6213.Price'</f>
        <v>126.5</v>
      </c>
      <c r="Q94">
        <f>[1]!'6213.Volume'</f>
        <v>317</v>
      </c>
      <c r="R94">
        <f>[1]!'6213.CumulativeVolume'</f>
        <v>4694</v>
      </c>
      <c r="S94">
        <f>[1]!'6213.PreviousVolume'</f>
        <v>2837</v>
      </c>
      <c r="T94" s="3">
        <f t="shared" si="2"/>
        <v>-3.4351145038167941E-2</v>
      </c>
      <c r="U94" s="3">
        <f>((T94*AB94)*D4)</f>
        <v>-0.51850178075077114</v>
      </c>
      <c r="V94" s="5">
        <f t="shared" si="3"/>
        <v>40100500</v>
      </c>
      <c r="W94" s="5">
        <f t="shared" si="4"/>
        <v>0</v>
      </c>
      <c r="X94">
        <v>6213</v>
      </c>
      <c r="Y94" s="5">
        <v>3329572180</v>
      </c>
      <c r="Z94" s="3">
        <f>((D2*AB94)/P94)/10</f>
        <v>1.2038402621241919E-2</v>
      </c>
      <c r="AA94" s="3">
        <f>((M94*AB94)*D2)</f>
        <v>-0.52386312846596339</v>
      </c>
      <c r="AB94" s="3">
        <f>AE94/AE323</f>
        <v>1.1810593544184138E-3</v>
      </c>
      <c r="AC94" s="3">
        <f>AF94/AF323</f>
        <v>1.2117097855876913E-3</v>
      </c>
      <c r="AD94" s="5">
        <f t="shared" si="5"/>
        <v>42119088077</v>
      </c>
      <c r="AE94" s="5">
        <f t="shared" si="6"/>
        <v>42119088077</v>
      </c>
      <c r="AF94" s="5">
        <f t="shared" si="7"/>
        <v>43617395558</v>
      </c>
      <c r="AG94" t="str">
        <f t="shared" si="8"/>
        <v>DBM200</v>
      </c>
      <c r="AH94">
        <f t="shared" si="9"/>
        <v>0</v>
      </c>
      <c r="AI94">
        <f t="shared" si="10"/>
        <v>0</v>
      </c>
      <c r="AJ94">
        <f t="shared" si="11"/>
        <v>0</v>
      </c>
      <c r="AK94" t="str">
        <f>IF(Q94&lt;24,"down",IF(Q94=24,24,IF(Q94&gt;24,"up")))</f>
        <v>up</v>
      </c>
    </row>
    <row r="95" spans="1:37" x14ac:dyDescent="0.25">
      <c r="A95">
        <f>IF(X95=2449,2449,"Error")</f>
        <v>2449</v>
      </c>
      <c r="B95" t="str">
        <f>IF(K95&lt;34.8,"down",IF(K95=34.8,"low",IF(K95=36.4,"high",IF(AND(K95&gt;34.8,K95&lt;36.4),"normal","up"))))</f>
        <v>normal</v>
      </c>
      <c r="C95" t="str">
        <f>IF(K95&lt;34.8,"down",IF(K95=34.8,"low",IF(K95=36.4,"high",IF(AND(K95&gt;34.8,K95&lt;36.4),"normal","up"))))</f>
        <v>normal</v>
      </c>
      <c r="D95" t="str">
        <f>IF(K95&lt;34.8,"down",IF(K95=34.8,"low",IF(K95=36.4,"high",IF(AND(K95&gt;34.8,K95&lt;36.4),"normal","up"))))</f>
        <v>normal</v>
      </c>
      <c r="E95" t="str">
        <f>IF(K95&lt;34.3,"down",IF(K95=34.3,"low",IF(K95=36.4,"high",IF(AND(K95&gt;34.3,K95&lt;36.4),"normal","up"))))</f>
        <v>normal</v>
      </c>
      <c r="F95" t="str">
        <f>IF(P95&lt;35.6,"PVP-down",IF(P95=35.6,35.6,IF(P95&gt;35.6,"PVP-up")))</f>
        <v>PVP-up</v>
      </c>
      <c r="G95" t="str">
        <f>IF(R95&lt;4294,"PVV-down",IF(R95=4294,4294,IF(R95&gt;4294,"PVV-up")))</f>
        <v>PVV-up</v>
      </c>
      <c r="H95" s="3">
        <f t="shared" si="1"/>
        <v>1.5972258289179846E-2</v>
      </c>
      <c r="I95">
        <f>[1]!'2449.PreviousPrice'</f>
        <v>35.6</v>
      </c>
      <c r="J95">
        <f>[1]!'2449.PreOpenPrice'</f>
        <v>35.65</v>
      </c>
      <c r="K95">
        <f>[1]!'2449.Open'</f>
        <v>35.75</v>
      </c>
      <c r="L95">
        <f>[1]!'2449.Change'</f>
        <v>0.05</v>
      </c>
      <c r="M95">
        <f>[1]!'2449.ChangePercent'</f>
        <v>1.4E-3</v>
      </c>
      <c r="N95">
        <f>[1]!'2449.BidPrice'</f>
        <v>35.65</v>
      </c>
      <c r="O95">
        <f>[1]!'2449.AskPrice'</f>
        <v>35.700000000000003</v>
      </c>
      <c r="P95">
        <f>[1]!'2449.Price'</f>
        <v>35.65</v>
      </c>
      <c r="Q95">
        <f>[1]!'2449.Volume'</f>
        <v>742</v>
      </c>
      <c r="R95">
        <f>[1]!'2449.CumulativeVolume'</f>
        <v>19530</v>
      </c>
      <c r="S95">
        <f>[1]!'2449.PreviousVolume'</f>
        <v>45886</v>
      </c>
      <c r="T95" s="3">
        <f t="shared" si="2"/>
        <v>-2.7972027972028371E-3</v>
      </c>
      <c r="U95" s="3">
        <f>((T95*AB95)*D4)</f>
        <v>-4.3696784635057558E-2</v>
      </c>
      <c r="V95" s="5">
        <f t="shared" si="3"/>
        <v>26452300</v>
      </c>
      <c r="W95" s="5">
        <f t="shared" si="4"/>
        <v>0</v>
      </c>
      <c r="X95">
        <v>2449</v>
      </c>
      <c r="Y95" s="5">
        <v>12227450650</v>
      </c>
      <c r="Z95" s="3">
        <f>((D2*AB95)/P95)/10</f>
        <v>4.4209575884931331E-2</v>
      </c>
      <c r="AA95" s="3">
        <f>((M95*AB95)*D2)</f>
        <v>2.2064999324169221E-2</v>
      </c>
      <c r="AB95" s="3">
        <f>AE95/AE323</f>
        <v>1.2223292851696926E-3</v>
      </c>
      <c r="AC95" s="3">
        <f>AF95/AF323</f>
        <v>1.20927424116991E-3</v>
      </c>
      <c r="AD95" s="5">
        <f t="shared" si="5"/>
        <v>43590861567.25</v>
      </c>
      <c r="AE95" s="5">
        <f t="shared" si="6"/>
        <v>43590861567.25</v>
      </c>
      <c r="AF95" s="5">
        <f t="shared" si="7"/>
        <v>43529724314</v>
      </c>
      <c r="AG95">
        <f t="shared" si="8"/>
        <v>0</v>
      </c>
      <c r="AH95">
        <f t="shared" si="9"/>
        <v>0</v>
      </c>
      <c r="AI95">
        <f t="shared" si="10"/>
        <v>0</v>
      </c>
      <c r="AJ95" t="str">
        <f t="shared" si="11"/>
        <v>UBM200</v>
      </c>
      <c r="AK95" t="str">
        <f>IF(Q95&lt;955,"down",IF(Q95=955,955,IF(Q95&gt;955,"up")))</f>
        <v>down</v>
      </c>
    </row>
    <row r="96" spans="1:37" x14ac:dyDescent="0.25">
      <c r="A96">
        <f>IF(X96=3023,3023,"Error")</f>
        <v>3023</v>
      </c>
      <c r="B96" t="str">
        <f>IF(K96&lt;174,"down",IF(K96=174,"low",IF(K96=181,"high",IF(AND(K96&gt;174,K96&lt;181),"normal","up"))))</f>
        <v>normal</v>
      </c>
      <c r="C96" t="str">
        <f>IF(K96&lt;174,"down",IF(K96=174,"low",IF(K96=181,"high",IF(AND(K96&gt;174,K96&lt;181),"normal","up"))))</f>
        <v>normal</v>
      </c>
      <c r="D96" t="str">
        <f>IF(K96&lt;174,"down",IF(K96=174,"low",IF(K96=181,"high",IF(AND(K96&gt;174,K96&lt;181),"normal","up"))))</f>
        <v>normal</v>
      </c>
      <c r="E96" t="str">
        <f>IF(K96&lt;171,"down",IF(K96=171,"low",IF(K96=184.5,"high",IF(AND(K96&gt;171,K96&lt;184.5),"normal","up"))))</f>
        <v>normal</v>
      </c>
      <c r="F96" t="str">
        <f>IF(P96&lt;174.5,"PVP-down",IF(P96=174.5,174.5,IF(P96&gt;174.5,"PVP-up")))</f>
        <v>PVP-up</v>
      </c>
      <c r="G96" t="str">
        <f>IF(R96&lt;323,"PVV-down",IF(R96=323,323,IF(R96&gt;323,"PVV-up")))</f>
        <v>PVV-up</v>
      </c>
      <c r="H96" s="3">
        <f t="shared" si="1"/>
        <v>3.6558521205325594E-3</v>
      </c>
      <c r="I96">
        <f>[1]!'3023.PreviousPrice'</f>
        <v>174.5</v>
      </c>
      <c r="J96">
        <f>[1]!'3023.PreOpenPrice'</f>
        <v>175</v>
      </c>
      <c r="K96">
        <f>[1]!'3023.Open'</f>
        <v>175</v>
      </c>
      <c r="L96">
        <f>[1]!'3023.Change'</f>
        <v>0.5</v>
      </c>
      <c r="M96">
        <f>[1]!'3023.ChangePercent'</f>
        <v>2.8999999999999998E-3</v>
      </c>
      <c r="N96">
        <f>[1]!'3023.BidPrice'</f>
        <v>174.5</v>
      </c>
      <c r="O96">
        <f>[1]!'3023.AskPrice'</f>
        <v>175</v>
      </c>
      <c r="P96">
        <f>[1]!'3023.Price'</f>
        <v>175</v>
      </c>
      <c r="Q96">
        <f>[1]!'3023.Volume'</f>
        <v>59</v>
      </c>
      <c r="R96">
        <f>[1]!'3023.CumulativeVolume'</f>
        <v>851</v>
      </c>
      <c r="S96">
        <f>[1]!'3023.PreviousVolume'</f>
        <v>1548</v>
      </c>
      <c r="T96" s="3">
        <f t="shared" si="2"/>
        <v>0</v>
      </c>
      <c r="U96" s="3">
        <f>((T96*AB96)*D4)</f>
        <v>0</v>
      </c>
      <c r="V96" s="5">
        <f t="shared" si="3"/>
        <v>0</v>
      </c>
      <c r="W96" s="5">
        <f t="shared" si="4"/>
        <v>10325000</v>
      </c>
      <c r="X96">
        <v>3023</v>
      </c>
      <c r="Y96" s="5">
        <v>2327774680</v>
      </c>
      <c r="Z96" s="3">
        <f>((D2*AB96)/P96)/10</f>
        <v>8.4163031447999932E-3</v>
      </c>
      <c r="AA96" s="3">
        <f>((M96*AB96)*D2)</f>
        <v>4.2712738459859963E-2</v>
      </c>
      <c r="AB96" s="3">
        <f>AE96/AE323</f>
        <v>1.1422778426710088E-3</v>
      </c>
      <c r="AC96" s="3">
        <f>AF96/AF323</f>
        <v>1.1284316446317387E-3</v>
      </c>
      <c r="AD96" s="5">
        <f t="shared" si="5"/>
        <v>40736056900</v>
      </c>
      <c r="AE96" s="5">
        <f t="shared" si="6"/>
        <v>40736056900</v>
      </c>
      <c r="AF96" s="5">
        <f t="shared" si="7"/>
        <v>40619668166</v>
      </c>
      <c r="AG96">
        <f t="shared" si="8"/>
        <v>0</v>
      </c>
      <c r="AH96">
        <f t="shared" si="9"/>
        <v>0</v>
      </c>
      <c r="AI96" t="str">
        <f t="shared" si="10"/>
        <v>UAM50</v>
      </c>
      <c r="AJ96">
        <f t="shared" si="11"/>
        <v>0</v>
      </c>
      <c r="AK96" t="str">
        <f>IF(Q96&lt;42,"down",IF(Q96=42,42,IF(Q96&gt;42,"up")))</f>
        <v>up</v>
      </c>
    </row>
    <row r="97" spans="1:37" x14ac:dyDescent="0.25">
      <c r="A97">
        <f>IF(X97=6278,6278,"Error")</f>
        <v>6278</v>
      </c>
      <c r="B97" t="str">
        <f>IF(K97&lt;130.5,"down",IF(K97=130.5,"low",IF(K97=137.5,"high",IF(AND(K97&gt;130.5,K97&lt;137.5),"normal","up"))))</f>
        <v>normal</v>
      </c>
      <c r="C97" t="str">
        <f>IF(K97&lt;130.5,"down",IF(K97=130.5,"low",IF(K97=137.5,"high",IF(AND(K97&gt;130.5,K97&lt;137.5),"normal","up"))))</f>
        <v>normal</v>
      </c>
      <c r="D97" t="str">
        <f>IF(K97&lt;130.5,"down",IF(K97=130.5,"low",IF(K97=137.5,"high",IF(AND(K97&gt;130.5,K97&lt;137.5),"normal","up"))))</f>
        <v>normal</v>
      </c>
      <c r="E97" t="str">
        <f>IF(K97&lt;128,"down",IF(K97=128,"low",IF(K97=144,"high",IF(AND(K97&gt;128,K97&lt;144),"normal","up"))))</f>
        <v>normal</v>
      </c>
      <c r="F97" t="str">
        <f>IF(P97&lt;132,"PVP-down",IF(P97=132,132,IF(P97&gt;132,"PVP-up")))</f>
        <v>PVP-down</v>
      </c>
      <c r="G97" t="str">
        <f>IF(R97&lt;1644,"PVV-down",IF(R97=1644,1644,IF(R97&gt;1644,"PVV-up")))</f>
        <v>PVV-up</v>
      </c>
      <c r="H97" s="3">
        <f t="shared" si="1"/>
        <v>2.4374282299736483E-2</v>
      </c>
      <c r="I97">
        <f>[1]!'6278.PreviousPrice'</f>
        <v>132.5</v>
      </c>
      <c r="J97">
        <f>[1]!'6278.PreOpenPrice'</f>
        <v>130.5</v>
      </c>
      <c r="K97">
        <f>[1]!'6278.Open'</f>
        <v>132.5</v>
      </c>
      <c r="L97">
        <f>[1]!'6278.Change'</f>
        <v>-2</v>
      </c>
      <c r="M97">
        <f>[1]!'6278.ChangePercent'</f>
        <v>-1.5100000000000001E-2</v>
      </c>
      <c r="N97">
        <f>[1]!'6278.BidPrice'</f>
        <v>130.5</v>
      </c>
      <c r="O97">
        <f>[1]!'6278.AskPrice'</f>
        <v>131</v>
      </c>
      <c r="P97">
        <f>[1]!'6278.Price'</f>
        <v>130.5</v>
      </c>
      <c r="Q97">
        <f>[1]!'6278.Volume'</f>
        <v>302</v>
      </c>
      <c r="R97">
        <f>[1]!'6278.CumulativeVolume'</f>
        <v>7127</v>
      </c>
      <c r="S97">
        <f>[1]!'6278.PreviousVolume'</f>
        <v>8490</v>
      </c>
      <c r="T97" s="3">
        <f t="shared" si="2"/>
        <v>-1.509433962264151E-2</v>
      </c>
      <c r="U97" s="3">
        <f>((T97*AB97)*D4)</f>
        <v>-0.20640947326533748</v>
      </c>
      <c r="V97" s="5">
        <f t="shared" si="3"/>
        <v>39411000</v>
      </c>
      <c r="W97" s="5">
        <f t="shared" si="4"/>
        <v>0</v>
      </c>
      <c r="X97">
        <v>6278</v>
      </c>
      <c r="Y97" s="5">
        <v>2923983530</v>
      </c>
      <c r="Z97" s="3">
        <f>((D2*AB97)/P97)/10</f>
        <v>1.0571956122008504E-2</v>
      </c>
      <c r="AA97" s="3">
        <f>((M97*AB97)*D2)</f>
        <v>-0.20832568136223859</v>
      </c>
      <c r="AB97" s="3">
        <f>AE97/AE323</f>
        <v>1.0699862524601441E-3</v>
      </c>
      <c r="AC97" s="3">
        <f>AF97/AF323</f>
        <v>1.0762909429610902E-3</v>
      </c>
      <c r="AD97" s="5">
        <f t="shared" si="5"/>
        <v>38157985066.5</v>
      </c>
      <c r="AE97" s="5">
        <f t="shared" si="6"/>
        <v>38157985066.5</v>
      </c>
      <c r="AF97" s="5">
        <f t="shared" si="7"/>
        <v>38742781772.5</v>
      </c>
      <c r="AG97" t="str">
        <f t="shared" si="8"/>
        <v>DBM200</v>
      </c>
      <c r="AH97">
        <f t="shared" si="9"/>
        <v>0</v>
      </c>
      <c r="AI97">
        <f t="shared" si="10"/>
        <v>0</v>
      </c>
      <c r="AJ97">
        <f t="shared" si="11"/>
        <v>0</v>
      </c>
      <c r="AK97" t="str">
        <f>IF(Q97&lt;161,"down",IF(Q97=161,161,IF(Q97&gt;161,"up")))</f>
        <v>up</v>
      </c>
    </row>
    <row r="98" spans="1:37" x14ac:dyDescent="0.25">
      <c r="A98">
        <f>IF(X98=3443,3443,"Error")</f>
        <v>3443</v>
      </c>
      <c r="B98" t="str">
        <f>IF(K98&lt;300.5,"down",IF(K98=300.5,"low",IF(K98=311.5,"high",IF(AND(K98&gt;300.5,K98&lt;311.5),"normal","up"))))</f>
        <v>normal</v>
      </c>
      <c r="C98" t="str">
        <f>IF(K98&lt;300.5,"down",IF(K98=300.5,"low",IF(K98=311.5,"high",IF(AND(K98&gt;300.5,K98&lt;311.5),"normal","up"))))</f>
        <v>normal</v>
      </c>
      <c r="D98" t="str">
        <f>IF(K98&lt;300.5,"down",IF(K98=300.5,"low",IF(K98=311.5,"high",IF(AND(K98&gt;300.5,K98&lt;311.5),"normal","up"))))</f>
        <v>normal</v>
      </c>
      <c r="E98" t="str">
        <f>IF(K98&lt;294,"down",IF(K98=294,"low",IF(K98=322,"high",IF(AND(K98&gt;294,K98&lt;322),"normal","up"))))</f>
        <v>normal</v>
      </c>
      <c r="F98" t="str">
        <f>IF(P98&lt;301,"PVP-down",IF(P98=301,301,IF(P98&gt;301,"PVP-up")))</f>
        <v>PVP-up</v>
      </c>
      <c r="G98" t="str">
        <f>IF(R98&lt;264,"PVV-down",IF(R98=264,264,IF(R98&gt;264,"PVV-up")))</f>
        <v>PVV-up</v>
      </c>
      <c r="H98" s="3">
        <f t="shared" si="1"/>
        <v>1.3528648210978799E-2</v>
      </c>
      <c r="I98">
        <f>[1]!'3443.PreviousPrice'</f>
        <v>301</v>
      </c>
      <c r="J98">
        <f>[1]!'3443.PreOpenPrice'</f>
        <v>302.5</v>
      </c>
      <c r="K98">
        <f>[1]!'3443.Open'</f>
        <v>301</v>
      </c>
      <c r="L98">
        <f>[1]!'3443.Change'</f>
        <v>0.5</v>
      </c>
      <c r="M98">
        <f>[1]!'3443.ChangePercent'</f>
        <v>1.6999999999999999E-3</v>
      </c>
      <c r="N98">
        <f>[1]!'3443.BidPrice'</f>
        <v>301</v>
      </c>
      <c r="O98">
        <f>[1]!'3443.AskPrice'</f>
        <v>301.5</v>
      </c>
      <c r="P98">
        <f>[1]!'3443.Price'</f>
        <v>301.5</v>
      </c>
      <c r="Q98">
        <f>[1]!'3443.Volume'</f>
        <v>117</v>
      </c>
      <c r="R98">
        <f>[1]!'3443.CumulativeVolume'</f>
        <v>1813</v>
      </c>
      <c r="S98">
        <f>[1]!'3443.PreviousVolume'</f>
        <v>1928</v>
      </c>
      <c r="T98" s="3">
        <f t="shared" si="2"/>
        <v>1.6611295681063123E-3</v>
      </c>
      <c r="U98" s="3">
        <f>((T98*AB98)*D4)</f>
        <v>2.4052725776146075E-2</v>
      </c>
      <c r="V98" s="5">
        <f t="shared" si="3"/>
        <v>0</v>
      </c>
      <c r="W98" s="5">
        <f t="shared" si="4"/>
        <v>35275500</v>
      </c>
      <c r="X98">
        <v>3443</v>
      </c>
      <c r="Y98" s="5">
        <v>1340119110</v>
      </c>
      <c r="Z98" s="3">
        <f>((D2*AB98)/P98)/10</f>
        <v>4.8453352366130079E-3</v>
      </c>
      <c r="AA98" s="3">
        <f>((M98*AB98)*D2)</f>
        <v>2.4834765755259971E-2</v>
      </c>
      <c r="AB98" s="3">
        <f>AE98/AE323</f>
        <v>1.132983227732916E-3</v>
      </c>
      <c r="AC98" s="3">
        <f>AF98/AF323</f>
        <v>1.1205952602592127E-3</v>
      </c>
      <c r="AD98" s="5">
        <f t="shared" si="5"/>
        <v>40538603077.5</v>
      </c>
      <c r="AE98" s="5">
        <f t="shared" si="6"/>
        <v>40404591166.5</v>
      </c>
      <c r="AF98" s="5">
        <f t="shared" si="7"/>
        <v>40337585211</v>
      </c>
      <c r="AG98">
        <f t="shared" si="8"/>
        <v>0</v>
      </c>
      <c r="AH98">
        <f t="shared" si="9"/>
        <v>0</v>
      </c>
      <c r="AI98" t="str">
        <f t="shared" si="10"/>
        <v>UAM100</v>
      </c>
      <c r="AJ98">
        <f t="shared" si="11"/>
        <v>0</v>
      </c>
      <c r="AK98" t="str">
        <f>IF(Q98&lt;43,"down",IF(Q98=43,43,IF(Q98&gt;43,"up")))</f>
        <v>up</v>
      </c>
    </row>
    <row r="99" spans="1:37" x14ac:dyDescent="0.25">
      <c r="A99">
        <f>IF(X99=2404,2404,"Error")</f>
        <v>2404</v>
      </c>
      <c r="B99" t="str">
        <f>IF(K99&lt;209,"down",IF(K99=209,"low",IF(K99=213.5,"high",IF(AND(K99&gt;209,K99&lt;213.5),"normal","up"))))</f>
        <v>up</v>
      </c>
      <c r="C99" t="str">
        <f>IF(K99&lt;209,"down",IF(K99=209,"low",IF(K99=213.5,"high",IF(AND(K99&gt;209,K99&lt;213.5),"normal","up"))))</f>
        <v>up</v>
      </c>
      <c r="D99" t="str">
        <f>IF(K99&lt;209,"down",IF(K99=209,"low",IF(K99=213.5,"high",IF(AND(K99&gt;209,K99&lt;213.5),"normal","up"))))</f>
        <v>up</v>
      </c>
      <c r="E99" t="str">
        <f>IF(K99&lt;205,"down",IF(K99=205,"low",IF(K99=214,"high",IF(AND(K99&gt;205,K99&lt;214),"normal","up"))))</f>
        <v>up</v>
      </c>
      <c r="F99" t="str">
        <f>IF(P99&lt;211.5,"PVP-down",IF(P99=211.5,211.5,IF(P99&gt;211.5,"PVP-up")))</f>
        <v>PVP-down</v>
      </c>
      <c r="G99" t="str">
        <f>IF(R99&lt;598,"PVV-down",IF(R99=598,598,IF(R99&gt;598,"PVV-up")))</f>
        <v>PVV-up</v>
      </c>
      <c r="H99" s="3">
        <f t="shared" si="1"/>
        <v>1.449209220257334E-2</v>
      </c>
      <c r="I99">
        <f>[1]!'2404.PreviousPrice'</f>
        <v>213</v>
      </c>
      <c r="J99">
        <f>[1]!'2404.PreOpenPrice'</f>
        <v>209</v>
      </c>
      <c r="K99">
        <f>[1]!'2404.Open'</f>
        <v>215</v>
      </c>
      <c r="L99">
        <f>[1]!'2404.Change'</f>
        <v>-4</v>
      </c>
      <c r="M99">
        <f>[1]!'2404.ChangePercent'</f>
        <v>-1.8800000000000001E-2</v>
      </c>
      <c r="N99">
        <f>[1]!'2404.BidPrice'</f>
        <v>209</v>
      </c>
      <c r="O99">
        <f>[1]!'2404.AskPrice'</f>
        <v>210</v>
      </c>
      <c r="P99">
        <f>[1]!'2404.Price'</f>
        <v>209</v>
      </c>
      <c r="Q99">
        <f>[1]!'2404.Volume'</f>
        <v>82</v>
      </c>
      <c r="R99">
        <f>[1]!'2404.CumulativeVolume'</f>
        <v>2762</v>
      </c>
      <c r="S99">
        <f>[1]!'2404.PreviousVolume'</f>
        <v>2037</v>
      </c>
      <c r="T99" s="3">
        <f t="shared" si="2"/>
        <v>-2.7906976744186046E-2</v>
      </c>
      <c r="U99" s="3">
        <f>((T99*AB99)*D4)</f>
        <v>-0.39836551562967853</v>
      </c>
      <c r="V99" s="5">
        <f t="shared" si="3"/>
        <v>17138000</v>
      </c>
      <c r="W99" s="5">
        <f t="shared" si="4"/>
        <v>0</v>
      </c>
      <c r="X99">
        <v>2404</v>
      </c>
      <c r="Y99" s="5">
        <v>1905866980</v>
      </c>
      <c r="Z99" s="3">
        <f>((D2*AB99)/P99)/10</f>
        <v>6.8908534812933296E-3</v>
      </c>
      <c r="AA99" s="3">
        <f>((M99*AB99)*D2)</f>
        <v>-0.27075541498697753</v>
      </c>
      <c r="AB99" s="3">
        <f>AE99/AE323</f>
        <v>1.1169446080272266E-3</v>
      </c>
      <c r="AC99" s="3">
        <f>AF99/AF323</f>
        <v>1.1277454266860748E-3</v>
      </c>
      <c r="AD99" s="5">
        <f t="shared" si="5"/>
        <v>39832619882</v>
      </c>
      <c r="AE99" s="5">
        <f t="shared" si="6"/>
        <v>39832619882</v>
      </c>
      <c r="AF99" s="5">
        <f t="shared" si="7"/>
        <v>40594966674</v>
      </c>
      <c r="AG99" t="str">
        <f t="shared" si="8"/>
        <v>DBM50</v>
      </c>
      <c r="AH99">
        <f t="shared" si="9"/>
        <v>0</v>
      </c>
      <c r="AI99">
        <f t="shared" si="10"/>
        <v>0</v>
      </c>
      <c r="AJ99">
        <f t="shared" si="11"/>
        <v>0</v>
      </c>
      <c r="AK99" t="str">
        <f>IF(Q99&lt;11,"down",IF(Q99=11,11,IF(Q99&gt;11,"up")))</f>
        <v>up</v>
      </c>
    </row>
    <row r="100" spans="1:37" x14ac:dyDescent="0.25">
      <c r="A100">
        <f>IF(X100=3653,3653,"Error")</f>
        <v>3653</v>
      </c>
      <c r="B100" t="str">
        <f>IF(K100&lt;322,"down",IF(K100=322,"low",IF(K100=344,"high",IF(AND(K100&gt;322,K100&lt;344),"normal","up"))))</f>
        <v>normal</v>
      </c>
      <c r="C100" t="str">
        <f>IF(K100&lt;322,"down",IF(K100=322,"low",IF(K100=344,"high",IF(AND(K100&gt;322,K100&lt;344),"normal","up"))))</f>
        <v>normal</v>
      </c>
      <c r="D100" t="str">
        <f>IF(K100&lt;322,"down",IF(K100=322,"low",IF(K100=344,"high",IF(AND(K100&gt;322,K100&lt;344),"normal","up"))))</f>
        <v>normal</v>
      </c>
      <c r="E100" t="str">
        <f>IF(K100&lt;305,"down",IF(K100=305,"low",IF(K100=344.5,"high",IF(AND(K100&gt;305,K100&lt;344.5),"normal","up"))))</f>
        <v>normal</v>
      </c>
      <c r="F100" t="str">
        <f>IF(P100&lt;335,"PVP-down",IF(P100=335,335,IF(P100&gt;335,"PVP-up")))</f>
        <v>PVP-down</v>
      </c>
      <c r="G100" t="str">
        <f>IF(R100&lt;517,"PVV-down",IF(R100=517,517,IF(R100&gt;517,"PVV-up")))</f>
        <v>PVV-up</v>
      </c>
      <c r="H100" s="3">
        <f t="shared" si="1"/>
        <v>2.4589879073485747E-2</v>
      </c>
      <c r="I100">
        <f>[1]!'3653.PreviousPrice'</f>
        <v>337</v>
      </c>
      <c r="J100">
        <f>[1]!'3653.PreOpenPrice'</f>
        <v>313</v>
      </c>
      <c r="K100">
        <f>[1]!'3653.Open'</f>
        <v>337</v>
      </c>
      <c r="L100">
        <f>[1]!'3653.Change'</f>
        <v>-23</v>
      </c>
      <c r="M100">
        <f>[1]!'3653.ChangePercent'</f>
        <v>-6.8199999999999997E-2</v>
      </c>
      <c r="N100">
        <f>[1]!'3653.BidPrice'</f>
        <v>314</v>
      </c>
      <c r="O100">
        <f>[1]!'3653.AskPrice'</f>
        <v>314.5</v>
      </c>
      <c r="P100">
        <f>[1]!'3653.Price'</f>
        <v>314</v>
      </c>
      <c r="Q100">
        <f>[1]!'3653.Volume'</f>
        <v>163</v>
      </c>
      <c r="R100">
        <f>[1]!'3653.CumulativeVolume'</f>
        <v>2976</v>
      </c>
      <c r="S100">
        <f>[1]!'3653.PreviousVolume'</f>
        <v>4539</v>
      </c>
      <c r="T100" s="3">
        <f t="shared" si="2"/>
        <v>-6.8249258160237386E-2</v>
      </c>
      <c r="U100" s="3">
        <f>((T100*AB100)*D4)</f>
        <v>-0.9294674632991301</v>
      </c>
      <c r="V100" s="5">
        <f t="shared" si="3"/>
        <v>51182000</v>
      </c>
      <c r="W100" s="5">
        <f t="shared" si="4"/>
        <v>0</v>
      </c>
      <c r="X100">
        <v>3653</v>
      </c>
      <c r="Y100" s="5">
        <v>1210254020</v>
      </c>
      <c r="Z100" s="3">
        <f>((D2*AB100)/P100)/10</f>
        <v>4.3757949607617667E-3</v>
      </c>
      <c r="AA100" s="3">
        <f>((M100*AB100)*D2)</f>
        <v>-0.93706773925721076</v>
      </c>
      <c r="AB100" s="3">
        <f>AE100/AE323</f>
        <v>1.0656116160068208E-3</v>
      </c>
      <c r="AC100" s="3">
        <f>AF100/AF323</f>
        <v>1.1330402034506629E-3</v>
      </c>
      <c r="AD100" s="5">
        <f t="shared" si="5"/>
        <v>37880950826</v>
      </c>
      <c r="AE100" s="5">
        <f t="shared" si="6"/>
        <v>38001976228</v>
      </c>
      <c r="AF100" s="5">
        <f t="shared" si="7"/>
        <v>40785560474</v>
      </c>
      <c r="AG100" t="str">
        <f t="shared" si="8"/>
        <v>DBM150</v>
      </c>
      <c r="AH100">
        <f t="shared" si="9"/>
        <v>0</v>
      </c>
      <c r="AI100">
        <f t="shared" si="10"/>
        <v>0</v>
      </c>
      <c r="AJ100">
        <f t="shared" si="11"/>
        <v>0</v>
      </c>
      <c r="AK100" t="str">
        <f>IF(Q100&lt;106,"down",IF(Q100=106,106,IF(Q100&gt;106,"up")))</f>
        <v>up</v>
      </c>
    </row>
    <row r="101" spans="1:37" x14ac:dyDescent="0.25">
      <c r="A101">
        <f>IF(X101=3661,3661,"Error")</f>
        <v>3661</v>
      </c>
      <c r="B101" t="str">
        <f>IF(K101&lt;648,"down",IF(K101=648,"low",IF(K101=702,"high",IF(AND(K101&gt;648,K101&lt;702),"normal","up"))))</f>
        <v>normal</v>
      </c>
      <c r="C101" t="str">
        <f>IF(K101&lt;648,"down",IF(K101=648,"low",IF(K101=702,"high",IF(AND(K101&gt;648,K101&lt;702),"normal","up"))))</f>
        <v>normal</v>
      </c>
      <c r="D101" t="str">
        <f>IF(K101&lt;648,"down",IF(K101=648,"low",IF(K101=702,"high",IF(AND(K101&gt;648,K101&lt;702),"normal","up"))))</f>
        <v>normal</v>
      </c>
      <c r="E101" t="str">
        <f>IF(K101&lt;610,"down",IF(K101=610,"low",IF(K101=702,"high",IF(AND(K101&gt;610,K101&lt;702),"normal","up"))))</f>
        <v>normal</v>
      </c>
      <c r="F101" t="str">
        <f>IF(P101&lt;674,"PVP-down",IF(P101=674,674,IF(P101&gt;674,"PVP-up")))</f>
        <v>PVP-down</v>
      </c>
      <c r="G101" t="str">
        <f>IF(R101&lt;587,"PVV-down",IF(R101=587,587,IF(R101&gt;587,"PVV-up")))</f>
        <v>PVV-up</v>
      </c>
      <c r="H101" s="3">
        <f t="shared" si="1"/>
        <v>7.8522307435388169E-2</v>
      </c>
      <c r="I101">
        <f>[1]!'3661.PreviousPrice'</f>
        <v>674</v>
      </c>
      <c r="J101">
        <f>[1]!'3661.PreOpenPrice'</f>
        <v>655</v>
      </c>
      <c r="K101">
        <f>[1]!'3661.Open'</f>
        <v>672</v>
      </c>
      <c r="L101">
        <f>[1]!'3661.Change'</f>
        <v>-19</v>
      </c>
      <c r="M101">
        <f>[1]!'3661.ChangePercent'</f>
        <v>-2.8199999999999999E-2</v>
      </c>
      <c r="N101">
        <f>[1]!'3661.BidPrice'</f>
        <v>654</v>
      </c>
      <c r="O101">
        <f>[1]!'3661.AskPrice'</f>
        <v>655</v>
      </c>
      <c r="P101">
        <f>[1]!'3661.Price'</f>
        <v>655</v>
      </c>
      <c r="Q101">
        <f>[1]!'3661.Volume'</f>
        <v>341</v>
      </c>
      <c r="R101">
        <f>[1]!'3661.CumulativeVolume'</f>
        <v>4844</v>
      </c>
      <c r="S101">
        <f>[1]!'3661.PreviousVolume'</f>
        <v>6911</v>
      </c>
      <c r="T101" s="3">
        <f t="shared" si="2"/>
        <v>-2.5297619047619048E-2</v>
      </c>
      <c r="U101" s="3">
        <f>((T101*AB101)*D4)</f>
        <v>-0.36632124293243218</v>
      </c>
      <c r="V101" s="5">
        <f t="shared" si="3"/>
        <v>0</v>
      </c>
      <c r="W101" s="5">
        <f t="shared" si="4"/>
        <v>223355000</v>
      </c>
      <c r="X101">
        <v>3661</v>
      </c>
      <c r="Y101" s="5">
        <v>616894760</v>
      </c>
      <c r="Z101" s="3">
        <f>((D2*AB101)/P101)/10</f>
        <v>2.2304449623958612E-3</v>
      </c>
      <c r="AA101" s="3">
        <f>((M101*AB101)*D2)</f>
        <v>-0.41198548900413945</v>
      </c>
      <c r="AB101" s="3">
        <f>AE101/AE323</f>
        <v>1.1330397474556297E-3</v>
      </c>
      <c r="AC101" s="3">
        <f>AF101/AF323</f>
        <v>1.1550741461334669E-3</v>
      </c>
      <c r="AD101" s="5">
        <f t="shared" si="5"/>
        <v>40406606780</v>
      </c>
      <c r="AE101" s="5">
        <f t="shared" si="6"/>
        <v>40406606780</v>
      </c>
      <c r="AF101" s="5">
        <f t="shared" si="7"/>
        <v>41578706824</v>
      </c>
      <c r="AG101">
        <f t="shared" si="8"/>
        <v>0</v>
      </c>
      <c r="AH101" t="str">
        <f t="shared" si="9"/>
        <v>DAM200</v>
      </c>
      <c r="AI101">
        <f t="shared" si="10"/>
        <v>0</v>
      </c>
      <c r="AJ101">
        <f t="shared" si="11"/>
        <v>0</v>
      </c>
      <c r="AK101" t="str">
        <f>IF(Q101&lt;88,"down",IF(Q101=88,88,IF(Q101&gt;88,"up")))</f>
        <v>up</v>
      </c>
    </row>
    <row r="102" spans="1:37" x14ac:dyDescent="0.25">
      <c r="A102">
        <f>IF(X102=3706,3706,"Error")</f>
        <v>3706</v>
      </c>
      <c r="B102" t="str">
        <f>IF(K102&lt;29.2,"down",IF(K102=29.2,"low",IF(K102=29.4,"high",IF(AND(K102&gt;29.2,K102&lt;29.4),"normal","up"))))</f>
        <v>high</v>
      </c>
      <c r="C102" t="str">
        <f>IF(K102&lt;29.2,"down",IF(K102=29.2,"low",IF(K102=29.4,"high",IF(AND(K102&gt;29.2,K102&lt;29.4),"normal","up"))))</f>
        <v>high</v>
      </c>
      <c r="D102" t="str">
        <f>IF(K102&lt;29.2,"down",IF(K102=29.2,"low",IF(K102=29.4,"high",IF(AND(K102&gt;29.2,K102&lt;29.4),"normal","up"))))</f>
        <v>high</v>
      </c>
      <c r="E102" t="str">
        <f>IF(K102&lt;29.1,"down",IF(K102=29.1,"low",IF(K102=29.65,"high",IF(AND(K102&gt;29.1,K102&lt;29.65),"normal","up"))))</f>
        <v>normal</v>
      </c>
      <c r="F102" t="str">
        <f>IF(P102&lt;29.3,"PVP-down",IF(P102=29.3,29.3,IF(P102&gt;29.3,"PVP-up")))</f>
        <v>PVP-up</v>
      </c>
      <c r="G102" t="str">
        <f>IF(R102&lt;1205,"PVV-down",IF(R102=1205,1205,IF(R102&gt;1205,"PVV-up")))</f>
        <v>PVV-up</v>
      </c>
      <c r="H102" s="3">
        <f t="shared" ref="H102:H165" si="12">R102/(Y102/10000)</f>
        <v>2.8014926705688093E-3</v>
      </c>
      <c r="I102">
        <f>[1]!'3706.PreviousPrice'</f>
        <v>29.35</v>
      </c>
      <c r="J102">
        <f>[1]!'3706.PreOpenPrice'</f>
        <v>29.35</v>
      </c>
      <c r="K102">
        <f>[1]!'3706.Open'</f>
        <v>29.4</v>
      </c>
      <c r="L102">
        <f>[1]!'3706.Change'</f>
        <v>0.05</v>
      </c>
      <c r="M102">
        <f>[1]!'3706.ChangePercent'</f>
        <v>1.6999999999999999E-3</v>
      </c>
      <c r="N102">
        <f>[1]!'3706.BidPrice'</f>
        <v>29.35</v>
      </c>
      <c r="O102">
        <f>[1]!'3706.AskPrice'</f>
        <v>29.4</v>
      </c>
      <c r="P102">
        <f>[1]!'3706.Price'</f>
        <v>29.4</v>
      </c>
      <c r="Q102">
        <f>[1]!'3706.Volume'</f>
        <v>109</v>
      </c>
      <c r="R102">
        <f>[1]!'3706.CumulativeVolume'</f>
        <v>3018</v>
      </c>
      <c r="S102">
        <f>[1]!'3706.PreviousVolume'</f>
        <v>2244</v>
      </c>
      <c r="T102" s="3">
        <f t="shared" ref="T102:T165" si="13">((P102-K102)/K102)</f>
        <v>0</v>
      </c>
      <c r="U102" s="3">
        <f>((T102*AB102)*D4)</f>
        <v>0</v>
      </c>
      <c r="V102" s="5">
        <f t="shared" ref="V102:V165" si="14">IF(P102&lt;=N102,(P102*Q102*1000),0)</f>
        <v>0</v>
      </c>
      <c r="W102" s="5">
        <f t="shared" ref="W102:W165" si="15">IF(P102&gt;=O102,(P102*Q102*1000),0)</f>
        <v>3204600</v>
      </c>
      <c r="X102">
        <v>3706</v>
      </c>
      <c r="Y102" s="5">
        <v>10772828470</v>
      </c>
      <c r="Z102" s="3">
        <f>((D2*AB102)/P102)/10</f>
        <v>3.8950243298656345E-2</v>
      </c>
      <c r="AA102" s="3">
        <f>((M102*AB102)*D2)</f>
        <v>1.946733160066844E-2</v>
      </c>
      <c r="AB102" s="3">
        <f>AE102/AE323</f>
        <v>8.8811629671203384E-4</v>
      </c>
      <c r="AC102" s="3">
        <f>AF102/AF323</f>
        <v>8.7836846578364541E-4</v>
      </c>
      <c r="AD102" s="5">
        <f t="shared" ref="AD102:AD165" si="16">IF(ISNA(J102),(I102*Y102)/10,(J102*Y102)/10)</f>
        <v>31618251559.450001</v>
      </c>
      <c r="AE102" s="5">
        <f t="shared" ref="AE102:AE165" si="17">IF(ISNA(P102),(I102*Y102)/10,(P102*Y102)/10)</f>
        <v>31672115701.799999</v>
      </c>
      <c r="AF102" s="5">
        <f t="shared" ref="AF102:AF165" si="18">(I102*Y102)/10</f>
        <v>31618251559.450001</v>
      </c>
      <c r="AG102">
        <f t="shared" ref="AG102:AG165" si="19">IF(AND(P102&lt;=N102,L102&lt;0),IF(Q102&lt;10,"DBL10",IF(Q102&gt;=200,"DBM200",IF(Q102&gt;=150,"DBM150",IF(Q102&gt;=100,"DBM100",IF(Q102&gt;=50,"DBM50","DBM10-50"))))),0)</f>
        <v>0</v>
      </c>
      <c r="AH102">
        <f t="shared" ref="AH102:AH165" si="20">IF(AND(P102&gt;=O102,L102&lt;0),IF(Q102&lt;10,"DAL10",IF(Q102&gt;=200,"DAM200",IF(Q102&gt;=150,"DAM150",IF(Q102&gt;=100,"DAM100",IF(Q102&gt;=50,"DAM50","DAM10-50"))))),0)</f>
        <v>0</v>
      </c>
      <c r="AI102" t="str">
        <f t="shared" ref="AI102:AI165" si="21">IF(AND(P102&gt;=O102,L102&gt;0),IF(Q102&lt;10,"UAL10",IF(Q102&gt;=200,"UAM200",IF(Q102&gt;=150,"UAM150",IF(Q102&gt;=100,"UAM100",IF(Q102&gt;=50,"UAM50","UAM10-50"))))),0)</f>
        <v>UAM100</v>
      </c>
      <c r="AJ102">
        <f t="shared" ref="AJ102:AJ165" si="22">IF(AND(P102&lt;=N102,L102&gt;0),IF(Q102&lt;10,"UBL10",IF(Q102&gt;=200,"UBM200",IF(Q102&gt;=150,"UBM150",IF(Q102&gt;=100,"UBM100",IF(Q102&gt;=50,"UBM50","UBM10-50"))))),0)</f>
        <v>0</v>
      </c>
      <c r="AK102" t="str">
        <f>IF(Q102&lt;69,"down",IF(Q102=69,69,IF(Q102&gt;69,"up")))</f>
        <v>up</v>
      </c>
    </row>
    <row r="103" spans="1:37" x14ac:dyDescent="0.25">
      <c r="A103">
        <f>IF(X103=3189,3189,"Error")</f>
        <v>3189</v>
      </c>
      <c r="B103" t="str">
        <f>IF(K103&lt;81.1,"down",IF(K103=81.1,"low",IF(K103=84.6,"high",IF(AND(K103&gt;81.1,K103&lt;84.6),"normal","up"))))</f>
        <v>normal</v>
      </c>
      <c r="C103" t="str">
        <f>IF(K103&lt;81.1,"down",IF(K103=81.1,"low",IF(K103=84.6,"high",IF(AND(K103&gt;81.1,K103&lt;84.6),"normal","up"))))</f>
        <v>normal</v>
      </c>
      <c r="D103" t="str">
        <f>IF(K103&lt;81.1,"down",IF(K103=81.1,"low",IF(K103=84.6,"high",IF(AND(K103&gt;81.1,K103&lt;84.6),"normal","up"))))</f>
        <v>normal</v>
      </c>
      <c r="E103" t="str">
        <f>IF(K103&lt;76,"down",IF(K103=76,"low",IF(K103=84.6,"high",IF(AND(K103&gt;76,K103&lt;84.6),"normal","up"))))</f>
        <v>normal</v>
      </c>
      <c r="F103" t="str">
        <f>IF(P103&lt;84,"PVP-down",IF(P103=84,84,IF(P103&gt;84,"PVP-up")))</f>
        <v>PVP-down</v>
      </c>
      <c r="G103" t="str">
        <f>IF(R103&lt;1570,"PVV-down",IF(R103=1570,1570,IF(R103&gt;1570,"PVV-up")))</f>
        <v>PVV-up</v>
      </c>
      <c r="H103" s="3">
        <f t="shared" si="12"/>
        <v>5.3300486359730469E-2</v>
      </c>
      <c r="I103">
        <f>[1]!'3189.PreviousPrice'</f>
        <v>82.6</v>
      </c>
      <c r="J103">
        <f>[1]!'3189.PreOpenPrice'</f>
        <v>82.5</v>
      </c>
      <c r="K103">
        <f>[1]!'3189.Open'</f>
        <v>83.6</v>
      </c>
      <c r="L103">
        <f>[1]!'3189.Change'</f>
        <v>-0.1</v>
      </c>
      <c r="M103">
        <f>[1]!'3189.ChangePercent'</f>
        <v>-1.1999999999999999E-3</v>
      </c>
      <c r="N103">
        <f>[1]!'3189.BidPrice'</f>
        <v>82.5</v>
      </c>
      <c r="O103">
        <f>[1]!'3189.AskPrice'</f>
        <v>82.6</v>
      </c>
      <c r="P103">
        <f>[1]!'3189.Price'</f>
        <v>82.5</v>
      </c>
      <c r="Q103">
        <f>[1]!'3189.Volume'</f>
        <v>582</v>
      </c>
      <c r="R103">
        <f>[1]!'3189.CumulativeVolume'</f>
        <v>24034</v>
      </c>
      <c r="S103">
        <f>[1]!'3189.PreviousVolume'</f>
        <v>14307</v>
      </c>
      <c r="T103" s="3">
        <f t="shared" si="13"/>
        <v>-1.3157894736842039E-2</v>
      </c>
      <c r="U103" s="3">
        <f>((T103*AB103)*D4)</f>
        <v>-0.17541442962992071</v>
      </c>
      <c r="V103" s="5">
        <f t="shared" si="14"/>
        <v>48015000</v>
      </c>
      <c r="W103" s="5">
        <f t="shared" si="15"/>
        <v>0</v>
      </c>
      <c r="X103">
        <v>3189</v>
      </c>
      <c r="Y103" s="5">
        <v>4509152100</v>
      </c>
      <c r="Z103" s="3">
        <f>((D2*AB103)/P103)/10</f>
        <v>1.6303292292710863E-2</v>
      </c>
      <c r="AA103" s="3">
        <f>((M103*AB103)*D2)</f>
        <v>-1.6140259369783756E-2</v>
      </c>
      <c r="AB103" s="3">
        <f>AE103/AE323</f>
        <v>1.0431375943451577E-3</v>
      </c>
      <c r="AC103" s="3">
        <f>AF103/AF323</f>
        <v>1.0346984955230728E-3</v>
      </c>
      <c r="AD103" s="5">
        <f t="shared" si="16"/>
        <v>37200504825</v>
      </c>
      <c r="AE103" s="5">
        <f t="shared" si="17"/>
        <v>37200504825</v>
      </c>
      <c r="AF103" s="5">
        <f t="shared" si="18"/>
        <v>37245596346</v>
      </c>
      <c r="AG103" t="str">
        <f t="shared" si="19"/>
        <v>DBM200</v>
      </c>
      <c r="AH103">
        <f t="shared" si="20"/>
        <v>0</v>
      </c>
      <c r="AI103">
        <f t="shared" si="21"/>
        <v>0</v>
      </c>
      <c r="AJ103">
        <f t="shared" si="22"/>
        <v>0</v>
      </c>
      <c r="AK103" t="str">
        <f>IF(Q103&lt;128,"down",IF(Q103=128,128,IF(Q103&gt;128,"up")))</f>
        <v>up</v>
      </c>
    </row>
    <row r="104" spans="1:37" x14ac:dyDescent="0.25">
      <c r="A104">
        <f>IF(X104=6271,6271,"Error")</f>
        <v>6271</v>
      </c>
      <c r="B104" t="str">
        <f>IF(K104&lt;142,"down",IF(K104=142,"low",IF(K104=146,"high",IF(AND(K104&gt;142,K104&lt;146),"normal","up"))))</f>
        <v>normal</v>
      </c>
      <c r="C104" t="str">
        <f>IF(K104&lt;142,"down",IF(K104=142,"low",IF(K104=146,"high",IF(AND(K104&gt;142,K104&lt;146),"normal","up"))))</f>
        <v>normal</v>
      </c>
      <c r="D104" t="str">
        <f>IF(K104&lt;142,"down",IF(K104=142,"low",IF(K104=146,"high",IF(AND(K104&gt;142,K104&lt;146),"normal","up"))))</f>
        <v>normal</v>
      </c>
      <c r="E104" t="str">
        <f>IF(K104&lt;138,"down",IF(K104=138,"low",IF(K104=146,"high",IF(AND(K104&gt;138,K104&lt;146),"normal","up"))))</f>
        <v>normal</v>
      </c>
      <c r="F104" t="str">
        <f>IF(P104&lt;143,"PVP-down",IF(P104=143,143,IF(P104&gt;143,"PVP-up")))</f>
        <v>PVP-down</v>
      </c>
      <c r="G104" t="str">
        <f>IF(R104&lt;946,"PVV-down",IF(R104=946,946,IF(R104&gt;946,"PVV-up")))</f>
        <v>PVV-up</v>
      </c>
      <c r="H104" s="3">
        <f t="shared" si="12"/>
        <v>1.0792420183281071E-2</v>
      </c>
      <c r="I104">
        <f>[1]!'6271.PreviousPrice'</f>
        <v>142</v>
      </c>
      <c r="J104">
        <f>[1]!'6271.PreOpenPrice'</f>
        <v>142</v>
      </c>
      <c r="K104">
        <f>[1]!'6271.Open'</f>
        <v>142.5</v>
      </c>
      <c r="L104">
        <f>[1]!'6271.Change'</f>
        <v>0</v>
      </c>
      <c r="M104">
        <f>[1]!'6271.ChangePercent'</f>
        <v>0</v>
      </c>
      <c r="N104">
        <f>[1]!'6271.BidPrice'</f>
        <v>142</v>
      </c>
      <c r="O104">
        <f>[1]!'6271.AskPrice'</f>
        <v>142.5</v>
      </c>
      <c r="P104">
        <f>[1]!'6271.Price'</f>
        <v>142</v>
      </c>
      <c r="Q104">
        <f>[1]!'6271.Volume'</f>
        <v>155</v>
      </c>
      <c r="R104">
        <f>[1]!'6271.CumulativeVolume'</f>
        <v>2554</v>
      </c>
      <c r="S104">
        <f>[1]!'6271.PreviousVolume'</f>
        <v>5058</v>
      </c>
      <c r="T104" s="3">
        <f t="shared" si="13"/>
        <v>-3.5087719298245615E-3</v>
      </c>
      <c r="U104" s="3">
        <f>((T104*AB104)*D4)</f>
        <v>-4.2254756788421888E-2</v>
      </c>
      <c r="V104" s="5">
        <f t="shared" si="14"/>
        <v>22010000</v>
      </c>
      <c r="W104" s="5">
        <f t="shared" si="15"/>
        <v>0</v>
      </c>
      <c r="X104">
        <v>6271</v>
      </c>
      <c r="Y104" s="5">
        <v>2366475690</v>
      </c>
      <c r="Z104" s="3">
        <f>((D2*AB104)/P104)/10</f>
        <v>8.5562305333777983E-3</v>
      </c>
      <c r="AA104" s="3">
        <f>((M104*AB104)*D2)</f>
        <v>0</v>
      </c>
      <c r="AB104" s="3">
        <f>AE104/AE323</f>
        <v>9.4228690533554175E-4</v>
      </c>
      <c r="AC104" s="3">
        <f>AF104/AF323</f>
        <v>9.3353214565592725E-4</v>
      </c>
      <c r="AD104" s="5">
        <f t="shared" si="16"/>
        <v>33603954798</v>
      </c>
      <c r="AE104" s="5">
        <f t="shared" si="17"/>
        <v>33603954798</v>
      </c>
      <c r="AF104" s="5">
        <f t="shared" si="18"/>
        <v>33603954798</v>
      </c>
      <c r="AG104">
        <f t="shared" si="19"/>
        <v>0</v>
      </c>
      <c r="AH104">
        <f t="shared" si="20"/>
        <v>0</v>
      </c>
      <c r="AI104">
        <f t="shared" si="21"/>
        <v>0</v>
      </c>
      <c r="AJ104">
        <f t="shared" si="22"/>
        <v>0</v>
      </c>
      <c r="AK104" t="str">
        <f>IF(Q104&lt;388,"down",IF(Q104=388,388,IF(Q104&gt;388,"up")))</f>
        <v>down</v>
      </c>
    </row>
    <row r="105" spans="1:37" x14ac:dyDescent="0.25">
      <c r="A105">
        <f>IF(X105=2439,2439,"Error")</f>
        <v>2439</v>
      </c>
      <c r="B105" t="str">
        <f>IF(K105&lt;162,"down",IF(K105=162,"low",IF(K105=168.5,"high",IF(AND(K105&gt;162,K105&lt;168.5),"normal","up"))))</f>
        <v>normal</v>
      </c>
      <c r="C105" t="str">
        <f>IF(K105&lt;162,"down",IF(K105=162,"low",IF(K105=168.5,"high",IF(AND(K105&gt;162,K105&lt;168.5),"normal","up"))))</f>
        <v>normal</v>
      </c>
      <c r="D105" t="str">
        <f>IF(K105&lt;162,"down",IF(K105=162,"low",IF(K105=168.5,"high",IF(AND(K105&gt;162,K105&lt;168.5),"normal","up"))))</f>
        <v>normal</v>
      </c>
      <c r="E105" t="str">
        <f>IF(K105&lt;159,"down",IF(K105=159,"low",IF(K105=172,"high",IF(AND(K105&gt;159,K105&lt;172),"normal","up"))))</f>
        <v>normal</v>
      </c>
      <c r="F105" t="str">
        <f>IF(P105&lt;162.5,"PVP-down",IF(P105=162.5,162.5,IF(P105&gt;162.5,"PVP-up")))</f>
        <v>PVP-up</v>
      </c>
      <c r="G105" t="str">
        <f>IF(R105&lt;910,"PVV-down",IF(R105=910,910,IF(R105&gt;910,"PVV-up")))</f>
        <v>PVV-up</v>
      </c>
      <c r="H105" s="3">
        <f t="shared" si="12"/>
        <v>1.9494565217677864E-2</v>
      </c>
      <c r="I105">
        <f>[1]!'2439.PreviousPrice'</f>
        <v>162.5</v>
      </c>
      <c r="J105">
        <f>[1]!'2439.PreOpenPrice'</f>
        <v>165</v>
      </c>
      <c r="K105">
        <f>[1]!'2439.Open'</f>
        <v>163.5</v>
      </c>
      <c r="L105">
        <f>[1]!'2439.Change'</f>
        <v>2.5</v>
      </c>
      <c r="M105">
        <f>[1]!'2439.ChangePercent'</f>
        <v>1.54E-2</v>
      </c>
      <c r="N105">
        <f>[1]!'2439.BidPrice'</f>
        <v>164.5</v>
      </c>
      <c r="O105">
        <f>[1]!'2439.AskPrice'</f>
        <v>165</v>
      </c>
      <c r="P105">
        <f>[1]!'2439.Price'</f>
        <v>165</v>
      </c>
      <c r="Q105">
        <f>[1]!'2439.Volume'</f>
        <v>146</v>
      </c>
      <c r="R105">
        <f>[1]!'2439.CumulativeVolume'</f>
        <v>4067</v>
      </c>
      <c r="S105">
        <f>[1]!'2439.PreviousVolume'</f>
        <v>3776</v>
      </c>
      <c r="T105" s="3">
        <f t="shared" si="13"/>
        <v>9.1743119266055051E-3</v>
      </c>
      <c r="U105" s="3">
        <f>((T105*AB105)*D4)</f>
        <v>0.11317438403711085</v>
      </c>
      <c r="V105" s="5">
        <f t="shared" si="14"/>
        <v>0</v>
      </c>
      <c r="W105" s="5">
        <f t="shared" si="15"/>
        <v>24090000</v>
      </c>
      <c r="X105">
        <v>2439</v>
      </c>
      <c r="Y105" s="5">
        <v>2086222470</v>
      </c>
      <c r="Z105" s="3">
        <f>((D2*AB105)/P105)/10</f>
        <v>7.5429468693307602E-3</v>
      </c>
      <c r="AA105" s="3">
        <f>((M105*AB105)*D2)</f>
        <v>0.19166627994969462</v>
      </c>
      <c r="AB105" s="3">
        <f>AE105/AE323</f>
        <v>9.6524448071938528E-4</v>
      </c>
      <c r="AC105" s="3">
        <f>AF105/AF323</f>
        <v>9.4178738617761108E-4</v>
      </c>
      <c r="AD105" s="5">
        <f t="shared" si="16"/>
        <v>34422670755</v>
      </c>
      <c r="AE105" s="5">
        <f t="shared" si="17"/>
        <v>34422670755</v>
      </c>
      <c r="AF105" s="5">
        <f t="shared" si="18"/>
        <v>33901115137.5</v>
      </c>
      <c r="AG105">
        <f t="shared" si="19"/>
        <v>0</v>
      </c>
      <c r="AH105">
        <f t="shared" si="20"/>
        <v>0</v>
      </c>
      <c r="AI105" t="str">
        <f t="shared" si="21"/>
        <v>UAM100</v>
      </c>
      <c r="AJ105">
        <f t="shared" si="22"/>
        <v>0</v>
      </c>
      <c r="AK105" t="str">
        <f>IF(Q105&lt;104,"down",IF(Q105=104,104,IF(Q105&gt;104,"up")))</f>
        <v>up</v>
      </c>
    </row>
    <row r="106" spans="1:37" x14ac:dyDescent="0.25">
      <c r="A106">
        <f>IF(X106=2352,2352,"Error")</f>
        <v>2352</v>
      </c>
      <c r="B106" t="str">
        <f>IF(K106&lt;17.8,"down",IF(K106=17.8,"low",IF(K106=18.35,"high",IF(AND(K106&gt;17.8,K106&lt;18.35),"normal","up"))))</f>
        <v>up</v>
      </c>
      <c r="C106" t="str">
        <f>IF(K106&lt;17.8,"down",IF(K106=17.8,"low",IF(K106=18.35,"high",IF(AND(K106&gt;17.8,K106&lt;18.35),"normal","up"))))</f>
        <v>up</v>
      </c>
      <c r="D106" t="str">
        <f>IF(K106&lt;17.8,"down",IF(K106=17.8,"low",IF(K106=18.35,"high",IF(AND(K106&gt;17.8,K106&lt;18.35),"normal","up"))))</f>
        <v>up</v>
      </c>
      <c r="E106" t="str">
        <f>IF(K106&lt;16.65,"down",IF(K106=16.65,"low",IF(K106=18.35,"high",IF(AND(K106&gt;16.65,K106&lt;18.35),"normal","up"))))</f>
        <v>up</v>
      </c>
      <c r="F106" t="str">
        <f>IF(P106&lt;18.3,"PVP-down",IF(P106=18.3,18.3,IF(P106&gt;18.3,"PVP-up")))</f>
        <v>PVP-down</v>
      </c>
      <c r="G106" t="str">
        <f>IF(R106&lt;3204,"PVV-down",IF(R106=3204,3204,IF(R106&gt;3204,"PVV-up")))</f>
        <v>PVV-up</v>
      </c>
      <c r="H106" s="3">
        <f t="shared" si="12"/>
        <v>2.8289866995007281E-3</v>
      </c>
      <c r="I106">
        <f>[1]!'2352.PreviousPrice'</f>
        <v>18.25</v>
      </c>
      <c r="J106">
        <f>[1]!'2352.PreOpenPrice'</f>
        <v>18.05</v>
      </c>
      <c r="K106">
        <f>[1]!'2352.Open'</f>
        <v>18.399999999999999</v>
      </c>
      <c r="L106">
        <f>[1]!'2352.Change'</f>
        <v>-0.2</v>
      </c>
      <c r="M106">
        <f>[1]!'2352.ChangePercent'</f>
        <v>-1.0999999999999999E-2</v>
      </c>
      <c r="N106">
        <f>[1]!'2352.BidPrice'</f>
        <v>18.05</v>
      </c>
      <c r="O106">
        <f>[1]!'2352.AskPrice'</f>
        <v>18.100000000000001</v>
      </c>
      <c r="P106">
        <f>[1]!'2352.Price'</f>
        <v>18.05</v>
      </c>
      <c r="Q106">
        <f>[1]!'2352.Volume'</f>
        <v>133</v>
      </c>
      <c r="R106">
        <f>[1]!'2352.CumulativeVolume'</f>
        <v>5564</v>
      </c>
      <c r="S106">
        <f>[1]!'2352.PreviousVolume'</f>
        <v>12528</v>
      </c>
      <c r="T106" s="3">
        <f t="shared" si="13"/>
        <v>-1.9021739130434669E-2</v>
      </c>
      <c r="U106" s="3">
        <f>((T106*AB106)*D4)</f>
        <v>-0.24199908156919633</v>
      </c>
      <c r="V106" s="5">
        <f t="shared" si="14"/>
        <v>2400650</v>
      </c>
      <c r="W106" s="5">
        <f t="shared" si="15"/>
        <v>0</v>
      </c>
      <c r="X106">
        <v>2352</v>
      </c>
      <c r="Y106" s="5">
        <v>19667819580</v>
      </c>
      <c r="Z106" s="3">
        <f>((D2*AB106)/P106)/10</f>
        <v>7.1110977022274729E-2</v>
      </c>
      <c r="AA106" s="3">
        <f>((M106*AB106)*D2)</f>
        <v>-0.14119084487772648</v>
      </c>
      <c r="AB106" s="3">
        <f>AE106/AE323</f>
        <v>9.9546543760823552E-4</v>
      </c>
      <c r="AC106" s="3">
        <f>AF106/AF323</f>
        <v>9.9714420549454103E-4</v>
      </c>
      <c r="AD106" s="5">
        <f t="shared" si="16"/>
        <v>35500414341.900002</v>
      </c>
      <c r="AE106" s="5">
        <f t="shared" si="17"/>
        <v>35500414341.900002</v>
      </c>
      <c r="AF106" s="5">
        <f t="shared" si="18"/>
        <v>35893770733.5</v>
      </c>
      <c r="AG106" t="str">
        <f t="shared" si="19"/>
        <v>DBM100</v>
      </c>
      <c r="AH106">
        <f t="shared" si="20"/>
        <v>0</v>
      </c>
      <c r="AI106">
        <f t="shared" si="21"/>
        <v>0</v>
      </c>
      <c r="AJ106">
        <f t="shared" si="22"/>
        <v>0</v>
      </c>
      <c r="AK106" t="str">
        <f>IF(Q106&lt;471,"down",IF(Q106=471,471,IF(Q106&gt;471,"up")))</f>
        <v>down</v>
      </c>
    </row>
    <row r="107" spans="1:37" x14ac:dyDescent="0.25">
      <c r="A107">
        <f>IF(X107=6531,6531,"Error")</f>
        <v>6531</v>
      </c>
      <c r="B107" t="str">
        <f>IF(K107&lt;429,"down",IF(K107=429,"low",IF(K107=461.5,"high",IF(AND(K107&gt;429,K107&lt;461.5),"normal","up"))))</f>
        <v>normal</v>
      </c>
      <c r="C107" t="str">
        <f>IF(K107&lt;429,"down",IF(K107=429,"low",IF(K107=461.5,"high",IF(AND(K107&gt;429,K107&lt;461.5),"normal","up"))))</f>
        <v>normal</v>
      </c>
      <c r="D107" t="str">
        <f>IF(K107&lt;429,"down",IF(K107=429,"low",IF(K107=461.5,"high",IF(AND(K107&gt;429,K107&lt;461.5),"normal","up"))))</f>
        <v>normal</v>
      </c>
      <c r="E107" t="str">
        <f>IF(K107&lt;429,"down",IF(K107=429,"low",IF(K107=488,"high",IF(AND(K107&gt;429,K107&lt;488),"normal","up"))))</f>
        <v>normal</v>
      </c>
      <c r="F107" t="str">
        <f>IF(P107&lt;436.5,"PVP-down",IF(P107=436.5,436.5,IF(P107&gt;436.5,"PVP-up")))</f>
        <v>PVP-down</v>
      </c>
      <c r="G107" t="str">
        <f>IF(R107&lt;177,"PVV-down",IF(R107=177,177,IF(R107&gt;177,"PVV-up")))</f>
        <v>PVV-up</v>
      </c>
      <c r="H107" s="3">
        <f t="shared" si="12"/>
        <v>5.4733846830676967E-2</v>
      </c>
      <c r="I107">
        <f>[1]!'6531.PreviousPrice'</f>
        <v>436.5</v>
      </c>
      <c r="J107">
        <f>[1]!'6531.PreOpenPrice'</f>
        <v>392</v>
      </c>
      <c r="K107">
        <f>[1]!'6531.Open'</f>
        <v>435.5</v>
      </c>
      <c r="L107">
        <f>[1]!'6531.Change'</f>
        <v>-43.5</v>
      </c>
      <c r="M107">
        <f>[1]!'6531.ChangePercent'</f>
        <v>-9.9900000000000003E-2</v>
      </c>
      <c r="N107">
        <f>[1]!'6531.BidPrice'</f>
        <v>392</v>
      </c>
      <c r="O107">
        <f>[1]!'6531.AskPrice'</f>
        <v>392</v>
      </c>
      <c r="P107">
        <f>[1]!'6531.Price'</f>
        <v>392</v>
      </c>
      <c r="Q107">
        <f>[1]!'6531.Volume'</f>
        <v>11</v>
      </c>
      <c r="R107">
        <f>[1]!'6531.CumulativeVolume'</f>
        <v>4047</v>
      </c>
      <c r="S107">
        <f>[1]!'6531.PreviousVolume'</f>
        <v>2257</v>
      </c>
      <c r="T107" s="3">
        <f t="shared" si="13"/>
        <v>-9.9885189437428246E-2</v>
      </c>
      <c r="U107" s="3">
        <f>((T107*AB107)*D4)</f>
        <v>-1.0375152071128664</v>
      </c>
      <c r="V107" s="5">
        <f t="shared" si="14"/>
        <v>4312000</v>
      </c>
      <c r="W107" s="5">
        <f t="shared" si="15"/>
        <v>4312000</v>
      </c>
      <c r="X107">
        <v>6531</v>
      </c>
      <c r="Y107" s="5">
        <v>739396230</v>
      </c>
      <c r="Z107" s="3">
        <f>((D2*AB107)/P107)/10</f>
        <v>2.6733613305744263E-3</v>
      </c>
      <c r="AA107" s="3">
        <f>((M107*AB107)*D2)</f>
        <v>-1.0469096839435901</v>
      </c>
      <c r="AB107" s="3">
        <f>AE107/AE323</f>
        <v>8.1274828725389728E-4</v>
      </c>
      <c r="AC107" s="3">
        <f>AF107/AF323</f>
        <v>8.9660336673271358E-4</v>
      </c>
      <c r="AD107" s="5">
        <f t="shared" si="16"/>
        <v>28984332216</v>
      </c>
      <c r="AE107" s="5">
        <f t="shared" si="17"/>
        <v>28984332216</v>
      </c>
      <c r="AF107" s="5">
        <f t="shared" si="18"/>
        <v>32274645439.5</v>
      </c>
      <c r="AG107" t="str">
        <f t="shared" si="19"/>
        <v>DBM10-50</v>
      </c>
      <c r="AH107" t="str">
        <f t="shared" si="20"/>
        <v>DAM10-50</v>
      </c>
      <c r="AI107">
        <f t="shared" si="21"/>
        <v>0</v>
      </c>
      <c r="AJ107">
        <f t="shared" si="22"/>
        <v>0</v>
      </c>
      <c r="AK107" t="str">
        <f>IF(Q107&lt;105,"down",IF(Q107=105,105,IF(Q107&gt;105,"up")))</f>
        <v>down</v>
      </c>
    </row>
    <row r="108" spans="1:37" x14ac:dyDescent="0.25">
      <c r="A108">
        <f>IF(X108=2059,2059,"Error")</f>
        <v>2059</v>
      </c>
      <c r="B108" t="str">
        <f>IF(K108&lt;332,"down",IF(K108=332,"low",IF(K108=340,"high",IF(AND(K108&gt;332,K108&lt;340),"normal","up"))))</f>
        <v>normal</v>
      </c>
      <c r="C108" t="str">
        <f>IF(K108&lt;332,"down",IF(K108=332,"low",IF(K108=340,"high",IF(AND(K108&gt;332,K108&lt;340),"normal","up"))))</f>
        <v>normal</v>
      </c>
      <c r="D108" t="str">
        <f>IF(K108&lt;332,"down",IF(K108=332,"low",IF(K108=340,"high",IF(AND(K108&gt;332,K108&lt;340),"normal","up"))))</f>
        <v>normal</v>
      </c>
      <c r="E108" t="str">
        <f>IF(K108&lt;332,"down",IF(K108=332,"low",IF(K108=351.5,"high",IF(AND(K108&gt;332,K108&lt;351.5),"normal","up"))))</f>
        <v>normal</v>
      </c>
      <c r="F108" t="str">
        <f>IF(P108&lt;333,"PVP-down",IF(P108=333,333,IF(P108&gt;333,"PVP-up")))</f>
        <v>PVP-up</v>
      </c>
      <c r="G108" t="str">
        <f>IF(R108&lt;111,"PVV-down",IF(R108=111,111,IF(R108&gt;111,"PVV-up")))</f>
        <v>PVV-up</v>
      </c>
      <c r="H108" s="3">
        <f t="shared" si="12"/>
        <v>2.7702844847111358E-3</v>
      </c>
      <c r="I108">
        <f>[1]!'2059.PreviousPrice'</f>
        <v>332.5</v>
      </c>
      <c r="J108">
        <f>[1]!'2059.PreOpenPrice'</f>
        <v>334</v>
      </c>
      <c r="K108">
        <f>[1]!'2059.Open'</f>
        <v>334</v>
      </c>
      <c r="L108">
        <f>[1]!'2059.Change'</f>
        <v>1.5</v>
      </c>
      <c r="M108">
        <f>[1]!'2059.ChangePercent'</f>
        <v>4.4999999999999997E-3</v>
      </c>
      <c r="N108">
        <f>[1]!'2059.BidPrice'</f>
        <v>334</v>
      </c>
      <c r="O108">
        <f>[1]!'2059.AskPrice'</f>
        <v>334.5</v>
      </c>
      <c r="P108">
        <f>[1]!'2059.Price'</f>
        <v>334</v>
      </c>
      <c r="Q108">
        <f>[1]!'2059.Volume'</f>
        <v>8</v>
      </c>
      <c r="R108">
        <f>[1]!'2059.CumulativeVolume'</f>
        <v>264</v>
      </c>
      <c r="S108">
        <f>[1]!'2059.PreviousVolume'</f>
        <v>577</v>
      </c>
      <c r="T108" s="3">
        <f t="shared" si="13"/>
        <v>0</v>
      </c>
      <c r="U108" s="3">
        <f>((T108*AB108)*D4)</f>
        <v>0</v>
      </c>
      <c r="V108" s="5">
        <f t="shared" si="14"/>
        <v>2672000</v>
      </c>
      <c r="W108" s="5">
        <f t="shared" si="15"/>
        <v>0</v>
      </c>
      <c r="X108">
        <v>2059</v>
      </c>
      <c r="Y108" s="5">
        <v>952970720</v>
      </c>
      <c r="Z108" s="3">
        <f>((D2*AB108)/P108)/10</f>
        <v>3.4455613494508474E-3</v>
      </c>
      <c r="AA108" s="3">
        <f>((M108*AB108)*D2)</f>
        <v>5.1786787082246225E-2</v>
      </c>
      <c r="AB108" s="3">
        <f>AE108/AE323</f>
        <v>8.9252170832680548E-4</v>
      </c>
      <c r="AC108" s="3">
        <f>AF108/AF323</f>
        <v>8.8025822587526432E-4</v>
      </c>
      <c r="AD108" s="5">
        <f t="shared" si="16"/>
        <v>31829222048</v>
      </c>
      <c r="AE108" s="5">
        <f t="shared" si="17"/>
        <v>31829222048</v>
      </c>
      <c r="AF108" s="5">
        <f t="shared" si="18"/>
        <v>31686276440</v>
      </c>
      <c r="AG108">
        <f t="shared" si="19"/>
        <v>0</v>
      </c>
      <c r="AH108">
        <f t="shared" si="20"/>
        <v>0</v>
      </c>
      <c r="AI108">
        <f t="shared" si="21"/>
        <v>0</v>
      </c>
      <c r="AJ108" t="str">
        <f t="shared" si="22"/>
        <v>UBL10</v>
      </c>
      <c r="AK108" t="str">
        <f>IF(Q108&lt;15,"down",IF(Q108=15,15,IF(Q108&gt;15,"up")))</f>
        <v>down</v>
      </c>
    </row>
    <row r="109" spans="1:37" x14ac:dyDescent="0.25">
      <c r="A109">
        <f>IF(X109=3036,3036,"Error")</f>
        <v>3036</v>
      </c>
      <c r="B109" t="str">
        <f>IF(K109&lt;42,"down",IF(K109=42,"low",IF(K109=42.5,"high",IF(AND(K109&gt;42,K109&lt;42.5),"normal","up"))))</f>
        <v>normal</v>
      </c>
      <c r="C109" t="str">
        <f>IF(K109&lt;42,"down",IF(K109=42,"low",IF(K109=42.5,"high",IF(AND(K109&gt;42,K109&lt;42.5),"normal","up"))))</f>
        <v>normal</v>
      </c>
      <c r="D109" t="str">
        <f>IF(K109&lt;42,"down",IF(K109=42,"low",IF(K109=42.5,"high",IF(AND(K109&gt;42,K109&lt;42.5),"normal","up"))))</f>
        <v>normal</v>
      </c>
      <c r="E109" t="str">
        <f>IF(K109&lt;42,"down",IF(K109=42,"low",IF(K109=42.8,"high",IF(AND(K109&gt;42,K109&lt;42.8),"normal","up"))))</f>
        <v>normal</v>
      </c>
      <c r="F109" t="str">
        <f>IF(P109&lt;42.3,"PVP-down",IF(P109=42.3,42.3,IF(P109&gt;42.3,"PVP-up")))</f>
        <v>PVP-down</v>
      </c>
      <c r="G109" t="str">
        <f>IF(R109&lt;513,"PVV-down",IF(R109=513,513,IF(R109&gt;513,"PVV-up")))</f>
        <v>PVV-up</v>
      </c>
      <c r="H109" s="3">
        <f t="shared" si="12"/>
        <v>1.9748445169749601E-3</v>
      </c>
      <c r="I109">
        <f>[1]!'3036.PreviousPrice'</f>
        <v>42.25</v>
      </c>
      <c r="J109">
        <f>[1]!'3036.PreOpenPrice'</f>
        <v>42.2</v>
      </c>
      <c r="K109">
        <f>[1]!'3036.Open'</f>
        <v>42.25</v>
      </c>
      <c r="L109">
        <f>[1]!'3036.Change'</f>
        <v>-0.05</v>
      </c>
      <c r="M109">
        <f>[1]!'3036.ChangePercent'</f>
        <v>-1.1999999999999999E-3</v>
      </c>
      <c r="N109">
        <f>[1]!'3036.BidPrice'</f>
        <v>42.2</v>
      </c>
      <c r="O109">
        <f>[1]!'3036.AskPrice'</f>
        <v>42.25</v>
      </c>
      <c r="P109">
        <f>[1]!'3036.Price'</f>
        <v>42.2</v>
      </c>
      <c r="Q109">
        <f>[1]!'3036.Volume'</f>
        <v>14</v>
      </c>
      <c r="R109">
        <f>[1]!'3036.CumulativeVolume'</f>
        <v>1508</v>
      </c>
      <c r="S109">
        <f>[1]!'3036.PreviousVolume'</f>
        <v>1528</v>
      </c>
      <c r="T109" s="3">
        <f t="shared" si="13"/>
        <v>-1.1834319526626547E-3</v>
      </c>
      <c r="U109" s="3">
        <f>((T109*AB109)*D4)</f>
        <v>-1.3666403826953976E-2</v>
      </c>
      <c r="V109" s="5">
        <f t="shared" si="14"/>
        <v>590800.00000000012</v>
      </c>
      <c r="W109" s="5">
        <f t="shared" si="15"/>
        <v>0</v>
      </c>
      <c r="X109">
        <v>3036</v>
      </c>
      <c r="Y109" s="5">
        <v>7636044190</v>
      </c>
      <c r="Z109" s="3">
        <f>((D2*AB109)/P109)/10</f>
        <v>2.7608884692451728E-2</v>
      </c>
      <c r="AA109" s="3">
        <f>((M109*AB109)*D2)</f>
        <v>-1.3981139208257555E-2</v>
      </c>
      <c r="AB109" s="3">
        <f>AE109/AE323</f>
        <v>9.0359464403712037E-4</v>
      </c>
      <c r="AC109" s="3">
        <f>AF109/AF323</f>
        <v>8.9626003577345068E-4</v>
      </c>
      <c r="AD109" s="5">
        <f t="shared" si="16"/>
        <v>32224106481.799999</v>
      </c>
      <c r="AE109" s="5">
        <f t="shared" si="17"/>
        <v>32224106481.799999</v>
      </c>
      <c r="AF109" s="5">
        <f t="shared" si="18"/>
        <v>32262286702.75</v>
      </c>
      <c r="AG109" t="str">
        <f t="shared" si="19"/>
        <v>DBM10-50</v>
      </c>
      <c r="AH109">
        <f t="shared" si="20"/>
        <v>0</v>
      </c>
      <c r="AI109">
        <f t="shared" si="21"/>
        <v>0</v>
      </c>
      <c r="AJ109">
        <f t="shared" si="22"/>
        <v>0</v>
      </c>
      <c r="AK109" t="str">
        <f>IF(Q109&lt;54,"down",IF(Q109=54,54,IF(Q109&gt;54,"up")))</f>
        <v>down</v>
      </c>
    </row>
    <row r="110" spans="1:37" x14ac:dyDescent="0.25">
      <c r="A110">
        <f>IF(X110=2441,2441,"Error")</f>
        <v>2441</v>
      </c>
      <c r="B110" t="str">
        <f>IF(K110&lt;52.9,"down",IF(K110=52.9,"low",IF(K110=53.7,"high",IF(AND(K110&gt;52.9,K110&lt;53.7),"normal","up"))))</f>
        <v>normal</v>
      </c>
      <c r="C110" t="str">
        <f>IF(K110&lt;52.9,"down",IF(K110=52.9,"low",IF(K110=53.7,"high",IF(AND(K110&gt;52.9,K110&lt;53.7),"normal","up"))))</f>
        <v>normal</v>
      </c>
      <c r="D110" t="str">
        <f>IF(K110&lt;52.9,"down",IF(K110=52.9,"low",IF(K110=53.7,"high",IF(AND(K110&gt;52.9,K110&lt;53.7),"normal","up"))))</f>
        <v>normal</v>
      </c>
      <c r="E110" t="str">
        <f>IF(K110&lt;51,"down",IF(K110=51,"low",IF(K110=53.7,"high",IF(AND(K110&gt;51,K110&lt;53.7),"normal","up"))))</f>
        <v>normal</v>
      </c>
      <c r="F110" t="str">
        <f>IF(P110&lt;53,"PVP-down",IF(P110=53,53,IF(P110&gt;53,"PVP-up")))</f>
        <v>PVP-down</v>
      </c>
      <c r="G110" t="str">
        <f>IF(R110&lt;582,"PVV-down",IF(R110=582,582,IF(R110&gt;582,"PVV-up")))</f>
        <v>PVV-up</v>
      </c>
      <c r="H110" s="3">
        <f t="shared" si="12"/>
        <v>1.6278573262372045E-3</v>
      </c>
      <c r="I110">
        <f>[1]!'2441.PreviousPrice'</f>
        <v>53</v>
      </c>
      <c r="J110">
        <f>[1]!'2441.PreOpenPrice'</f>
        <v>51.7</v>
      </c>
      <c r="K110">
        <f>[1]!'2441.Open'</f>
        <v>53.4</v>
      </c>
      <c r="L110">
        <f>[1]!'2441.Change'</f>
        <v>-1.3</v>
      </c>
      <c r="M110">
        <f>[1]!'2441.ChangePercent'</f>
        <v>-2.4500000000000001E-2</v>
      </c>
      <c r="N110">
        <f>[1]!'2441.BidPrice'</f>
        <v>51.7</v>
      </c>
      <c r="O110">
        <f>[1]!'2441.AskPrice'</f>
        <v>51.8</v>
      </c>
      <c r="P110">
        <f>[1]!'2441.Price'</f>
        <v>51.7</v>
      </c>
      <c r="Q110">
        <f>[1]!'2441.Volume'</f>
        <v>108</v>
      </c>
      <c r="R110">
        <f>[1]!'2441.CumulativeVolume'</f>
        <v>926</v>
      </c>
      <c r="S110">
        <f>[1]!'2441.PreviousVolume'</f>
        <v>1284</v>
      </c>
      <c r="T110" s="3">
        <f t="shared" si="13"/>
        <v>-3.1835205992509281E-2</v>
      </c>
      <c r="U110" s="3">
        <f>((T110*AB110)*D4)</f>
        <v>-0.33552348973003854</v>
      </c>
      <c r="V110" s="5">
        <f t="shared" si="14"/>
        <v>5583600</v>
      </c>
      <c r="W110" s="5">
        <f t="shared" si="15"/>
        <v>0</v>
      </c>
      <c r="X110">
        <v>2441</v>
      </c>
      <c r="Y110" s="5">
        <v>5688459210</v>
      </c>
      <c r="Z110" s="3">
        <f>((D2*AB110)/P110)/10</f>
        <v>2.0567195592225227E-2</v>
      </c>
      <c r="AA110" s="3">
        <f>((M110*AB110)*D2)</f>
        <v>-0.26051438296892082</v>
      </c>
      <c r="AB110" s="3">
        <f>AE110/AE323</f>
        <v>8.2466574539944489E-4</v>
      </c>
      <c r="AC110" s="3">
        <f>AF110/AF323</f>
        <v>8.3754741629842207E-4</v>
      </c>
      <c r="AD110" s="5">
        <f t="shared" si="16"/>
        <v>29409334115.700001</v>
      </c>
      <c r="AE110" s="5">
        <f t="shared" si="17"/>
        <v>29409334115.700001</v>
      </c>
      <c r="AF110" s="5">
        <f t="shared" si="18"/>
        <v>30148833813</v>
      </c>
      <c r="AG110" t="str">
        <f t="shared" si="19"/>
        <v>DBM100</v>
      </c>
      <c r="AH110">
        <f t="shared" si="20"/>
        <v>0</v>
      </c>
      <c r="AI110">
        <f t="shared" si="21"/>
        <v>0</v>
      </c>
      <c r="AJ110">
        <f t="shared" si="22"/>
        <v>0</v>
      </c>
      <c r="AK110" t="str">
        <f>IF(Q110&lt;35,"down",IF(Q110=35,35,IF(Q110&gt;35,"up")))</f>
        <v>up</v>
      </c>
    </row>
    <row r="111" spans="1:37" x14ac:dyDescent="0.25">
      <c r="A111">
        <f>IF(X111=3376,3376,"Error")</f>
        <v>3376</v>
      </c>
      <c r="B111" t="str">
        <f>IF(K111&lt;149,"down",IF(K111=149,"low",IF(K111=152,"high",IF(AND(K111&gt;149,K111&lt;152),"normal","up"))))</f>
        <v>normal</v>
      </c>
      <c r="C111" t="str">
        <f>IF(K111&lt;149,"down",IF(K111=149,"low",IF(K111=152,"high",IF(AND(K111&gt;149,K111&lt;152),"normal","up"))))</f>
        <v>normal</v>
      </c>
      <c r="D111" t="str">
        <f>IF(K111&lt;149,"down",IF(K111=149,"low",IF(K111=152,"high",IF(AND(K111&gt;149,K111&lt;152),"normal","up"))))</f>
        <v>normal</v>
      </c>
      <c r="E111" t="str">
        <f>IF(K111&lt;149,"down",IF(K111=149,"low",IF(K111=160.5,"high",IF(AND(K111&gt;149,K111&lt;160.5),"normal","up"))))</f>
        <v>normal</v>
      </c>
      <c r="F111" t="str">
        <f>IF(P111&lt;149.5,"PVP-down",IF(P111=149.5,149.5,IF(P111&gt;149.5,"PVP-up")))</f>
        <v>PVP-up</v>
      </c>
      <c r="G111" t="str">
        <f>IF(R111&lt;428,"PVV-down",IF(R111=428,428,IF(R111&gt;428,"PVV-up")))</f>
        <v>PVV-up</v>
      </c>
      <c r="H111" s="3">
        <f t="shared" si="12"/>
        <v>7.4716232645133012E-3</v>
      </c>
      <c r="I111">
        <f>[1]!'3376.PreviousPrice'</f>
        <v>149.5</v>
      </c>
      <c r="J111">
        <f>[1]!'3376.PreOpenPrice'</f>
        <v>153.5</v>
      </c>
      <c r="K111">
        <f>[1]!'3376.Open'</f>
        <v>150</v>
      </c>
      <c r="L111">
        <f>[1]!'3376.Change'</f>
        <v>3</v>
      </c>
      <c r="M111">
        <f>[1]!'3376.ChangePercent'</f>
        <v>2.01E-2</v>
      </c>
      <c r="N111">
        <f>[1]!'3376.BidPrice'</f>
        <v>152.5</v>
      </c>
      <c r="O111">
        <f>[1]!'3376.AskPrice'</f>
        <v>153</v>
      </c>
      <c r="P111">
        <f>[1]!'3376.Price'</f>
        <v>152.5</v>
      </c>
      <c r="Q111">
        <f>[1]!'3376.Volume'</f>
        <v>82</v>
      </c>
      <c r="R111">
        <f>[1]!'3376.CumulativeVolume'</f>
        <v>1358</v>
      </c>
      <c r="S111">
        <f>[1]!'3376.PreviousVolume'</f>
        <v>1359</v>
      </c>
      <c r="T111" s="3">
        <f t="shared" si="13"/>
        <v>1.6666666666666666E-2</v>
      </c>
      <c r="U111" s="3">
        <f>((T111*AB111)*D4)</f>
        <v>0.16555163415594398</v>
      </c>
      <c r="V111" s="5">
        <f t="shared" si="14"/>
        <v>12505000</v>
      </c>
      <c r="W111" s="5">
        <f t="shared" si="15"/>
        <v>0</v>
      </c>
      <c r="X111">
        <v>3376</v>
      </c>
      <c r="Y111" s="5">
        <v>1817543460</v>
      </c>
      <c r="Z111" s="3">
        <f>((D2*AB111)/P111)/10</f>
        <v>6.5715109239905742E-3</v>
      </c>
      <c r="AA111" s="3">
        <f>((M111*AB111)*D2)</f>
        <v>0.20143323859762105</v>
      </c>
      <c r="AB111" s="3">
        <f>AE111/AE323</f>
        <v>7.7722616403642193E-4</v>
      </c>
      <c r="AC111" s="3">
        <f>AF111/AF323</f>
        <v>7.5485733987948203E-4</v>
      </c>
      <c r="AD111" s="5">
        <f t="shared" si="16"/>
        <v>27899292111</v>
      </c>
      <c r="AE111" s="5">
        <f t="shared" si="17"/>
        <v>27717537765</v>
      </c>
      <c r="AF111" s="5">
        <f t="shared" si="18"/>
        <v>27172274727</v>
      </c>
      <c r="AG111">
        <f t="shared" si="19"/>
        <v>0</v>
      </c>
      <c r="AH111">
        <f t="shared" si="20"/>
        <v>0</v>
      </c>
      <c r="AI111">
        <f t="shared" si="21"/>
        <v>0</v>
      </c>
      <c r="AJ111" t="str">
        <f t="shared" si="22"/>
        <v>UBM50</v>
      </c>
      <c r="AK111" t="str">
        <f>IF(Q111&lt;29,"down",IF(Q111=29,29,IF(Q111&gt;29,"up")))</f>
        <v>up</v>
      </c>
    </row>
    <row r="112" spans="1:37" x14ac:dyDescent="0.25">
      <c r="A112">
        <f>IF(X112=5264,5264,"Error")</f>
        <v>5264</v>
      </c>
      <c r="B112" t="str">
        <f>IF(K112&lt;71.7,"down",IF(K112=71.7,"low",IF(K112=79.6,"high",IF(AND(K112&gt;71.7,K112&lt;79.6),"normal","up"))))</f>
        <v>normal</v>
      </c>
      <c r="C112" t="str">
        <f>IF(K112&lt;71.7,"down",IF(K112=71.7,"low",IF(K112=79.6,"high",IF(AND(K112&gt;71.7,K112&lt;79.6),"normal","up"))))</f>
        <v>normal</v>
      </c>
      <c r="D112" t="str">
        <f>IF(K112&lt;71.7,"down",IF(K112=71.7,"low",IF(K112=79.6,"high",IF(AND(K112&gt;71.7,K112&lt;79.6),"normal","up"))))</f>
        <v>normal</v>
      </c>
      <c r="E112" t="str">
        <f>IF(K112&lt;67.1,"down",IF(K112=67.1,"low",IF(K112=79.8,"high",IF(AND(K112&gt;67.1,K112&lt;79.8),"normal","up"))))</f>
        <v>normal</v>
      </c>
      <c r="F112" t="str">
        <f>IF(P112&lt;71.8,"PVP-down",IF(P112=71.8,71.8,IF(P112&gt;71.8,"PVP-up")))</f>
        <v>PVP-up</v>
      </c>
      <c r="G112" t="str">
        <f>IF(R112&lt;1555,"PVV-down",IF(R112=1555,1555,IF(R112&gt;1555,"PVV-up")))</f>
        <v>PVV-up</v>
      </c>
      <c r="H112" s="3">
        <f t="shared" si="12"/>
        <v>2.184052161473039E-2</v>
      </c>
      <c r="I112">
        <f>[1]!'5264.PreviousPrice'</f>
        <v>71.7</v>
      </c>
      <c r="J112">
        <f>[1]!'5264.PreOpenPrice'</f>
        <v>73.099999999999994</v>
      </c>
      <c r="K112">
        <f>[1]!'5264.Open'</f>
        <v>71.8</v>
      </c>
      <c r="L112">
        <f>[1]!'5264.Change'</f>
        <v>1.4</v>
      </c>
      <c r="M112">
        <f>[1]!'5264.ChangePercent'</f>
        <v>1.95E-2</v>
      </c>
      <c r="N112">
        <f>[1]!'5264.BidPrice'</f>
        <v>73.099999999999994</v>
      </c>
      <c r="O112">
        <f>[1]!'5264.AskPrice'</f>
        <v>73.2</v>
      </c>
      <c r="P112">
        <f>[1]!'5264.Price'</f>
        <v>73.099999999999994</v>
      </c>
      <c r="Q112">
        <f>[1]!'5264.Volume'</f>
        <v>332</v>
      </c>
      <c r="R112">
        <f>[1]!'5264.CumulativeVolume'</f>
        <v>9183</v>
      </c>
      <c r="S112">
        <f>[1]!'5264.PreviousVolume'</f>
        <v>22954</v>
      </c>
      <c r="T112" s="3">
        <f t="shared" si="13"/>
        <v>1.8105849582172664E-2</v>
      </c>
      <c r="U112" s="3">
        <f>((T112*AB112)*D4)</f>
        <v>0.19942882820538652</v>
      </c>
      <c r="V112" s="5">
        <f t="shared" si="14"/>
        <v>24269199.999999996</v>
      </c>
      <c r="W112" s="5">
        <f t="shared" si="15"/>
        <v>0</v>
      </c>
      <c r="X112">
        <v>5264</v>
      </c>
      <c r="Y112" s="5">
        <v>4204569910</v>
      </c>
      <c r="Z112" s="3">
        <f>((D2*AB112)/P112)/10</f>
        <v>1.5202044794156979E-2</v>
      </c>
      <c r="AA112" s="3">
        <f>((M112*AB112)*D2)</f>
        <v>0.21669754751831066</v>
      </c>
      <c r="AB112" s="3">
        <f>AE112/AE323</f>
        <v>8.6185006549780916E-4</v>
      </c>
      <c r="AC112" s="3">
        <f>AF112/AF323</f>
        <v>8.3748997865015502E-4</v>
      </c>
      <c r="AD112" s="5">
        <f t="shared" si="16"/>
        <v>30735406042.099998</v>
      </c>
      <c r="AE112" s="5">
        <f t="shared" si="17"/>
        <v>30735406042.099998</v>
      </c>
      <c r="AF112" s="5">
        <f t="shared" si="18"/>
        <v>30146766254.700001</v>
      </c>
      <c r="AG112">
        <f t="shared" si="19"/>
        <v>0</v>
      </c>
      <c r="AH112">
        <f t="shared" si="20"/>
        <v>0</v>
      </c>
      <c r="AI112">
        <f t="shared" si="21"/>
        <v>0</v>
      </c>
      <c r="AJ112" t="str">
        <f t="shared" si="22"/>
        <v>UBM200</v>
      </c>
      <c r="AK112" t="str">
        <f>IF(Q112&lt;920,"down",IF(Q112=920,920,IF(Q112&gt;920,"up")))</f>
        <v>down</v>
      </c>
    </row>
    <row r="113" spans="1:37" x14ac:dyDescent="0.25">
      <c r="A113">
        <f>IF(X113=2451,2451,"Error")</f>
        <v>2451</v>
      </c>
      <c r="B113" t="str">
        <f>IF(K113&lt;65.1,"down",IF(K113=65.1,"low",IF(K113=65.6,"high",IF(AND(K113&gt;65.1,K113&lt;65.6),"normal","up"))))</f>
        <v>normal</v>
      </c>
      <c r="C113" t="str">
        <f>IF(K113&lt;65.1,"down",IF(K113=65.1,"low",IF(K113=65.6,"high",IF(AND(K113&gt;65.1,K113&lt;65.6),"normal","up"))))</f>
        <v>normal</v>
      </c>
      <c r="D113" t="str">
        <f>IF(K113&lt;65.1,"down",IF(K113=65.1,"low",IF(K113=65.6,"high",IF(AND(K113&gt;65.1,K113&lt;65.6),"normal","up"))))</f>
        <v>normal</v>
      </c>
      <c r="E113" t="str">
        <f>IF(K113&lt;65.1,"down",IF(K113=65.1,"low",IF(K113=67.1,"high",IF(AND(K113&gt;65.1,K113&lt;67.1),"normal","up"))))</f>
        <v>normal</v>
      </c>
      <c r="F113" t="str">
        <f>IF(P113&lt;65.3,"PVP-down",IF(P113=65.3,65.3,IF(P113&gt;65.3,"PVP-up")))</f>
        <v>PVP-down</v>
      </c>
      <c r="G113" t="str">
        <f>IF(R113&lt;192,"PVV-down",IF(R113=192,192,IF(R113&gt;192,"PVV-up")))</f>
        <v>PVV-up</v>
      </c>
      <c r="H113" s="3">
        <f t="shared" si="12"/>
        <v>1.6454510881215387E-3</v>
      </c>
      <c r="I113">
        <f>[1]!'2451.PreviousPrice'</f>
        <v>65.599999999999994</v>
      </c>
      <c r="J113">
        <f>[1]!'2451.PreOpenPrice'</f>
        <v>65.2</v>
      </c>
      <c r="K113">
        <f>[1]!'2451.Open'</f>
        <v>65.3</v>
      </c>
      <c r="L113">
        <f>[1]!'2451.Change'</f>
        <v>-0.4</v>
      </c>
      <c r="M113">
        <f>[1]!'2451.ChangePercent'</f>
        <v>-6.1000000000000004E-3</v>
      </c>
      <c r="N113">
        <f>[1]!'2451.BidPrice'</f>
        <v>65.2</v>
      </c>
      <c r="O113">
        <f>[1]!'2451.AskPrice'</f>
        <v>65.3</v>
      </c>
      <c r="P113">
        <f>[1]!'2451.Price'</f>
        <v>65.2</v>
      </c>
      <c r="Q113">
        <f>[1]!'2451.Volume'</f>
        <v>30</v>
      </c>
      <c r="R113">
        <f>[1]!'2451.CumulativeVolume'</f>
        <v>706</v>
      </c>
      <c r="S113">
        <f>[1]!'2451.PreviousVolume'</f>
        <v>661</v>
      </c>
      <c r="T113" s="3">
        <f t="shared" si="13"/>
        <v>-1.5313935681469269E-3</v>
      </c>
      <c r="U113" s="3">
        <f>((T113*AB113)*D4)</f>
        <v>-1.5352680526420758E-2</v>
      </c>
      <c r="V113" s="5">
        <f t="shared" si="14"/>
        <v>1956000</v>
      </c>
      <c r="W113" s="5">
        <f t="shared" si="15"/>
        <v>0</v>
      </c>
      <c r="X113">
        <v>2451</v>
      </c>
      <c r="Y113" s="5">
        <v>4290616750</v>
      </c>
      <c r="Z113" s="3">
        <f>((D2*AB113)/P113)/10</f>
        <v>1.551315578626215E-2</v>
      </c>
      <c r="AA113" s="3">
        <f>((M113*AB113)*D2)</f>
        <v>-6.1698923193121834E-2</v>
      </c>
      <c r="AB113" s="3">
        <f>AE113/AE323</f>
        <v>7.844406369352352E-4</v>
      </c>
      <c r="AC113" s="3">
        <f>AF113/AF323</f>
        <v>7.8192022852347951E-4</v>
      </c>
      <c r="AD113" s="5">
        <f t="shared" si="16"/>
        <v>27974821210</v>
      </c>
      <c r="AE113" s="5">
        <f t="shared" si="17"/>
        <v>27974821210</v>
      </c>
      <c r="AF113" s="5">
        <f t="shared" si="18"/>
        <v>28146445880</v>
      </c>
      <c r="AG113" t="str">
        <f t="shared" si="19"/>
        <v>DBM10-50</v>
      </c>
      <c r="AH113">
        <f t="shared" si="20"/>
        <v>0</v>
      </c>
      <c r="AI113">
        <f t="shared" si="21"/>
        <v>0</v>
      </c>
      <c r="AJ113">
        <f t="shared" si="22"/>
        <v>0</v>
      </c>
      <c r="AK113" t="str">
        <f>IF(Q113&lt;11,"down",IF(Q113=11,11,IF(Q113&gt;11,"up")))</f>
        <v>up</v>
      </c>
    </row>
    <row r="114" spans="1:37" x14ac:dyDescent="0.25">
      <c r="A114">
        <f>IF(X114=6412,6412,"Error")</f>
        <v>6412</v>
      </c>
      <c r="B114" t="str">
        <f>IF(K114&lt;70,"down",IF(K114=70,"low",IF(K114=73.1,"high",IF(AND(K114&gt;70,K114&lt;73.1),"normal","up"))))</f>
        <v>up</v>
      </c>
      <c r="C114" t="str">
        <f>IF(K114&lt;70,"down",IF(K114=70,"low",IF(K114=73.1,"high",IF(AND(K114&gt;70,K114&lt;73.1),"normal","up"))))</f>
        <v>up</v>
      </c>
      <c r="D114" t="str">
        <f>IF(K114&lt;70,"down",IF(K114=70,"low",IF(K114=73.1,"high",IF(AND(K114&gt;70,K114&lt;73.1),"normal","up"))))</f>
        <v>up</v>
      </c>
      <c r="E114" t="str">
        <f>IF(K114&lt;66.4,"down",IF(K114=66.4,"low",IF(K114=73.1,"high",IF(AND(K114&gt;66.4,K114&lt;73.1),"normal","up"))))</f>
        <v>up</v>
      </c>
      <c r="F114" t="str">
        <f>IF(P114&lt;72,"PVP-down",IF(P114=72,72,IF(P114&gt;72,"PVP-up")))</f>
        <v>PVP-down</v>
      </c>
      <c r="G114" t="str">
        <f>IF(R114&lt;281,"PVV-down",IF(R114=281,281,IF(R114&gt;281,"PVV-up")))</f>
        <v>PVV-up</v>
      </c>
      <c r="H114" s="3">
        <f t="shared" si="12"/>
        <v>5.9626850590240353E-3</v>
      </c>
      <c r="I114">
        <f>[1]!'6412.PreviousPrice'</f>
        <v>73.099999999999994</v>
      </c>
      <c r="J114">
        <f>[1]!'6412.PreOpenPrice'</f>
        <v>71.3</v>
      </c>
      <c r="K114">
        <f>[1]!'6412.Open'</f>
        <v>73.599999999999994</v>
      </c>
      <c r="L114">
        <f>[1]!'6412.Change'</f>
        <v>-1.8</v>
      </c>
      <c r="M114">
        <f>[1]!'6412.ChangePercent'</f>
        <v>-2.46E-2</v>
      </c>
      <c r="N114">
        <f>[1]!'6412.BidPrice'</f>
        <v>71.3</v>
      </c>
      <c r="O114">
        <f>[1]!'6412.AskPrice'</f>
        <v>71.5</v>
      </c>
      <c r="P114">
        <f>[1]!'6412.Price'</f>
        <v>71.3</v>
      </c>
      <c r="Q114">
        <f>[1]!'6412.Volume'</f>
        <v>72</v>
      </c>
      <c r="R114">
        <f>[1]!'6412.CumulativeVolume'</f>
        <v>2318</v>
      </c>
      <c r="S114">
        <f>[1]!'6412.PreviousVolume'</f>
        <v>2827</v>
      </c>
      <c r="T114" s="3">
        <f t="shared" si="13"/>
        <v>-3.1249999999999965E-2</v>
      </c>
      <c r="U114" s="3">
        <f>((T114*AB114)*D4)</f>
        <v>-0.31041391877896995</v>
      </c>
      <c r="V114" s="5">
        <f t="shared" si="14"/>
        <v>5133599.9999999991</v>
      </c>
      <c r="W114" s="5">
        <f t="shared" si="15"/>
        <v>0</v>
      </c>
      <c r="X114">
        <v>6412</v>
      </c>
      <c r="Y114" s="5">
        <v>3887510370</v>
      </c>
      <c r="Z114" s="3">
        <f>((D2*AB114)/P114)/10</f>
        <v>1.4055684183519681E-2</v>
      </c>
      <c r="AA114" s="3">
        <f>((M114*AB114)*D2)</f>
        <v>-0.24653388944209853</v>
      </c>
      <c r="AB114" s="3">
        <f>AE114/AE323</f>
        <v>7.7723769372184989E-4</v>
      </c>
      <c r="AC114" s="3">
        <f>AF114/AF323</f>
        <v>7.8945580561245944E-4</v>
      </c>
      <c r="AD114" s="5">
        <f t="shared" si="16"/>
        <v>27717948938.099998</v>
      </c>
      <c r="AE114" s="5">
        <f t="shared" si="17"/>
        <v>27717948938.099998</v>
      </c>
      <c r="AF114" s="5">
        <f t="shared" si="18"/>
        <v>28417700804.700001</v>
      </c>
      <c r="AG114" t="str">
        <f t="shared" si="19"/>
        <v>DBM50</v>
      </c>
      <c r="AH114">
        <f t="shared" si="20"/>
        <v>0</v>
      </c>
      <c r="AI114">
        <f t="shared" si="21"/>
        <v>0</v>
      </c>
      <c r="AJ114">
        <f t="shared" si="22"/>
        <v>0</v>
      </c>
      <c r="AK114" t="str">
        <f>IF(Q114&lt;24,"down",IF(Q114=24,24,IF(Q114&gt;24,"up")))</f>
        <v>up</v>
      </c>
    </row>
    <row r="115" spans="1:37" x14ac:dyDescent="0.25">
      <c r="A115">
        <f>IF(X115=3665,3665,"Error")</f>
        <v>3665</v>
      </c>
      <c r="B115" t="str">
        <f>IF(K115&lt;205,"down",IF(K115=205,"low",IF(K115=210,"high",IF(AND(K115&gt;205,K115&lt;210),"normal","up"))))</f>
        <v>normal</v>
      </c>
      <c r="C115" t="str">
        <f>IF(K115&lt;205,"down",IF(K115=205,"low",IF(K115=210,"high",IF(AND(K115&gt;205,K115&lt;210),"normal","up"))))</f>
        <v>normal</v>
      </c>
      <c r="D115" t="str">
        <f>IF(K115&lt;205,"down",IF(K115=205,"low",IF(K115=210,"high",IF(AND(K115&gt;205,K115&lt;210),"normal","up"))))</f>
        <v>normal</v>
      </c>
      <c r="E115" t="str">
        <f>IF(K115&lt;194.5,"down",IF(K115=194.5,"low",IF(K115=210.5,"high",IF(AND(K115&gt;194.5,K115&lt;210.5),"normal","up"))))</f>
        <v>normal</v>
      </c>
      <c r="F115" t="str">
        <f>IF(P115&lt;205.5,"PVP-down",IF(P115=205.5,205.5,IF(P115&gt;205.5,"PVP-up")))</f>
        <v>PVP-up</v>
      </c>
      <c r="G115" t="str">
        <f>IF(R115&lt;176,"PVV-down",IF(R115=176,176,IF(R115&gt;176,"PVV-up")))</f>
        <v>PVV-up</v>
      </c>
      <c r="H115" s="3">
        <f t="shared" si="12"/>
        <v>1.3944500138590709E-2</v>
      </c>
      <c r="I115">
        <f>[1]!'3665.PreviousPrice'</f>
        <v>205.5</v>
      </c>
      <c r="J115">
        <f>[1]!'3665.PreOpenPrice'</f>
        <v>208.5</v>
      </c>
      <c r="K115">
        <f>[1]!'3665.Open'</f>
        <v>208</v>
      </c>
      <c r="L115">
        <f>[1]!'3665.Change'</f>
        <v>3</v>
      </c>
      <c r="M115">
        <f>[1]!'3665.ChangePercent'</f>
        <v>1.46E-2</v>
      </c>
      <c r="N115">
        <f>[1]!'3665.BidPrice'</f>
        <v>208.5</v>
      </c>
      <c r="O115">
        <f>[1]!'3665.AskPrice'</f>
        <v>209</v>
      </c>
      <c r="P115">
        <f>[1]!'3665.Price'</f>
        <v>208.5</v>
      </c>
      <c r="Q115">
        <f>[1]!'3665.Volume'</f>
        <v>63</v>
      </c>
      <c r="R115">
        <f>[1]!'3665.CumulativeVolume'</f>
        <v>1820</v>
      </c>
      <c r="S115">
        <f>[1]!'3665.PreviousVolume'</f>
        <v>862</v>
      </c>
      <c r="T115" s="3">
        <f t="shared" si="13"/>
        <v>2.403846153846154E-3</v>
      </c>
      <c r="U115" s="3">
        <f>((T115*AB115)*D4)</f>
        <v>2.3442894882929603E-2</v>
      </c>
      <c r="V115" s="5">
        <f t="shared" si="14"/>
        <v>13135500</v>
      </c>
      <c r="W115" s="5">
        <f t="shared" si="15"/>
        <v>0</v>
      </c>
      <c r="X115">
        <v>3665</v>
      </c>
      <c r="Y115" s="5">
        <v>1305174070</v>
      </c>
      <c r="Z115" s="3">
        <f>((D2*AB115)/P115)/10</f>
        <v>4.7189879347997749E-3</v>
      </c>
      <c r="AA115" s="3">
        <f>((M115*AB115)*D2)</f>
        <v>0.14365071172323995</v>
      </c>
      <c r="AB115" s="3">
        <f>AE115/AE323</f>
        <v>7.6307506158349091E-4</v>
      </c>
      <c r="AC115" s="3">
        <f>AF115/AF323</f>
        <v>7.4510786672149889E-4</v>
      </c>
      <c r="AD115" s="5">
        <f t="shared" si="16"/>
        <v>27212879359.5</v>
      </c>
      <c r="AE115" s="5">
        <f t="shared" si="17"/>
        <v>27212879359.5</v>
      </c>
      <c r="AF115" s="5">
        <f t="shared" si="18"/>
        <v>26821327138.5</v>
      </c>
      <c r="AG115">
        <f t="shared" si="19"/>
        <v>0</v>
      </c>
      <c r="AH115">
        <f t="shared" si="20"/>
        <v>0</v>
      </c>
      <c r="AI115">
        <f t="shared" si="21"/>
        <v>0</v>
      </c>
      <c r="AJ115" t="str">
        <f t="shared" si="22"/>
        <v>UBM50</v>
      </c>
      <c r="AK115" t="str">
        <f>IF(Q115&lt;6,"down",IF(Q115=6,6,IF(Q115&gt;6,"up")))</f>
        <v>up</v>
      </c>
    </row>
    <row r="116" spans="1:37" x14ac:dyDescent="0.25">
      <c r="A116">
        <f>IF(X116=6285,6285,"Error")</f>
        <v>6285</v>
      </c>
      <c r="B116" t="str">
        <f>IF(K116&lt;64.8,"down",IF(K116=64.8,"low",IF(K116=65.8,"high",IF(AND(K116&gt;64.8,K116&lt;65.8),"normal","up"))))</f>
        <v>normal</v>
      </c>
      <c r="C116" t="str">
        <f>IF(K116&lt;64.8,"down",IF(K116=64.8,"low",IF(K116=65.8,"high",IF(AND(K116&gt;64.8,K116&lt;65.8),"normal","up"))))</f>
        <v>normal</v>
      </c>
      <c r="D116" t="str">
        <f>IF(K116&lt;64.8,"down",IF(K116=64.8,"low",IF(K116=65.8,"high",IF(AND(K116&gt;64.8,K116&lt;65.8),"normal","up"))))</f>
        <v>normal</v>
      </c>
      <c r="E116" t="str">
        <f>IF(K116&lt;63.5,"down",IF(K116=63.5,"low",IF(K116=66,"high",IF(AND(K116&gt;63.5,K116&lt;66),"normal","up"))))</f>
        <v>normal</v>
      </c>
      <c r="F116" t="str">
        <f>IF(P116&lt;65,"PVP-down",IF(P116=65,65,IF(P116&gt;65,"PVP-up")))</f>
        <v>PVP-up</v>
      </c>
      <c r="G116" t="str">
        <f>IF(R116&lt;185,"PVV-down",IF(R116=185,185,IF(R116&gt;185,"PVV-up")))</f>
        <v>PVV-up</v>
      </c>
      <c r="H116" s="3">
        <f t="shared" si="12"/>
        <v>8.359123484349586E-3</v>
      </c>
      <c r="I116">
        <f>[1]!'6285.PreviousPrice'</f>
        <v>64.8</v>
      </c>
      <c r="J116">
        <f>[1]!'6285.PreOpenPrice'</f>
        <v>66.099999999999994</v>
      </c>
      <c r="K116">
        <f>[1]!'6285.Open'</f>
        <v>65.099999999999994</v>
      </c>
      <c r="L116">
        <f>[1]!'6285.Change'</f>
        <v>1.3</v>
      </c>
      <c r="M116">
        <f>[1]!'6285.ChangePercent'</f>
        <v>2.01E-2</v>
      </c>
      <c r="N116">
        <f>[1]!'6285.BidPrice'</f>
        <v>66.099999999999994</v>
      </c>
      <c r="O116">
        <f>[1]!'6285.AskPrice'</f>
        <v>66.2</v>
      </c>
      <c r="P116">
        <f>[1]!'6285.Price'</f>
        <v>66.099999999999994</v>
      </c>
      <c r="Q116">
        <f>[1]!'6285.Volume'</f>
        <v>150</v>
      </c>
      <c r="R116">
        <f>[1]!'6285.CumulativeVolume'</f>
        <v>3262</v>
      </c>
      <c r="S116">
        <f>[1]!'6285.PreviousVolume'</f>
        <v>1077</v>
      </c>
      <c r="T116" s="3">
        <f t="shared" si="13"/>
        <v>1.5360983102918589E-2</v>
      </c>
      <c r="U116" s="3">
        <f>((T116*AB116)*D4)</f>
        <v>0.14199523187468177</v>
      </c>
      <c r="V116" s="5">
        <f t="shared" si="14"/>
        <v>9915000</v>
      </c>
      <c r="W116" s="5">
        <f t="shared" si="15"/>
        <v>0</v>
      </c>
      <c r="X116">
        <v>6285</v>
      </c>
      <c r="Y116" s="5">
        <v>3902323020</v>
      </c>
      <c r="Z116" s="3">
        <f>((D2*AB116)/P116)/10</f>
        <v>1.4109240807298157E-2</v>
      </c>
      <c r="AA116" s="3">
        <f>((M116*AB116)*D2)</f>
        <v>0.18745678428984403</v>
      </c>
      <c r="AB116" s="3">
        <f>AE116/AE323</f>
        <v>7.232982917344564E-4</v>
      </c>
      <c r="AC116" s="3">
        <f>AF116/AF323</f>
        <v>7.0248508381332464E-4</v>
      </c>
      <c r="AD116" s="5">
        <f t="shared" si="16"/>
        <v>25794355162.199997</v>
      </c>
      <c r="AE116" s="5">
        <f t="shared" si="17"/>
        <v>25794355162.199997</v>
      </c>
      <c r="AF116" s="5">
        <f t="shared" si="18"/>
        <v>25287053169.599998</v>
      </c>
      <c r="AG116">
        <f t="shared" si="19"/>
        <v>0</v>
      </c>
      <c r="AH116">
        <f t="shared" si="20"/>
        <v>0</v>
      </c>
      <c r="AI116">
        <f t="shared" si="21"/>
        <v>0</v>
      </c>
      <c r="AJ116" t="str">
        <f t="shared" si="22"/>
        <v>UBM150</v>
      </c>
      <c r="AK116" t="str">
        <f>IF(Q116&lt;37,"down",IF(Q116=37,37,IF(Q116&gt;37,"up")))</f>
        <v>up</v>
      </c>
    </row>
    <row r="117" spans="1:37" x14ac:dyDescent="0.25">
      <c r="A117">
        <f>IF(X117=3005,3005,"Error")</f>
        <v>3005</v>
      </c>
      <c r="B117" t="str">
        <f>IF(K117&lt;42.35,"down",IF(K117=42.35,"low",IF(K117=43.25,"high",IF(AND(K117&gt;42.35,K117&lt;43.25),"normal","up"))))</f>
        <v>up</v>
      </c>
      <c r="C117" t="str">
        <f>IF(K117&lt;42.35,"down",IF(K117=42.35,"low",IF(K117=43.25,"high",IF(AND(K117&gt;42.35,K117&lt;43.25),"normal","up"))))</f>
        <v>up</v>
      </c>
      <c r="D117" t="str">
        <f>IF(K117&lt;42.35,"down",IF(K117=42.35,"low",IF(K117=43.25,"high",IF(AND(K117&gt;42.35,K117&lt;43.25),"normal","up"))))</f>
        <v>up</v>
      </c>
      <c r="E117" t="str">
        <f>IF(K117&lt;42,"down",IF(K117=42,"low",IF(K117=43.25,"high",IF(AND(K117&gt;42,K117&lt;43.25),"normal","up"))))</f>
        <v>up</v>
      </c>
      <c r="F117" t="str">
        <f>IF(P117&lt;43.1,"PVP-down",IF(P117=43.1,43.1,IF(P117&gt;43.1,"PVP-up")))</f>
        <v>PVP-down</v>
      </c>
      <c r="G117" t="str">
        <f>IF(R117&lt;277,"PVV-down",IF(R117=277,277,IF(R117&gt;277,"PVV-up")))</f>
        <v>PVV-up</v>
      </c>
      <c r="H117" s="3">
        <f t="shared" si="12"/>
        <v>1.5188066186750029E-3</v>
      </c>
      <c r="I117">
        <f>[1]!'3005.PreviousPrice'</f>
        <v>43.05</v>
      </c>
      <c r="J117">
        <f>[1]!'3005.PreOpenPrice'</f>
        <v>42.65</v>
      </c>
      <c r="K117">
        <f>[1]!'3005.Open'</f>
        <v>43.3</v>
      </c>
      <c r="L117">
        <f>[1]!'3005.Change'</f>
        <v>-0.4</v>
      </c>
      <c r="M117">
        <f>[1]!'3005.ChangePercent'</f>
        <v>-9.2999999999999992E-3</v>
      </c>
      <c r="N117">
        <f>[1]!'3005.BidPrice'</f>
        <v>42.65</v>
      </c>
      <c r="O117">
        <f>[1]!'3005.AskPrice'</f>
        <v>42.7</v>
      </c>
      <c r="P117">
        <f>[1]!'3005.Price'</f>
        <v>42.65</v>
      </c>
      <c r="Q117">
        <f>[1]!'3005.Volume'</f>
        <v>33</v>
      </c>
      <c r="R117">
        <f>[1]!'3005.CumulativeVolume'</f>
        <v>887</v>
      </c>
      <c r="S117">
        <f>[1]!'3005.PreviousVolume'</f>
        <v>1844</v>
      </c>
      <c r="T117" s="3">
        <f t="shared" si="13"/>
        <v>-1.5011547344110823E-2</v>
      </c>
      <c r="U117" s="3">
        <f>((T117*AB117)*D4)</f>
        <v>-0.1339971955559276</v>
      </c>
      <c r="V117" s="5">
        <f t="shared" si="14"/>
        <v>1407450</v>
      </c>
      <c r="W117" s="5">
        <f t="shared" si="15"/>
        <v>0</v>
      </c>
      <c r="X117">
        <v>3005</v>
      </c>
      <c r="Y117" s="5">
        <v>5840111500</v>
      </c>
      <c r="Z117" s="3">
        <f>((D2*AB117)/P117)/10</f>
        <v>2.1115509677866511E-2</v>
      </c>
      <c r="AA117" s="3">
        <f>((M117*AB117)*D2)</f>
        <v>-8.3753613361773588E-2</v>
      </c>
      <c r="AB117" s="3">
        <f>AE117/AE323</f>
        <v>6.9844616702420233E-4</v>
      </c>
      <c r="AC117" s="3">
        <f>AF117/AF323</f>
        <v>6.9844655558794807E-4</v>
      </c>
      <c r="AD117" s="5">
        <f t="shared" si="16"/>
        <v>24908075547.5</v>
      </c>
      <c r="AE117" s="5">
        <f t="shared" si="17"/>
        <v>24908075547.5</v>
      </c>
      <c r="AF117" s="5">
        <f t="shared" si="18"/>
        <v>25141680007.499996</v>
      </c>
      <c r="AG117" t="str">
        <f t="shared" si="19"/>
        <v>DBM10-50</v>
      </c>
      <c r="AH117">
        <f t="shared" si="20"/>
        <v>0</v>
      </c>
      <c r="AI117">
        <f t="shared" si="21"/>
        <v>0</v>
      </c>
      <c r="AJ117">
        <f t="shared" si="22"/>
        <v>0</v>
      </c>
      <c r="AK117" t="str">
        <f>IF(Q117&lt;4,"down",IF(Q117=4,4,IF(Q117&gt;4,"up")))</f>
        <v>up</v>
      </c>
    </row>
    <row r="118" spans="1:37" x14ac:dyDescent="0.25">
      <c r="A118">
        <f>IF(X118=2498,2498,"Error")</f>
        <v>2498</v>
      </c>
      <c r="B118" t="str">
        <f>IF(K118&lt;30.1,"down",IF(K118=30.1,"low",IF(K118=30.9,"high",IF(AND(K118&gt;30.1,K118&lt;30.9),"normal","up"))))</f>
        <v>normal</v>
      </c>
      <c r="C118" t="str">
        <f>IF(K118&lt;30.1,"down",IF(K118=30.1,"low",IF(K118=30.9,"high",IF(AND(K118&gt;30.1,K118&lt;30.9),"normal","up"))))</f>
        <v>normal</v>
      </c>
      <c r="D118" t="str">
        <f>IF(K118&lt;30.1,"down",IF(K118=30.1,"low",IF(K118=30.9,"high",IF(AND(K118&gt;30.1,K118&lt;30.9),"normal","up"))))</f>
        <v>normal</v>
      </c>
      <c r="E118" t="str">
        <f>IF(K118&lt;29.8,"down",IF(K118=29.8,"low",IF(K118=31.6,"high",IF(AND(K118&gt;29.8,K118&lt;31.6),"normal","up"))))</f>
        <v>normal</v>
      </c>
      <c r="F118" t="str">
        <f>IF(P118&lt;30.45,"PVP-down",IF(P118=30.45,30.45,IF(P118&gt;30.45,"PVP-up")))</f>
        <v>PVP-down</v>
      </c>
      <c r="G118" t="str">
        <f>IF(R118&lt;907,"PVV-down",IF(R118=907,907,IF(R118&gt;907,"PVV-up")))</f>
        <v>PVV-up</v>
      </c>
      <c r="H118" s="3">
        <f t="shared" si="12"/>
        <v>4.970662496553588E-3</v>
      </c>
      <c r="I118">
        <f>[1]!'2498.PreviousPrice'</f>
        <v>30.45</v>
      </c>
      <c r="J118">
        <f>[1]!'2498.PreOpenPrice'</f>
        <v>30.15</v>
      </c>
      <c r="K118">
        <f>[1]!'2498.Open'</f>
        <v>30.45</v>
      </c>
      <c r="L118">
        <f>[1]!'2498.Change'</f>
        <v>-0.3</v>
      </c>
      <c r="M118">
        <f>[1]!'2498.ChangePercent'</f>
        <v>-9.9000000000000008E-3</v>
      </c>
      <c r="N118">
        <f>[1]!'2498.BidPrice'</f>
        <v>30.15</v>
      </c>
      <c r="O118">
        <f>[1]!'2498.AskPrice'</f>
        <v>30.2</v>
      </c>
      <c r="P118">
        <f>[1]!'2498.Price'</f>
        <v>30.15</v>
      </c>
      <c r="Q118">
        <f>[1]!'2498.Volume'</f>
        <v>264</v>
      </c>
      <c r="R118">
        <f>[1]!'2498.CumulativeVolume'</f>
        <v>4070</v>
      </c>
      <c r="S118">
        <f>[1]!'2498.PreviousVolume'</f>
        <v>5093</v>
      </c>
      <c r="T118" s="3">
        <f t="shared" si="13"/>
        <v>-9.8522167487684973E-3</v>
      </c>
      <c r="U118" s="3">
        <f>((T118*AB118)*D4)</f>
        <v>-8.7162862016842438E-2</v>
      </c>
      <c r="V118" s="5">
        <f t="shared" si="14"/>
        <v>7959599.9999999991</v>
      </c>
      <c r="W118" s="5">
        <f t="shared" si="15"/>
        <v>0</v>
      </c>
      <c r="X118">
        <v>2498</v>
      </c>
      <c r="Y118" s="5">
        <v>8188043350</v>
      </c>
      <c r="Z118" s="3">
        <f>((D2*AB118)/P118)/10</f>
        <v>2.9604693095280032E-2</v>
      </c>
      <c r="AA118" s="3">
        <f>((M118*AB118)*D2)</f>
        <v>-8.8365568185446594E-2</v>
      </c>
      <c r="AB118" s="3">
        <f>AE118/AE323</f>
        <v>6.9224561565277873E-4</v>
      </c>
      <c r="AC118" s="3">
        <f>AF118/AF323</f>
        <v>6.9263800189997972E-4</v>
      </c>
      <c r="AD118" s="5">
        <f t="shared" si="16"/>
        <v>24686950700.25</v>
      </c>
      <c r="AE118" s="5">
        <f t="shared" si="17"/>
        <v>24686950700.25</v>
      </c>
      <c r="AF118" s="5">
        <f t="shared" si="18"/>
        <v>24932592000.75</v>
      </c>
      <c r="AG118" t="str">
        <f t="shared" si="19"/>
        <v>DBM200</v>
      </c>
      <c r="AH118">
        <f t="shared" si="20"/>
        <v>0</v>
      </c>
      <c r="AI118">
        <f t="shared" si="21"/>
        <v>0</v>
      </c>
      <c r="AJ118">
        <f t="shared" si="22"/>
        <v>0</v>
      </c>
      <c r="AK118" t="str">
        <f>IF(Q118&lt;139,"down",IF(Q118=139,139,IF(Q118&gt;139,"up")))</f>
        <v>up</v>
      </c>
    </row>
    <row r="119" spans="1:37" x14ac:dyDescent="0.25">
      <c r="A119">
        <f>IF(X119=3576,3576,"Error")</f>
        <v>3576</v>
      </c>
      <c r="B119" t="str">
        <f>IF(K119&lt;9.38,"down",IF(K119=9.38,"low",IF(K119=10.1,"high",IF(AND(K119&gt;9.38,K119&lt;10.1),"normal","up"))))</f>
        <v>up</v>
      </c>
      <c r="C119" t="str">
        <f>IF(K119&lt;9.38,"down",IF(K119=9.38,"low",IF(K119=10.1,"high",IF(AND(K119&gt;9.38,K119&lt;10.1),"normal","up"))))</f>
        <v>up</v>
      </c>
      <c r="D119" t="str">
        <f>IF(K119&lt;9.38,"down",IF(K119=9.38,"low",IF(K119=10.1,"high",IF(AND(K119&gt;9.38,K119&lt;10.1),"normal","up"))))</f>
        <v>up</v>
      </c>
      <c r="E119" t="str">
        <f>IF(K119&lt;8.95,"down",IF(K119=8.95,"low",IF(K119=10.1,"high",IF(AND(K119&gt;8.95,K119&lt;10.1),"normal","up"))))</f>
        <v>up</v>
      </c>
      <c r="F119" t="str">
        <f>IF(P119&lt;10.1,"PVP-down",IF(P119=10.1,10.1,IF(P119&gt;10.1,"PVP-up")))</f>
        <v>PVP-down</v>
      </c>
      <c r="G119" t="str">
        <f>IF(R119&lt;31737,"PVV-down",IF(R119=31737,31737,IF(R119&gt;31737,"PVV-up")))</f>
        <v>PVV-up</v>
      </c>
      <c r="H119" s="3">
        <f t="shared" si="12"/>
        <v>3.9094782993021361E-2</v>
      </c>
      <c r="I119">
        <f>[1]!'3576.PreviousPrice'</f>
        <v>10.1</v>
      </c>
      <c r="J119">
        <f>[1]!'3576.PreOpenPrice'</f>
        <v>9.51</v>
      </c>
      <c r="K119">
        <f>[1]!'3576.Open'</f>
        <v>10.35</v>
      </c>
      <c r="L119">
        <f>[1]!'3576.Change'</f>
        <v>-0.59</v>
      </c>
      <c r="M119">
        <f>[1]!'3576.ChangePercent'</f>
        <v>-5.8400000000000001E-2</v>
      </c>
      <c r="N119">
        <f>[1]!'3576.BidPrice'</f>
        <v>9.51</v>
      </c>
      <c r="O119">
        <f>[1]!'3576.AskPrice'</f>
        <v>9.52</v>
      </c>
      <c r="P119">
        <f>[1]!'3576.Price'</f>
        <v>9.51</v>
      </c>
      <c r="Q119">
        <f>[1]!'3576.Volume'</f>
        <v>1654</v>
      </c>
      <c r="R119">
        <f>[1]!'3576.CumulativeVolume'</f>
        <v>104192</v>
      </c>
      <c r="S119">
        <f>[1]!'3576.PreviousVolume'</f>
        <v>83693</v>
      </c>
      <c r="T119" s="3">
        <f t="shared" si="13"/>
        <v>-8.1159420289855067E-2</v>
      </c>
      <c r="U119" s="3">
        <f>((T119*AB119)*D4)</f>
        <v>-0.73716565916594345</v>
      </c>
      <c r="V119" s="5">
        <f t="shared" si="14"/>
        <v>15729539.999999998</v>
      </c>
      <c r="W119" s="5">
        <f t="shared" si="15"/>
        <v>0</v>
      </c>
      <c r="X119">
        <v>3576</v>
      </c>
      <c r="Y119" s="5">
        <v>26651126320</v>
      </c>
      <c r="Z119" s="3">
        <f>((D2*AB119)/P119)/10</f>
        <v>9.6359823906787184E-2</v>
      </c>
      <c r="AA119" s="3">
        <f>((M119*AB119)*D2)</f>
        <v>-0.53516704440647089</v>
      </c>
      <c r="AB119" s="3">
        <f>AE119/AE323</f>
        <v>7.1070414561311157E-4</v>
      </c>
      <c r="AC119" s="3">
        <f>AF119/AF323</f>
        <v>7.4778341180630598E-4</v>
      </c>
      <c r="AD119" s="5">
        <f t="shared" si="16"/>
        <v>25345221130.32</v>
      </c>
      <c r="AE119" s="5">
        <f t="shared" si="17"/>
        <v>25345221130.32</v>
      </c>
      <c r="AF119" s="5">
        <f t="shared" si="18"/>
        <v>26917637583.200001</v>
      </c>
      <c r="AG119" t="str">
        <f t="shared" si="19"/>
        <v>DBM200</v>
      </c>
      <c r="AH119">
        <f t="shared" si="20"/>
        <v>0</v>
      </c>
      <c r="AI119">
        <f t="shared" si="21"/>
        <v>0</v>
      </c>
      <c r="AJ119">
        <f t="shared" si="22"/>
        <v>0</v>
      </c>
      <c r="AK119" t="str">
        <f>IF(Q119&lt;1568,"down",IF(Q119=1568,1568,IF(Q119&gt;1568,"up")))</f>
        <v>up</v>
      </c>
    </row>
    <row r="120" spans="1:37" x14ac:dyDescent="0.25">
      <c r="A120">
        <f>IF(X120=2456,2456,"Error")</f>
        <v>2456</v>
      </c>
      <c r="B120" t="str">
        <f>IF(K120&lt;102.5,"down",IF(K120=102.5,"low",IF(K120=105.5,"high",IF(AND(K120&gt;102.5,K120&lt;105.5),"normal","up"))))</f>
        <v>normal</v>
      </c>
      <c r="C120" t="str">
        <f>IF(K120&lt;102.5,"down",IF(K120=102.5,"low",IF(K120=105.5,"high",IF(AND(K120&gt;102.5,K120&lt;105.5),"normal","up"))))</f>
        <v>normal</v>
      </c>
      <c r="D120" t="str">
        <f>IF(K120&lt;102.5,"down",IF(K120=102.5,"low",IF(K120=105.5,"high",IF(AND(K120&gt;102.5,K120&lt;105.5),"normal","up"))))</f>
        <v>normal</v>
      </c>
      <c r="E120" t="str">
        <f>IF(K120&lt;95,"down",IF(K120=95,"low",IF(K120=108.5,"high",IF(AND(K120&gt;95,K120&lt;108.5),"normal","up"))))</f>
        <v>normal</v>
      </c>
      <c r="F120" t="str">
        <f>IF(P120&lt;103,"PVP-down",IF(P120=103,103,IF(P120&gt;103,"PVP-up")))</f>
        <v>PVP-up</v>
      </c>
      <c r="G120" t="str">
        <f>IF(R120&lt;1733,"PVV-down",IF(R120=1733,1733,IF(R120&gt;1733,"PVV-up")))</f>
        <v>PVV-up</v>
      </c>
      <c r="H120" s="3">
        <f t="shared" si="12"/>
        <v>3.2282434669866987E-2</v>
      </c>
      <c r="I120">
        <f>[1]!'2456.PreviousPrice'</f>
        <v>102.5</v>
      </c>
      <c r="J120">
        <f>[1]!'2456.PreOpenPrice'</f>
        <v>103.5</v>
      </c>
      <c r="K120">
        <f>[1]!'2456.Open'</f>
        <v>103.5</v>
      </c>
      <c r="L120">
        <f>[1]!'2456.Change'</f>
        <v>1</v>
      </c>
      <c r="M120">
        <f>[1]!'2456.ChangePercent'</f>
        <v>9.7999999999999997E-3</v>
      </c>
      <c r="N120">
        <f>[1]!'2456.BidPrice'</f>
        <v>103.5</v>
      </c>
      <c r="O120">
        <f>[1]!'2456.AskPrice'</f>
        <v>104</v>
      </c>
      <c r="P120">
        <f>[1]!'2456.Price'</f>
        <v>103.5</v>
      </c>
      <c r="Q120">
        <f>[1]!'2456.Volume'</f>
        <v>453</v>
      </c>
      <c r="R120">
        <f>[1]!'2456.CumulativeVolume'</f>
        <v>8243</v>
      </c>
      <c r="S120">
        <f>[1]!'2456.PreviousVolume'</f>
        <v>7432</v>
      </c>
      <c r="T120" s="3">
        <f t="shared" si="13"/>
        <v>0</v>
      </c>
      <c r="U120" s="3">
        <f>((T120*AB120)*D4)</f>
        <v>0</v>
      </c>
      <c r="V120" s="5">
        <f t="shared" si="14"/>
        <v>46885500</v>
      </c>
      <c r="W120" s="5">
        <f t="shared" si="15"/>
        <v>0</v>
      </c>
      <c r="X120">
        <v>2456</v>
      </c>
      <c r="Y120" s="5">
        <v>2553400970</v>
      </c>
      <c r="Z120" s="3">
        <f>((D2*AB120)/P120)/10</f>
        <v>9.2320776569948578E-3</v>
      </c>
      <c r="AA120" s="3">
        <f>((M120*AB120)*D2)</f>
        <v>9.3640963674898839E-2</v>
      </c>
      <c r="AB120" s="3">
        <f>AE120/AE323</f>
        <v>7.4105788544979664E-4</v>
      </c>
      <c r="AC120" s="3">
        <f>AF120/AF323</f>
        <v>7.2707928221161112E-4</v>
      </c>
      <c r="AD120" s="5">
        <f t="shared" si="16"/>
        <v>26427700039.5</v>
      </c>
      <c r="AE120" s="5">
        <f t="shared" si="17"/>
        <v>26427700039.5</v>
      </c>
      <c r="AF120" s="5">
        <f t="shared" si="18"/>
        <v>26172359942.5</v>
      </c>
      <c r="AG120">
        <f t="shared" si="19"/>
        <v>0</v>
      </c>
      <c r="AH120">
        <f t="shared" si="20"/>
        <v>0</v>
      </c>
      <c r="AI120">
        <f t="shared" si="21"/>
        <v>0</v>
      </c>
      <c r="AJ120" t="str">
        <f t="shared" si="22"/>
        <v>UBM200</v>
      </c>
      <c r="AK120" t="str">
        <f>IF(Q120&lt;176,"down",IF(Q120=176,176,IF(Q120&gt;176,"up")))</f>
        <v>up</v>
      </c>
    </row>
    <row r="121" spans="1:37" x14ac:dyDescent="0.25">
      <c r="A121">
        <f>IF(X121=3042,3042,"Error")</f>
        <v>3042</v>
      </c>
      <c r="B121" t="str">
        <f>IF(K121&lt;80.4,"down",IF(K121=80.4,"low",IF(K121=85.5,"high",IF(AND(K121&gt;80.4,K121&lt;85.5),"normal","up"))))</f>
        <v>normal</v>
      </c>
      <c r="C121" t="str">
        <f>IF(K121&lt;80.4,"down",IF(K121=80.4,"low",IF(K121=85.5,"high",IF(AND(K121&gt;80.4,K121&lt;85.5),"normal","up"))))</f>
        <v>normal</v>
      </c>
      <c r="D121" t="str">
        <f>IF(K121&lt;80.4,"down",IF(K121=80.4,"low",IF(K121=85.5,"high",IF(AND(K121&gt;80.4,K121&lt;85.5),"normal","up"))))</f>
        <v>normal</v>
      </c>
      <c r="E121" t="str">
        <f>IF(K121&lt;75,"down",IF(K121=75,"low",IF(K121=88,"high",IF(AND(K121&gt;75,K121&lt;88),"normal","up"))))</f>
        <v>normal</v>
      </c>
      <c r="F121" t="str">
        <f>IF(P121&lt;81,"PVP-down",IF(P121=81,81,IF(P121&gt;81,"PVP-up")))</f>
        <v>PVP-up</v>
      </c>
      <c r="G121" t="str">
        <f>IF(R121&lt;549,"PVV-down",IF(R121=549,549,IF(R121&gt;549,"PVV-up")))</f>
        <v>PVV-up</v>
      </c>
      <c r="H121" s="3">
        <f t="shared" si="12"/>
        <v>4.234286329698915E-2</v>
      </c>
      <c r="I121">
        <f>[1]!'3042.PreviousPrice'</f>
        <v>81.7</v>
      </c>
      <c r="J121">
        <f>[1]!'3042.PreOpenPrice'</f>
        <v>83.8</v>
      </c>
      <c r="K121">
        <f>[1]!'3042.Open'</f>
        <v>82.8</v>
      </c>
      <c r="L121">
        <f>[1]!'3042.Change'</f>
        <v>2</v>
      </c>
      <c r="M121">
        <f>[1]!'3042.ChangePercent'</f>
        <v>2.4500000000000001E-2</v>
      </c>
      <c r="N121">
        <f>[1]!'3042.BidPrice'</f>
        <v>83.6</v>
      </c>
      <c r="O121">
        <f>[1]!'3042.AskPrice'</f>
        <v>83.7</v>
      </c>
      <c r="P121">
        <f>[1]!'3042.Price'</f>
        <v>83.7</v>
      </c>
      <c r="Q121">
        <f>[1]!'3042.Volume'</f>
        <v>421</v>
      </c>
      <c r="R121">
        <f>[1]!'3042.CumulativeVolume'</f>
        <v>13116</v>
      </c>
      <c r="S121">
        <f>[1]!'3042.PreviousVolume'</f>
        <v>8318</v>
      </c>
      <c r="T121" s="3">
        <f t="shared" si="13"/>
        <v>1.0869565217391373E-2</v>
      </c>
      <c r="U121" s="3">
        <f>((T121*AB121)*D4)</f>
        <v>0.10099244598334928</v>
      </c>
      <c r="V121" s="5">
        <f t="shared" si="14"/>
        <v>0</v>
      </c>
      <c r="W121" s="5">
        <f t="shared" si="15"/>
        <v>35237700.000000007</v>
      </c>
      <c r="X121">
        <v>3042</v>
      </c>
      <c r="Y121" s="5">
        <v>3097570400</v>
      </c>
      <c r="Z121" s="3">
        <f>((D2*AB121)/P121)/10</f>
        <v>1.1199576884631881E-2</v>
      </c>
      <c r="AA121" s="3">
        <f>((M121*AB121)*D2)</f>
        <v>0.22966412338470366</v>
      </c>
      <c r="AB121" s="3">
        <f>AE121/AE323</f>
        <v>7.2700836454450788E-4</v>
      </c>
      <c r="AC121" s="3">
        <f>AF121/AF323</f>
        <v>7.0304338696991367E-4</v>
      </c>
      <c r="AD121" s="5">
        <f t="shared" si="16"/>
        <v>25957639952</v>
      </c>
      <c r="AE121" s="5">
        <f t="shared" si="17"/>
        <v>25926664248</v>
      </c>
      <c r="AF121" s="5">
        <f t="shared" si="18"/>
        <v>25307150168</v>
      </c>
      <c r="AG121">
        <f t="shared" si="19"/>
        <v>0</v>
      </c>
      <c r="AH121">
        <f t="shared" si="20"/>
        <v>0</v>
      </c>
      <c r="AI121" t="str">
        <f t="shared" si="21"/>
        <v>UAM200</v>
      </c>
      <c r="AJ121">
        <f t="shared" si="22"/>
        <v>0</v>
      </c>
      <c r="AK121" t="str">
        <f>IF(Q121&lt;95,"down",IF(Q121=95,95,IF(Q121&gt;95,"up")))</f>
        <v>up</v>
      </c>
    </row>
    <row r="122" spans="1:37" x14ac:dyDescent="0.25">
      <c r="A122">
        <f>IF(X122=8150,8150,"Error")</f>
        <v>8150</v>
      </c>
      <c r="B122" t="str">
        <f>IF(K122&lt;31.85,"down",IF(K122=31.85,"low",IF(K122=32.7,"high",IF(AND(K122&gt;31.85,K122&lt;32.7),"normal","up"))))</f>
        <v>normal</v>
      </c>
      <c r="C122" t="str">
        <f>IF(K122&lt;31.85,"down",IF(K122=31.85,"low",IF(K122=32.7,"high",IF(AND(K122&gt;31.85,K122&lt;32.7),"normal","up"))))</f>
        <v>normal</v>
      </c>
      <c r="D122" t="str">
        <f>IF(K122&lt;31.85,"down",IF(K122=31.85,"low",IF(K122=32.7,"high",IF(AND(K122&gt;31.85,K122&lt;32.7),"normal","up"))))</f>
        <v>normal</v>
      </c>
      <c r="E122" t="str">
        <f>IF(K122&lt;31.8,"down",IF(K122=31.8,"low",IF(K122=32.8,"high",IF(AND(K122&gt;31.8,K122&lt;32.8),"normal","up"))))</f>
        <v>normal</v>
      </c>
      <c r="F122" t="str">
        <f>IF(P122&lt;32.15,"PVP-down",IF(P122=32.15,32.15,IF(P122&gt;32.15,"PVP-up")))</f>
        <v>PVP-down</v>
      </c>
      <c r="G122" t="str">
        <f>IF(R122&lt;500,"PVV-down",IF(R122=500,500,IF(R122&gt;500,"PVV-up")))</f>
        <v>PVV-up</v>
      </c>
      <c r="H122" s="3">
        <f t="shared" si="12"/>
        <v>4.3850715685069333E-3</v>
      </c>
      <c r="I122">
        <f>[1]!'8150.PreviousPrice'</f>
        <v>32.15</v>
      </c>
      <c r="J122">
        <f>[1]!'8150.PreOpenPrice'</f>
        <v>31.75</v>
      </c>
      <c r="K122">
        <f>[1]!'8150.Open'</f>
        <v>32.299999999999997</v>
      </c>
      <c r="L122">
        <f>[1]!'8150.Change'</f>
        <v>-0.4</v>
      </c>
      <c r="M122">
        <f>[1]!'8150.ChangePercent'</f>
        <v>-1.24E-2</v>
      </c>
      <c r="N122">
        <f>[1]!'8150.BidPrice'</f>
        <v>31.75</v>
      </c>
      <c r="O122">
        <f>[1]!'8150.AskPrice'</f>
        <v>31.8</v>
      </c>
      <c r="P122">
        <f>[1]!'8150.Price'</f>
        <v>31.75</v>
      </c>
      <c r="Q122">
        <f>[1]!'8150.Volume'</f>
        <v>118</v>
      </c>
      <c r="R122">
        <f>[1]!'8150.CumulativeVolume'</f>
        <v>3189</v>
      </c>
      <c r="S122">
        <f>[1]!'8150.PreviousVolume'</f>
        <v>2564</v>
      </c>
      <c r="T122" s="3">
        <f t="shared" si="13"/>
        <v>-1.7027863777089695E-2</v>
      </c>
      <c r="U122" s="3">
        <f>((T122*AB122)*D4)</f>
        <v>-0.14090026329373123</v>
      </c>
      <c r="V122" s="5">
        <f t="shared" si="14"/>
        <v>3746500</v>
      </c>
      <c r="W122" s="5">
        <f t="shared" si="15"/>
        <v>0</v>
      </c>
      <c r="X122">
        <v>8150</v>
      </c>
      <c r="Y122" s="5">
        <v>7272401260</v>
      </c>
      <c r="Z122" s="3">
        <f>((D2*AB122)/P122)/10</f>
        <v>2.6294097156682471E-2</v>
      </c>
      <c r="AA122" s="3">
        <f>((M122*AB122)*D2)</f>
        <v>-0.10351986050585887</v>
      </c>
      <c r="AB122" s="3">
        <f>AE122/AE323</f>
        <v>6.4746206353704695E-4</v>
      </c>
      <c r="AC122" s="3">
        <f>AF122/AF323</f>
        <v>6.4952772862328628E-4</v>
      </c>
      <c r="AD122" s="5">
        <f t="shared" si="16"/>
        <v>23089874000.5</v>
      </c>
      <c r="AE122" s="5">
        <f t="shared" si="17"/>
        <v>23089874000.5</v>
      </c>
      <c r="AF122" s="5">
        <f t="shared" si="18"/>
        <v>23380770050.900002</v>
      </c>
      <c r="AG122" t="str">
        <f t="shared" si="19"/>
        <v>DBM100</v>
      </c>
      <c r="AH122">
        <f t="shared" si="20"/>
        <v>0</v>
      </c>
      <c r="AI122">
        <f t="shared" si="21"/>
        <v>0</v>
      </c>
      <c r="AJ122">
        <f t="shared" si="22"/>
        <v>0</v>
      </c>
      <c r="AK122" t="str">
        <f>IF(Q122&lt;40,"down",IF(Q122=40,40,IF(Q122&gt;40,"up")))</f>
        <v>up</v>
      </c>
    </row>
    <row r="123" spans="1:37" x14ac:dyDescent="0.25">
      <c r="A123">
        <f>IF(X123=2362,2362,"Error")</f>
        <v>2362</v>
      </c>
      <c r="B123" t="str">
        <f>IF(K123&lt;30.75,"down",IF(K123=30.75,"low",IF(K123=31.2,"high",IF(AND(K123&gt;30.75,K123&lt;31.2),"normal","up"))))</f>
        <v>normal</v>
      </c>
      <c r="C123" t="str">
        <f>IF(K123&lt;30.75,"down",IF(K123=30.75,"low",IF(K123=31.2,"high",IF(AND(K123&gt;30.75,K123&lt;31.2),"normal","up"))))</f>
        <v>normal</v>
      </c>
      <c r="D123" t="str">
        <f>IF(K123&lt;30.75,"down",IF(K123=30.75,"low",IF(K123=31.2,"high",IF(AND(K123&gt;30.75,K123&lt;31.2),"normal","up"))))</f>
        <v>normal</v>
      </c>
      <c r="E123" t="str">
        <f>IF(K123&lt;29.95,"down",IF(K123=29.95,"low",IF(K123=33.05,"high",IF(AND(K123&gt;29.95,K123&lt;33.05),"normal","up"))))</f>
        <v>normal</v>
      </c>
      <c r="F123" t="str">
        <f>IF(P123&lt;31.05,"PVP-down",IF(P123=31.05,31.05,IF(P123&gt;31.05,"PVP-up")))</f>
        <v>PVP-down</v>
      </c>
      <c r="G123" t="str">
        <f>IF(R123&lt;993,"PVV-down",IF(R123=993,993,IF(R123&gt;993,"PVV-up")))</f>
        <v>PVV-up</v>
      </c>
      <c r="H123" s="3">
        <f t="shared" si="12"/>
        <v>1.9783117311646058E-3</v>
      </c>
      <c r="I123">
        <f>[1]!'2362.PreviousPrice'</f>
        <v>31.05</v>
      </c>
      <c r="J123">
        <f>[1]!'2362.PreOpenPrice'</f>
        <v>30.9</v>
      </c>
      <c r="K123">
        <f>[1]!'2362.Open'</f>
        <v>30.8</v>
      </c>
      <c r="L123">
        <f>[1]!'2362.Change'</f>
        <v>-0.15</v>
      </c>
      <c r="M123">
        <f>[1]!'2362.ChangePercent'</f>
        <v>-4.7999999999999996E-3</v>
      </c>
      <c r="N123">
        <f>[1]!'2362.BidPrice'</f>
        <v>30.7</v>
      </c>
      <c r="O123">
        <f>[1]!'2362.AskPrice'</f>
        <v>30.9</v>
      </c>
      <c r="P123">
        <f>[1]!'2362.Price'</f>
        <v>30.9</v>
      </c>
      <c r="Q123">
        <f>[1]!'2362.Volume'</f>
        <v>488</v>
      </c>
      <c r="R123">
        <f>[1]!'2362.CumulativeVolume'</f>
        <v>1325</v>
      </c>
      <c r="S123">
        <f>[1]!'2362.PreviousVolume'</f>
        <v>2925</v>
      </c>
      <c r="T123" s="3">
        <f t="shared" si="13"/>
        <v>3.2467532467531776E-3</v>
      </c>
      <c r="U123" s="3">
        <f>((T123*AB123)*D4)</f>
        <v>2.4080138991360536E-2</v>
      </c>
      <c r="V123" s="5">
        <f t="shared" si="14"/>
        <v>0</v>
      </c>
      <c r="W123" s="5">
        <f t="shared" si="15"/>
        <v>15079199.999999998</v>
      </c>
      <c r="X123">
        <v>2362</v>
      </c>
      <c r="Y123" s="5">
        <v>6697630000</v>
      </c>
      <c r="Z123" s="3">
        <f>((D2*AB123)/P123)/10</f>
        <v>2.4215953939196032E-2</v>
      </c>
      <c r="AA123" s="3">
        <f>((M123*AB123)*D2)</f>
        <v>-3.5917102882615556E-2</v>
      </c>
      <c r="AB123" s="3">
        <f>AE123/AE323</f>
        <v>5.8032649039953265E-4</v>
      </c>
      <c r="AC123" s="3">
        <f>AF123/AF323</f>
        <v>5.7772563931309873E-4</v>
      </c>
      <c r="AD123" s="5">
        <f t="shared" si="16"/>
        <v>20695676700</v>
      </c>
      <c r="AE123" s="5">
        <f t="shared" si="17"/>
        <v>20695676700</v>
      </c>
      <c r="AF123" s="5">
        <f t="shared" si="18"/>
        <v>20796141150</v>
      </c>
      <c r="AG123">
        <f t="shared" si="19"/>
        <v>0</v>
      </c>
      <c r="AH123" t="str">
        <f t="shared" si="20"/>
        <v>DAM200</v>
      </c>
      <c r="AI123">
        <f t="shared" si="21"/>
        <v>0</v>
      </c>
      <c r="AJ123">
        <f t="shared" si="22"/>
        <v>0</v>
      </c>
      <c r="AK123" t="str">
        <f>IF(Q123&lt;20,"down",IF(Q123=20,20,IF(Q123&gt;20,"up")))</f>
        <v>up</v>
      </c>
    </row>
    <row r="124" spans="1:37" x14ac:dyDescent="0.25">
      <c r="A124">
        <f>IF(X124=5469,5469,"Error")</f>
        <v>5469</v>
      </c>
      <c r="B124" t="str">
        <f>IF(K124&lt;43.35,"down",IF(K124=43.35,"low",IF(K124=44.15,"high",IF(AND(K124&gt;43.35,K124&lt;44.15),"normal","up"))))</f>
        <v>normal</v>
      </c>
      <c r="C124" t="str">
        <f>IF(K124&lt;43.35,"down",IF(K124=43.35,"low",IF(K124=44.15,"high",IF(AND(K124&gt;43.35,K124&lt;44.15),"normal","up"))))</f>
        <v>normal</v>
      </c>
      <c r="D124" t="str">
        <f>IF(K124&lt;43.35,"down",IF(K124=43.35,"low",IF(K124=44.15,"high",IF(AND(K124&gt;43.35,K124&lt;44.15),"normal","up"))))</f>
        <v>normal</v>
      </c>
      <c r="E124" t="str">
        <f>IF(K124&lt;41.6,"down",IF(K124=41.6,"low",IF(K124=44.3,"high",IF(AND(K124&gt;41.6,K124&lt;44.3),"normal","up"))))</f>
        <v>normal</v>
      </c>
      <c r="F124" t="str">
        <f>IF(P124&lt;43.95,"PVP-down",IF(P124=43.95,43.95,IF(P124&gt;43.95,"PVP-up")))</f>
        <v>PVP-down</v>
      </c>
      <c r="G124" t="str">
        <f>IF(R124&lt;811,"PVV-down",IF(R124=811,811,IF(R124&gt;811,"PVV-up")))</f>
        <v>PVV-up</v>
      </c>
      <c r="H124" s="3">
        <f t="shared" si="12"/>
        <v>1.2493344767613872E-2</v>
      </c>
      <c r="I124">
        <f>[1]!'5469.PreviousPrice'</f>
        <v>43.95</v>
      </c>
      <c r="J124">
        <f>[1]!'5469.PreOpenPrice'</f>
        <v>42.55</v>
      </c>
      <c r="K124">
        <f>[1]!'5469.Open'</f>
        <v>44</v>
      </c>
      <c r="L124">
        <f>[1]!'5469.Change'</f>
        <v>-1.4</v>
      </c>
      <c r="M124">
        <f>[1]!'5469.ChangePercent'</f>
        <v>-3.1899999999999998E-2</v>
      </c>
      <c r="N124">
        <f>[1]!'5469.BidPrice'</f>
        <v>42.55</v>
      </c>
      <c r="O124">
        <f>[1]!'5469.AskPrice'</f>
        <v>42.7</v>
      </c>
      <c r="P124">
        <f>[1]!'5469.Price'</f>
        <v>42.55</v>
      </c>
      <c r="Q124">
        <f>[1]!'5469.Volume'</f>
        <v>449</v>
      </c>
      <c r="R124">
        <f>[1]!'5469.CumulativeVolume'</f>
        <v>6602</v>
      </c>
      <c r="S124">
        <f>[1]!'5469.PreviousVolume'</f>
        <v>5244</v>
      </c>
      <c r="T124" s="3">
        <f t="shared" si="13"/>
        <v>-3.2954545454545521E-2</v>
      </c>
      <c r="U124" s="3">
        <f>((T124*AB124)*D4)</f>
        <v>-0.26554722030150857</v>
      </c>
      <c r="V124" s="5">
        <f t="shared" si="14"/>
        <v>19104949.999999996</v>
      </c>
      <c r="W124" s="5">
        <f t="shared" si="15"/>
        <v>0</v>
      </c>
      <c r="X124">
        <v>5469</v>
      </c>
      <c r="Y124" s="5">
        <v>5284413520</v>
      </c>
      <c r="Z124" s="3">
        <f>((D2*AB124)/P124)/10</f>
        <v>1.9106327819838478E-2</v>
      </c>
      <c r="AA124" s="3">
        <f>((M124*AB124)*D2)</f>
        <v>-0.25933878534618654</v>
      </c>
      <c r="AB124" s="3">
        <f>AE124/AE323</f>
        <v>6.3050585445488375E-4</v>
      </c>
      <c r="AC124" s="3">
        <f>AF124/AF323</f>
        <v>6.4520029874608068E-4</v>
      </c>
      <c r="AD124" s="5">
        <f t="shared" si="16"/>
        <v>22485179527.599998</v>
      </c>
      <c r="AE124" s="5">
        <f t="shared" si="17"/>
        <v>22485179527.599998</v>
      </c>
      <c r="AF124" s="5">
        <f t="shared" si="18"/>
        <v>23224997420.400002</v>
      </c>
      <c r="AG124" t="str">
        <f t="shared" si="19"/>
        <v>DBM200</v>
      </c>
      <c r="AH124">
        <f t="shared" si="20"/>
        <v>0</v>
      </c>
      <c r="AI124">
        <f t="shared" si="21"/>
        <v>0</v>
      </c>
      <c r="AJ124">
        <f t="shared" si="22"/>
        <v>0</v>
      </c>
      <c r="AK124" t="str">
        <f>IF(Q124&lt;267,"down",IF(Q124=267,267,IF(Q124&gt;267,"up")))</f>
        <v>up</v>
      </c>
    </row>
    <row r="125" spans="1:37" x14ac:dyDescent="0.25">
      <c r="A125">
        <f>IF(X125=6196,6196,"Error")</f>
        <v>6196</v>
      </c>
      <c r="B125" t="str">
        <f>IF(K125&lt;116,"down",IF(K125=116,"low",IF(K125=122,"high",IF(AND(K125&gt;116,K125&lt;122),"normal","up"))))</f>
        <v>down</v>
      </c>
      <c r="C125" t="str">
        <f>IF(K125&lt;116,"down",IF(K125=116,"low",IF(K125=122,"high",IF(AND(K125&gt;116,K125&lt;122),"normal","up"))))</f>
        <v>down</v>
      </c>
      <c r="D125" t="str">
        <f>IF(K125&lt;116,"down",IF(K125=116,"low",IF(K125=122,"high",IF(AND(K125&gt;116,K125&lt;122),"normal","up"))))</f>
        <v>down</v>
      </c>
      <c r="E125" t="str">
        <f>IF(K125&lt;113,"down",IF(K125=113,"low",IF(K125=124.5,"high",IF(AND(K125&gt;113,K125&lt;124.5),"normal","up"))))</f>
        <v>down</v>
      </c>
      <c r="F125" t="str">
        <f>IF(P125&lt;119,"PVP-down",IF(P125=119,119,IF(P125&gt;119,"PVP-up")))</f>
        <v>PVP-down</v>
      </c>
      <c r="G125" t="str">
        <f>IF(R125&lt;695,"PVV-down",IF(R125=695,695,IF(R125&gt;695,"PVV-up")))</f>
        <v>PVV-up</v>
      </c>
      <c r="H125" s="3">
        <f t="shared" si="12"/>
        <v>2.9896061217983917E-2</v>
      </c>
      <c r="I125">
        <f>[1]!'6196.PreviousPrice'</f>
        <v>116</v>
      </c>
      <c r="J125">
        <f>[1]!'6196.PreOpenPrice'</f>
        <v>109</v>
      </c>
      <c r="K125">
        <f>[1]!'6196.Open'</f>
        <v>111.5</v>
      </c>
      <c r="L125">
        <f>[1]!'6196.Change'</f>
        <v>-7</v>
      </c>
      <c r="M125">
        <f>[1]!'6196.ChangePercent'</f>
        <v>-6.0299999999999999E-2</v>
      </c>
      <c r="N125">
        <f>[1]!'6196.BidPrice'</f>
        <v>108.5</v>
      </c>
      <c r="O125">
        <f>[1]!'6196.AskPrice'</f>
        <v>109</v>
      </c>
      <c r="P125">
        <f>[1]!'6196.Price'</f>
        <v>109</v>
      </c>
      <c r="Q125">
        <f>[1]!'6196.Volume'</f>
        <v>188</v>
      </c>
      <c r="R125">
        <f>[1]!'6196.CumulativeVolume'</f>
        <v>5594</v>
      </c>
      <c r="S125">
        <f>[1]!'6196.PreviousVolume'</f>
        <v>4303</v>
      </c>
      <c r="T125" s="3">
        <f t="shared" si="13"/>
        <v>-2.2421524663677129E-2</v>
      </c>
      <c r="U125" s="3">
        <f>((T125*AB125)*D4)</f>
        <v>-0.16388160234509219</v>
      </c>
      <c r="V125" s="5">
        <f t="shared" si="14"/>
        <v>0</v>
      </c>
      <c r="W125" s="5">
        <f t="shared" si="15"/>
        <v>20492000</v>
      </c>
      <c r="X125">
        <v>6196</v>
      </c>
      <c r="Y125" s="5">
        <v>1871149500</v>
      </c>
      <c r="Z125" s="3">
        <f>((D2*AB125)/P125)/10</f>
        <v>6.7653289455150093E-3</v>
      </c>
      <c r="AA125" s="3">
        <f>((M125*AB125)*D2)</f>
        <v>-0.44466477560186496</v>
      </c>
      <c r="AB125" s="3">
        <f>AE125/AE323</f>
        <v>5.7191007837842096E-4</v>
      </c>
      <c r="AC125" s="3">
        <f>AF125/AF323</f>
        <v>6.0298340864066826E-4</v>
      </c>
      <c r="AD125" s="5">
        <f t="shared" si="16"/>
        <v>20395529550</v>
      </c>
      <c r="AE125" s="5">
        <f t="shared" si="17"/>
        <v>20395529550</v>
      </c>
      <c r="AF125" s="5">
        <f t="shared" si="18"/>
        <v>21705334200</v>
      </c>
      <c r="AG125">
        <f t="shared" si="19"/>
        <v>0</v>
      </c>
      <c r="AH125" t="str">
        <f t="shared" si="20"/>
        <v>DAM150</v>
      </c>
      <c r="AI125">
        <f t="shared" si="21"/>
        <v>0</v>
      </c>
      <c r="AJ125">
        <f t="shared" si="22"/>
        <v>0</v>
      </c>
      <c r="AK125" t="str">
        <f>IF(Q125&lt;82,"down",IF(Q125=82,82,IF(Q125&gt;82,"up")))</f>
        <v>up</v>
      </c>
    </row>
    <row r="126" spans="1:37" x14ac:dyDescent="0.25">
      <c r="A126">
        <f>IF(X126=2368,2368,"Error")</f>
        <v>2368</v>
      </c>
      <c r="B126" t="str">
        <f>IF(K126&lt;42.75,"down",IF(K126=42.75,"low",IF(K126=45.95,"high",IF(AND(K126&gt;42.75,K126&lt;45.95),"normal","up"))))</f>
        <v>normal</v>
      </c>
      <c r="C126" t="str">
        <f>IF(K126&lt;42.75,"down",IF(K126=42.75,"low",IF(K126=45.95,"high",IF(AND(K126&gt;42.75,K126&lt;45.95),"normal","up"))))</f>
        <v>normal</v>
      </c>
      <c r="D126" t="str">
        <f>IF(K126&lt;42.75,"down",IF(K126=42.75,"low",IF(K126=45.95,"high",IF(AND(K126&gt;42.75,K126&lt;45.95),"normal","up"))))</f>
        <v>normal</v>
      </c>
      <c r="E126" t="str">
        <f>IF(K126&lt;39.75,"down",IF(K126=39.75,"low",IF(K126=45.95,"high",IF(AND(K126&gt;39.75,K126&lt;45.95),"normal","up"))))</f>
        <v>normal</v>
      </c>
      <c r="F126" t="str">
        <f>IF(P126&lt;43.6,"PVP-down",IF(P126=43.6,43.6,IF(P126&gt;43.6,"PVP-up")))</f>
        <v>PVP-up</v>
      </c>
      <c r="G126" t="str">
        <f>IF(R126&lt;5660,"PVV-down",IF(R126=5660,5660,IF(R126&gt;5660,"PVV-up")))</f>
        <v>PVV-up</v>
      </c>
      <c r="H126" s="3">
        <f t="shared" si="12"/>
        <v>8.4823479174168853E-2</v>
      </c>
      <c r="I126">
        <f>[1]!'2368.PreviousPrice'</f>
        <v>43.6</v>
      </c>
      <c r="J126">
        <f>[1]!'2368.PreOpenPrice'</f>
        <v>43.85</v>
      </c>
      <c r="K126">
        <f>[1]!'2368.Open'</f>
        <v>43.6</v>
      </c>
      <c r="L126">
        <f>[1]!'2368.Change'</f>
        <v>0.25</v>
      </c>
      <c r="M126">
        <f>[1]!'2368.ChangePercent'</f>
        <v>5.7000000000000002E-3</v>
      </c>
      <c r="N126">
        <f>[1]!'2368.BidPrice'</f>
        <v>43.85</v>
      </c>
      <c r="O126">
        <f>[1]!'2368.AskPrice'</f>
        <v>43.9</v>
      </c>
      <c r="P126">
        <f>[1]!'2368.Price'</f>
        <v>43.85</v>
      </c>
      <c r="Q126">
        <f>[1]!'2368.Volume'</f>
        <v>2543</v>
      </c>
      <c r="R126">
        <f>[1]!'2368.CumulativeVolume'</f>
        <v>46355</v>
      </c>
      <c r="S126">
        <f>[1]!'2368.PreviousVolume'</f>
        <v>90070</v>
      </c>
      <c r="T126" s="3">
        <f t="shared" si="13"/>
        <v>5.7339449541284398E-3</v>
      </c>
      <c r="U126" s="3">
        <f>((T126*AB126)*D4)</f>
        <v>4.9241774525174815E-2</v>
      </c>
      <c r="V126" s="5">
        <f t="shared" si="14"/>
        <v>111510550</v>
      </c>
      <c r="W126" s="5">
        <f t="shared" si="15"/>
        <v>0</v>
      </c>
      <c r="X126">
        <v>2368</v>
      </c>
      <c r="Y126" s="5">
        <v>5464878410</v>
      </c>
      <c r="Z126" s="3">
        <f>((D2*AB126)/P126)/10</f>
        <v>1.9758816754563459E-2</v>
      </c>
      <c r="AA126" s="3">
        <f>((M126*AB126)*D2)</f>
        <v>4.9386174537193635E-2</v>
      </c>
      <c r="AB126" s="3">
        <f>AE126/AE323</f>
        <v>6.7195913966775834E-4</v>
      </c>
      <c r="AC126" s="3">
        <f>AF126/AF323</f>
        <v>6.6192057111947515E-4</v>
      </c>
      <c r="AD126" s="5">
        <f t="shared" si="16"/>
        <v>23963491827.849998</v>
      </c>
      <c r="AE126" s="5">
        <f t="shared" si="17"/>
        <v>23963491827.849998</v>
      </c>
      <c r="AF126" s="5">
        <f t="shared" si="18"/>
        <v>23826869867.599998</v>
      </c>
      <c r="AG126">
        <f t="shared" si="19"/>
        <v>0</v>
      </c>
      <c r="AH126">
        <f t="shared" si="20"/>
        <v>0</v>
      </c>
      <c r="AI126">
        <f t="shared" si="21"/>
        <v>0</v>
      </c>
      <c r="AJ126" t="str">
        <f t="shared" si="22"/>
        <v>UBM200</v>
      </c>
      <c r="AK126" t="str">
        <f>IF(Q126&lt;1983,"down",IF(Q126=1983,1983,IF(Q126&gt;1983,"up")))</f>
        <v>up</v>
      </c>
    </row>
    <row r="127" spans="1:37" x14ac:dyDescent="0.25">
      <c r="A127">
        <f>IF(X127=6414,6414,"Error")</f>
        <v>6414</v>
      </c>
      <c r="B127" t="str">
        <f>IF(K127&lt;274.5,"down",IF(K127=274.5,"low",IF(K127=286,"high",IF(AND(K127&gt;274.5,K127&lt;286),"normal","up"))))</f>
        <v>normal</v>
      </c>
      <c r="C127" t="str">
        <f>IF(K127&lt;274.5,"down",IF(K127=274.5,"low",IF(K127=286,"high",IF(AND(K127&gt;274.5,K127&lt;286),"normal","up"))))</f>
        <v>normal</v>
      </c>
      <c r="D127" t="str">
        <f>IF(K127&lt;274.5,"down",IF(K127=274.5,"low",IF(K127=286,"high",IF(AND(K127&gt;274.5,K127&lt;286),"normal","up"))))</f>
        <v>normal</v>
      </c>
      <c r="E127" t="str">
        <f>IF(K127&lt;255.5,"down",IF(K127=255.5,"low",IF(K127=288,"high",IF(AND(K127&gt;255.5,K127&lt;288),"normal","up"))))</f>
        <v>normal</v>
      </c>
      <c r="F127" t="str">
        <f>IF(P127&lt;280,"PVP-down",IF(P127=280,280,IF(P127&gt;280,"PVP-up")))</f>
        <v>PVP-up</v>
      </c>
      <c r="G127" t="str">
        <f>IF(R127&lt;219,"PVV-down",IF(R127=219,219,IF(R127&gt;219,"PVV-up")))</f>
        <v>PVV-up</v>
      </c>
      <c r="H127" s="3">
        <f t="shared" si="12"/>
        <v>1.7553206917059555E-2</v>
      </c>
      <c r="I127">
        <f>[1]!'6414.PreviousPrice'</f>
        <v>284.5</v>
      </c>
      <c r="J127">
        <f>[1]!'6414.PreOpenPrice'</f>
        <v>283</v>
      </c>
      <c r="K127">
        <f>[1]!'6414.Open'</f>
        <v>280</v>
      </c>
      <c r="L127">
        <f>[1]!'6414.Change'</f>
        <v>-2</v>
      </c>
      <c r="M127">
        <f>[1]!'6414.ChangePercent'</f>
        <v>-7.0000000000000001E-3</v>
      </c>
      <c r="N127">
        <f>[1]!'6414.BidPrice'</f>
        <v>282</v>
      </c>
      <c r="O127">
        <f>[1]!'6414.AskPrice'</f>
        <v>282.5</v>
      </c>
      <c r="P127">
        <f>[1]!'6414.Price'</f>
        <v>282.5</v>
      </c>
      <c r="Q127">
        <f>[1]!'6414.Volume'</f>
        <v>48</v>
      </c>
      <c r="R127">
        <f>[1]!'6414.CumulativeVolume'</f>
        <v>1467</v>
      </c>
      <c r="S127">
        <f>[1]!'6414.PreviousVolume'</f>
        <v>1967</v>
      </c>
      <c r="T127" s="3">
        <f t="shared" si="13"/>
        <v>8.9285714285714281E-3</v>
      </c>
      <c r="U127" s="3">
        <f>((T127*AB127)*D4)</f>
        <v>7.5544725152934589E-2</v>
      </c>
      <c r="V127" s="5">
        <f t="shared" si="14"/>
        <v>0</v>
      </c>
      <c r="W127" s="5">
        <f t="shared" si="15"/>
        <v>13560000</v>
      </c>
      <c r="X127">
        <v>6414</v>
      </c>
      <c r="Y127" s="5">
        <v>835744720</v>
      </c>
      <c r="Z127" s="3">
        <f>((D2*AB127)/P127)/10</f>
        <v>3.0217189728973214E-3</v>
      </c>
      <c r="AA127" s="3">
        <f>((M127*AB127)*D2)</f>
        <v>-5.9754492689044522E-2</v>
      </c>
      <c r="AB127" s="3">
        <f>AE127/AE323</f>
        <v>6.6204095691289996E-4</v>
      </c>
      <c r="AC127" s="3">
        <f>AF127/AF323</f>
        <v>6.6053342272618472E-4</v>
      </c>
      <c r="AD127" s="5">
        <f t="shared" si="16"/>
        <v>23651575576</v>
      </c>
      <c r="AE127" s="5">
        <f t="shared" si="17"/>
        <v>23609788340</v>
      </c>
      <c r="AF127" s="5">
        <f t="shared" si="18"/>
        <v>23776937284</v>
      </c>
      <c r="AG127">
        <f t="shared" si="19"/>
        <v>0</v>
      </c>
      <c r="AH127" t="str">
        <f t="shared" si="20"/>
        <v>DAM10-50</v>
      </c>
      <c r="AI127">
        <f t="shared" si="21"/>
        <v>0</v>
      </c>
      <c r="AJ127">
        <f t="shared" si="22"/>
        <v>0</v>
      </c>
      <c r="AK127" t="str">
        <f>IF(Q127&lt;11,"down",IF(Q127=11,11,IF(Q127&gt;11,"up")))</f>
        <v>up</v>
      </c>
    </row>
    <row r="128" spans="1:37" x14ac:dyDescent="0.25">
      <c r="A128">
        <f>IF(X128=6230,6230,"Error")</f>
        <v>6230</v>
      </c>
      <c r="B128" t="str">
        <f>IF(K128&lt;247,"down",IF(K128=247,"low",IF(K128=252,"high",IF(AND(K128&gt;247,K128&lt;252),"normal","up"))))</f>
        <v>normal</v>
      </c>
      <c r="C128" t="str">
        <f>IF(K128&lt;247,"down",IF(K128=247,"low",IF(K128=252,"high",IF(AND(K128&gt;247,K128&lt;252),"normal","up"))))</f>
        <v>normal</v>
      </c>
      <c r="D128" t="str">
        <f>IF(K128&lt;247,"down",IF(K128=247,"low",IF(K128=252,"high",IF(AND(K128&gt;247,K128&lt;252),"normal","up"))))</f>
        <v>normal</v>
      </c>
      <c r="E128" t="str">
        <f>IF(K128&lt;246,"down",IF(K128=246,"low",IF(K128=262,"high",IF(AND(K128&gt;246,K128&lt;262),"normal","up"))))</f>
        <v>normal</v>
      </c>
      <c r="F128" t="str">
        <f>IF(P128&lt;248,"PVP-down",IF(P128=248,248,IF(P128&gt;248,"PVP-up")))</f>
        <v>PVP-down</v>
      </c>
      <c r="G128" t="str">
        <f>IF(R128&lt;177,"PVV-down",IF(R128=177,177,IF(R128&gt;177,"PVV-up")))</f>
        <v>PVV-up</v>
      </c>
      <c r="H128" s="3">
        <f t="shared" si="12"/>
        <v>5.1885844286226595E-3</v>
      </c>
      <c r="I128">
        <f>[1]!'6230.PreviousPrice'</f>
        <v>249</v>
      </c>
      <c r="J128">
        <f>[1]!'6230.PreOpenPrice'</f>
        <v>247</v>
      </c>
      <c r="K128">
        <f>[1]!'6230.Open'</f>
        <v>249</v>
      </c>
      <c r="L128">
        <f>[1]!'6230.Change'</f>
        <v>-2</v>
      </c>
      <c r="M128">
        <f>[1]!'6230.ChangePercent'</f>
        <v>-8.0000000000000002E-3</v>
      </c>
      <c r="N128">
        <f>[1]!'6230.BidPrice'</f>
        <v>247</v>
      </c>
      <c r="O128">
        <f>[1]!'6230.AskPrice'</f>
        <v>247.5</v>
      </c>
      <c r="P128">
        <f>[1]!'6230.Price'</f>
        <v>247</v>
      </c>
      <c r="Q128">
        <f>[1]!'6230.Volume'</f>
        <v>39</v>
      </c>
      <c r="R128">
        <f>[1]!'6230.CumulativeVolume'</f>
        <v>448</v>
      </c>
      <c r="S128">
        <f>[1]!'6230.PreviousVolume'</f>
        <v>661</v>
      </c>
      <c r="T128" s="3">
        <f t="shared" si="13"/>
        <v>-8.0321285140562242E-3</v>
      </c>
      <c r="U128" s="3">
        <f>((T128*AB128)*D4)</f>
        <v>-6.138846898956838E-2</v>
      </c>
      <c r="V128" s="5">
        <f t="shared" si="14"/>
        <v>9633000</v>
      </c>
      <c r="W128" s="5">
        <f t="shared" si="15"/>
        <v>0</v>
      </c>
      <c r="X128">
        <v>6230</v>
      </c>
      <c r="Y128" s="5">
        <v>863433960</v>
      </c>
      <c r="Z128" s="3">
        <f>((D2*AB128)/P128)/10</f>
        <v>3.1218322010767435E-3</v>
      </c>
      <c r="AA128" s="3">
        <f>((M128*AB128)*D2)</f>
        <v>-6.168740429327646E-2</v>
      </c>
      <c r="AB128" s="3">
        <f>AE128/AE323</f>
        <v>5.9802431647739697E-4</v>
      </c>
      <c r="AC128" s="3">
        <f>AF128/AF323</f>
        <v>5.97265402768554E-4</v>
      </c>
      <c r="AD128" s="5">
        <f t="shared" si="16"/>
        <v>21326818812</v>
      </c>
      <c r="AE128" s="5">
        <f t="shared" si="17"/>
        <v>21326818812</v>
      </c>
      <c r="AF128" s="5">
        <f t="shared" si="18"/>
        <v>21499505604</v>
      </c>
      <c r="AG128" t="str">
        <f t="shared" si="19"/>
        <v>DBM10-50</v>
      </c>
      <c r="AH128">
        <f t="shared" si="20"/>
        <v>0</v>
      </c>
      <c r="AI128">
        <f t="shared" si="21"/>
        <v>0</v>
      </c>
      <c r="AJ128">
        <f t="shared" si="22"/>
        <v>0</v>
      </c>
      <c r="AK128" t="str">
        <f>IF(Q128&lt;28,"down",IF(Q128=28,28,IF(Q128&gt;28,"up")))</f>
        <v>up</v>
      </c>
    </row>
    <row r="129" spans="1:37" x14ac:dyDescent="0.25">
      <c r="A129">
        <f>IF(X129=6214,6214,"Error")</f>
        <v>6214</v>
      </c>
      <c r="B129" t="str">
        <f>IF(K129&lt;83.2,"down",IF(K129=83.2,"low",IF(K129=84.7,"high",IF(AND(K129&gt;83.2,K129&lt;84.7),"normal","up"))))</f>
        <v>normal</v>
      </c>
      <c r="C129" t="str">
        <f>IF(K129&lt;83.2,"down",IF(K129=83.2,"low",IF(K129=84.7,"high",IF(AND(K129&gt;83.2,K129&lt;84.7),"normal","up"))))</f>
        <v>normal</v>
      </c>
      <c r="D129" t="str">
        <f>IF(K129&lt;83.2,"down",IF(K129=83.2,"low",IF(K129=84.7,"high",IF(AND(K129&gt;83.2,K129&lt;84.7),"normal","up"))))</f>
        <v>normal</v>
      </c>
      <c r="E129" t="str">
        <f>IF(K129&lt;80,"down",IF(K129=80,"low",IF(K129=84.7,"high",IF(AND(K129&gt;80,K129&lt;84.7),"normal","up"))))</f>
        <v>normal</v>
      </c>
      <c r="F129" t="str">
        <f>IF(P129&lt;84,"PVP-down",IF(P129=84,84,IF(P129&gt;84,"PVP-up")))</f>
        <v>PVP-down</v>
      </c>
      <c r="G129" t="str">
        <f>IF(R129&lt;241,"PVV-down",IF(R129=241,241,IF(R129&gt;241,"PVV-up")))</f>
        <v>PVV-up</v>
      </c>
      <c r="H129" s="3">
        <f t="shared" si="12"/>
        <v>3.2740234701601938E-3</v>
      </c>
      <c r="I129">
        <f>[1]!'6214.PreviousPrice'</f>
        <v>84.1</v>
      </c>
      <c r="J129">
        <f>[1]!'6214.PreOpenPrice'</f>
        <v>83.5</v>
      </c>
      <c r="K129">
        <f>[1]!'6214.Open'</f>
        <v>84.1</v>
      </c>
      <c r="L129">
        <f>[1]!'6214.Change'</f>
        <v>-0.6</v>
      </c>
      <c r="M129">
        <f>[1]!'6214.ChangePercent'</f>
        <v>-7.1000000000000004E-3</v>
      </c>
      <c r="N129">
        <f>[1]!'6214.BidPrice'</f>
        <v>83.4</v>
      </c>
      <c r="O129">
        <f>[1]!'6214.AskPrice'</f>
        <v>83.6</v>
      </c>
      <c r="P129">
        <f>[1]!'6214.Price'</f>
        <v>83.5</v>
      </c>
      <c r="Q129">
        <f>[1]!'6214.Volume'</f>
        <v>9</v>
      </c>
      <c r="R129">
        <f>[1]!'6214.CumulativeVolume'</f>
        <v>882</v>
      </c>
      <c r="S129">
        <f>[1]!'6214.PreviousVolume'</f>
        <v>1462</v>
      </c>
      <c r="T129" s="3">
        <f t="shared" si="13"/>
        <v>-7.134363852556413E-3</v>
      </c>
      <c r="U129" s="3">
        <f>((T129*AB129)*D4)</f>
        <v>-5.7512017308822029E-2</v>
      </c>
      <c r="V129" s="5">
        <f t="shared" si="14"/>
        <v>0</v>
      </c>
      <c r="W129" s="5">
        <f t="shared" si="15"/>
        <v>0</v>
      </c>
      <c r="X129">
        <v>6214</v>
      </c>
      <c r="Y129" s="5">
        <v>2693933040</v>
      </c>
      <c r="Z129" s="3">
        <f>((D2*AB129)/P129)/10</f>
        <v>9.7401854703706124E-3</v>
      </c>
      <c r="AA129" s="3">
        <f>((M129*AB129)*D2)</f>
        <v>-5.7744689561092188E-2</v>
      </c>
      <c r="AB129" s="3">
        <f>AE129/AE323</f>
        <v>6.3076274761590374E-4</v>
      </c>
      <c r="AC129" s="3">
        <f>AF129/AF323</f>
        <v>6.2939266592753024E-4</v>
      </c>
      <c r="AD129" s="5">
        <f t="shared" si="16"/>
        <v>22494340884</v>
      </c>
      <c r="AE129" s="5">
        <f t="shared" si="17"/>
        <v>22494340884</v>
      </c>
      <c r="AF129" s="5">
        <f t="shared" si="18"/>
        <v>22655976866.399998</v>
      </c>
      <c r="AG129">
        <f t="shared" si="19"/>
        <v>0</v>
      </c>
      <c r="AH129">
        <f t="shared" si="20"/>
        <v>0</v>
      </c>
      <c r="AI129">
        <f t="shared" si="21"/>
        <v>0</v>
      </c>
      <c r="AJ129">
        <f t="shared" si="22"/>
        <v>0</v>
      </c>
      <c r="AK129" t="str">
        <f>IF(Q129&lt;46,"down",IF(Q129=46,46,IF(Q129&gt;46,"up")))</f>
        <v>down</v>
      </c>
    </row>
    <row r="130" spans="1:37" x14ac:dyDescent="0.25">
      <c r="A130">
        <f>IF(X130=6116,6116,"Error")</f>
        <v>6116</v>
      </c>
      <c r="B130" t="str">
        <f>IF(K130&lt;7.68,"down",IF(K130=7.68,"low",IF(K130=7.87,"high",IF(AND(K130&gt;7.68,K130&lt;7.87),"normal","up"))))</f>
        <v>normal</v>
      </c>
      <c r="C130" t="str">
        <f>IF(K130&lt;7.68,"down",IF(K130=7.68,"low",IF(K130=7.87,"high",IF(AND(K130&gt;7.68,K130&lt;7.87),"normal","up"))))</f>
        <v>normal</v>
      </c>
      <c r="D130" t="str">
        <f>IF(K130&lt;7.68,"down",IF(K130=7.68,"low",IF(K130=7.87,"high",IF(AND(K130&gt;7.68,K130&lt;7.87),"normal","up"))))</f>
        <v>normal</v>
      </c>
      <c r="E130" t="str">
        <f>IF(K130&lt;6.92,"down",IF(K130=6.92,"low",IF(K130=8.28,"high",IF(AND(K130&gt;6.92,K130&lt;8.28),"normal","up"))))</f>
        <v>normal</v>
      </c>
      <c r="F130" t="str">
        <f>IF(P130&lt;7.71,"PVP-down",IF(P130=7.71,7.71,IF(P130&gt;7.71,"PVP-up")))</f>
        <v>PVP-down</v>
      </c>
      <c r="G130" t="str">
        <f>IF(R130&lt;8055,"PVV-down",IF(R130=8055,8055,IF(R130&gt;8055,"PVV-up")))</f>
        <v>PVV-up</v>
      </c>
      <c r="H130" s="3">
        <f t="shared" si="12"/>
        <v>9.2809872137917058E-3</v>
      </c>
      <c r="I130">
        <f>[1]!'6116.PreviousPrice'</f>
        <v>7.71</v>
      </c>
      <c r="J130">
        <f>[1]!'6116.PreOpenPrice'</f>
        <v>7.66</v>
      </c>
      <c r="K130">
        <f>[1]!'6116.Open'</f>
        <v>7.78</v>
      </c>
      <c r="L130">
        <f>[1]!'6116.Change'</f>
        <v>-0.05</v>
      </c>
      <c r="M130">
        <f>[1]!'6116.ChangePercent'</f>
        <v>-6.4999999999999997E-3</v>
      </c>
      <c r="N130">
        <f>[1]!'6116.BidPrice'</f>
        <v>7.66</v>
      </c>
      <c r="O130">
        <f>[1]!'6116.AskPrice'</f>
        <v>7.67</v>
      </c>
      <c r="P130">
        <f>[1]!'6116.Price'</f>
        <v>7.66</v>
      </c>
      <c r="Q130">
        <f>[1]!'6116.Volume'</f>
        <v>1017</v>
      </c>
      <c r="R130">
        <f>[1]!'6116.CumulativeVolume'</f>
        <v>29086</v>
      </c>
      <c r="S130">
        <f>[1]!'6116.PreviousVolume'</f>
        <v>35256</v>
      </c>
      <c r="T130" s="3">
        <f t="shared" si="13"/>
        <v>-1.5424164524421607E-2</v>
      </c>
      <c r="U130" s="3">
        <f>((T130*AB130)*D4)</f>
        <v>-0.13269370445279724</v>
      </c>
      <c r="V130" s="5">
        <f t="shared" si="14"/>
        <v>7790220</v>
      </c>
      <c r="W130" s="5">
        <f t="shared" si="15"/>
        <v>0</v>
      </c>
      <c r="X130">
        <v>6116</v>
      </c>
      <c r="Y130" s="5">
        <v>31339338510</v>
      </c>
      <c r="Z130" s="3">
        <f>((D2*AB130)/P130)/10</f>
        <v>0.11331052593873241</v>
      </c>
      <c r="AA130" s="3">
        <f>((M130*AB130)*D2)</f>
        <v>-5.6417310864894869E-2</v>
      </c>
      <c r="AB130" s="3">
        <f>AE130/AE323</f>
        <v>6.731492389411279E-4</v>
      </c>
      <c r="AC130" s="3">
        <f>AF130/AF323</f>
        <v>6.7124813004828306E-4</v>
      </c>
      <c r="AD130" s="5">
        <f t="shared" si="16"/>
        <v>24005933298.66</v>
      </c>
      <c r="AE130" s="5">
        <f t="shared" si="17"/>
        <v>24005933298.66</v>
      </c>
      <c r="AF130" s="5">
        <f t="shared" si="18"/>
        <v>24162629991.209999</v>
      </c>
      <c r="AG130" t="str">
        <f t="shared" si="19"/>
        <v>DBM200</v>
      </c>
      <c r="AH130">
        <f t="shared" si="20"/>
        <v>0</v>
      </c>
      <c r="AI130">
        <f t="shared" si="21"/>
        <v>0</v>
      </c>
      <c r="AJ130">
        <f t="shared" si="22"/>
        <v>0</v>
      </c>
      <c r="AK130" t="str">
        <f>IF(Q130&lt;1555,"down",IF(Q130=1555,1555,IF(Q130&gt;1555,"up")))</f>
        <v>down</v>
      </c>
    </row>
    <row r="131" spans="1:37" x14ac:dyDescent="0.25">
      <c r="A131">
        <f>IF(X131=3673,3673,"Error")</f>
        <v>3673</v>
      </c>
      <c r="B131" t="str">
        <f>IF(K131&lt;54.3,"down",IF(K131=54.3,"low",IF(K131=56.9,"high",IF(AND(K131&gt;54.3,K131&lt;56.9),"normal","up"))))</f>
        <v>normal</v>
      </c>
      <c r="C131" t="str">
        <f>IF(K131&lt;54.3,"down",IF(K131=54.3,"low",IF(K131=56.9,"high",IF(AND(K131&gt;54.3,K131&lt;56.9),"normal","up"))))</f>
        <v>normal</v>
      </c>
      <c r="D131" t="str">
        <f>IF(K131&lt;54.3,"down",IF(K131=54.3,"low",IF(K131=56.9,"high",IF(AND(K131&gt;54.3,K131&lt;56.9),"normal","up"))))</f>
        <v>normal</v>
      </c>
      <c r="E131" t="str">
        <f>IF(K131&lt;52.6,"down",IF(K131=52.6,"low",IF(K131=58.7,"high",IF(AND(K131&gt;52.6,K131&lt;58.7),"normal","up"))))</f>
        <v>normal</v>
      </c>
      <c r="F131" t="str">
        <f>IF(P131&lt;55.1,"PVP-down",IF(P131=55.1,55.1,IF(P131&gt;55.1,"PVP-up")))</f>
        <v>PVP-up</v>
      </c>
      <c r="G131" t="str">
        <f>IF(R131&lt;720,"PVV-down",IF(R131=720,720,IF(R131&gt;720,"PVV-up")))</f>
        <v>PVV-up</v>
      </c>
      <c r="H131" s="3">
        <f t="shared" si="12"/>
        <v>1.3109110123580006E-2</v>
      </c>
      <c r="I131">
        <f>[1]!'3673.PreviousPrice'</f>
        <v>54.7</v>
      </c>
      <c r="J131">
        <f>[1]!'3673.PreOpenPrice'</f>
        <v>55.4</v>
      </c>
      <c r="K131">
        <f>[1]!'3673.Open'</f>
        <v>55</v>
      </c>
      <c r="L131">
        <f>[1]!'3673.Change'</f>
        <v>0.6</v>
      </c>
      <c r="M131">
        <f>[1]!'3673.ChangePercent'</f>
        <v>1.0999999999999999E-2</v>
      </c>
      <c r="N131">
        <f>[1]!'3673.BidPrice'</f>
        <v>55.2</v>
      </c>
      <c r="O131">
        <f>[1]!'3673.AskPrice'</f>
        <v>55.3</v>
      </c>
      <c r="P131">
        <f>[1]!'3673.Price'</f>
        <v>55.3</v>
      </c>
      <c r="Q131">
        <f>[1]!'3673.Volume'</f>
        <v>528</v>
      </c>
      <c r="R131">
        <f>[1]!'3673.CumulativeVolume'</f>
        <v>5331</v>
      </c>
      <c r="S131">
        <f>[1]!'3673.PreviousVolume'</f>
        <v>6851</v>
      </c>
      <c r="T131" s="3">
        <f t="shared" si="13"/>
        <v>5.4545454545454029E-3</v>
      </c>
      <c r="U131" s="3">
        <f>((T131*AB131)*D4)</f>
        <v>4.3959145494674848E-2</v>
      </c>
      <c r="V131" s="5">
        <f t="shared" si="14"/>
        <v>0</v>
      </c>
      <c r="W131" s="5">
        <f t="shared" si="15"/>
        <v>29198399.999999996</v>
      </c>
      <c r="X131">
        <v>3673</v>
      </c>
      <c r="Y131" s="5">
        <v>4066637590</v>
      </c>
      <c r="Z131" s="3">
        <f>((D2*AB131)/P131)/10</f>
        <v>1.4703336638011233E-2</v>
      </c>
      <c r="AA131" s="3">
        <f>((M131*AB131)*D2)</f>
        <v>8.944039676902231E-2</v>
      </c>
      <c r="AB131" s="3">
        <f>AE131/AE323</f>
        <v>6.3059912834032971E-4</v>
      </c>
      <c r="AC131" s="3">
        <f>AF131/AF323</f>
        <v>6.1796187531693773E-4</v>
      </c>
      <c r="AD131" s="5">
        <f t="shared" si="16"/>
        <v>22529172248.599998</v>
      </c>
      <c r="AE131" s="5">
        <f t="shared" si="17"/>
        <v>22488505872.700001</v>
      </c>
      <c r="AF131" s="5">
        <f t="shared" si="18"/>
        <v>22244507617.299999</v>
      </c>
      <c r="AG131">
        <f t="shared" si="19"/>
        <v>0</v>
      </c>
      <c r="AH131">
        <f t="shared" si="20"/>
        <v>0</v>
      </c>
      <c r="AI131" t="str">
        <f t="shared" si="21"/>
        <v>UAM200</v>
      </c>
      <c r="AJ131">
        <f t="shared" si="22"/>
        <v>0</v>
      </c>
      <c r="AK131" t="str">
        <f>IF(Q131&lt;164,"down",IF(Q131=164,164,IF(Q131&gt;164,"up")))</f>
        <v>up</v>
      </c>
    </row>
    <row r="132" spans="1:37" x14ac:dyDescent="0.25">
      <c r="A132">
        <f>IF(X132=5434,5434,"Error")</f>
        <v>5434</v>
      </c>
      <c r="B132" t="str">
        <f>IF(K132&lt;123.5,"down",IF(K132=123.5,"low",IF(K132=125,"high",IF(AND(K132&gt;123.5,K132&lt;125),"normal","up"))))</f>
        <v>low</v>
      </c>
      <c r="C132" t="str">
        <f>IF(K132&lt;123.5,"down",IF(K132=123.5,"low",IF(K132=125,"high",IF(AND(K132&gt;123.5,K132&lt;125),"normal","up"))))</f>
        <v>low</v>
      </c>
      <c r="D132" t="str">
        <f>IF(K132&lt;123.5,"down",IF(K132=123.5,"low",IF(K132=125,"high",IF(AND(K132&gt;123.5,K132&lt;125),"normal","up"))))</f>
        <v>low</v>
      </c>
      <c r="E132" t="str">
        <f>IF(K132&lt;118,"down",IF(K132=118,"low",IF(K132=130,"high",IF(AND(K132&gt;118,K132&lt;130),"normal","up"))))</f>
        <v>normal</v>
      </c>
      <c r="F132" t="str">
        <f>IF(P132&lt;124,"PVP-down",IF(P132=124,124,IF(P132&gt;124,"PVP-up")))</f>
        <v>PVP-down</v>
      </c>
      <c r="G132" t="str">
        <f>IF(R132&lt;424,"PVV-down",IF(R132=424,424,IF(R132&gt;424,"PVV-up")))</f>
        <v>PVV-up</v>
      </c>
      <c r="H132" s="3">
        <f t="shared" si="12"/>
        <v>6.7418982897190938E-3</v>
      </c>
      <c r="I132">
        <f>[1]!'5434.PreviousPrice'</f>
        <v>124</v>
      </c>
      <c r="J132">
        <f>[1]!'5434.PreOpenPrice'</f>
        <v>122</v>
      </c>
      <c r="K132">
        <f>[1]!'5434.Open'</f>
        <v>123.5</v>
      </c>
      <c r="L132">
        <f>[1]!'5434.Change'</f>
        <v>-2</v>
      </c>
      <c r="M132">
        <f>[1]!'5434.ChangePercent'</f>
        <v>-1.61E-2</v>
      </c>
      <c r="N132">
        <f>[1]!'5434.BidPrice'</f>
        <v>121.5</v>
      </c>
      <c r="O132">
        <f>[1]!'5434.AskPrice'</f>
        <v>122</v>
      </c>
      <c r="P132">
        <f>[1]!'5434.Price'</f>
        <v>122</v>
      </c>
      <c r="Q132">
        <f>[1]!'5434.Volume'</f>
        <v>85</v>
      </c>
      <c r="R132">
        <f>[1]!'5434.CumulativeVolume'</f>
        <v>1225</v>
      </c>
      <c r="S132">
        <f>[1]!'5434.PreviousVolume'</f>
        <v>896</v>
      </c>
      <c r="T132" s="3">
        <f t="shared" si="13"/>
        <v>-1.2145748987854251E-2</v>
      </c>
      <c r="U132" s="3">
        <f>((T132*AB132)*D4)</f>
        <v>-9.6486843495880867E-2</v>
      </c>
      <c r="V132" s="5">
        <f t="shared" si="14"/>
        <v>0</v>
      </c>
      <c r="W132" s="5">
        <f t="shared" si="15"/>
        <v>10370000</v>
      </c>
      <c r="X132">
        <v>5434</v>
      </c>
      <c r="Y132" s="5">
        <v>1816995670</v>
      </c>
      <c r="Z132" s="3">
        <f>((D2*AB132)/P132)/10</f>
        <v>6.5695303342284709E-3</v>
      </c>
      <c r="AA132" s="3">
        <f>((M132*AB132)*D2)</f>
        <v>-0.12903871482491563</v>
      </c>
      <c r="AB132" s="3">
        <f>AE132/AE323</f>
        <v>6.2159353247702301E-4</v>
      </c>
      <c r="AC132" s="3">
        <f>AF132/AF323</f>
        <v>6.2591370779335861E-4</v>
      </c>
      <c r="AD132" s="5">
        <f t="shared" si="16"/>
        <v>22167347174</v>
      </c>
      <c r="AE132" s="5">
        <f t="shared" si="17"/>
        <v>22167347174</v>
      </c>
      <c r="AF132" s="5">
        <f t="shared" si="18"/>
        <v>22530746308</v>
      </c>
      <c r="AG132">
        <f t="shared" si="19"/>
        <v>0</v>
      </c>
      <c r="AH132" t="str">
        <f t="shared" si="20"/>
        <v>DAM50</v>
      </c>
      <c r="AI132">
        <f t="shared" si="21"/>
        <v>0</v>
      </c>
      <c r="AJ132">
        <f t="shared" si="22"/>
        <v>0</v>
      </c>
      <c r="AK132" t="str">
        <f>IF(Q132&lt;31,"down",IF(Q132=31,31,IF(Q132&gt;31,"up")))</f>
        <v>up</v>
      </c>
    </row>
    <row r="133" spans="1:37" x14ac:dyDescent="0.25">
      <c r="A133">
        <f>IF(X133=3682,3682,"Error")</f>
        <v>3682</v>
      </c>
      <c r="B133" t="str">
        <f>IF(K133&lt;7.1,"down",IF(K133=7.1,"low",IF(K133=7.27,"high",IF(AND(K133&gt;7.1,K133&lt;7.27),"normal","up"))))</f>
        <v>normal</v>
      </c>
      <c r="C133" t="str">
        <f>IF(K133&lt;7.1,"down",IF(K133=7.1,"low",IF(K133=7.27,"high",IF(AND(K133&gt;7.1,K133&lt;7.27),"normal","up"))))</f>
        <v>normal</v>
      </c>
      <c r="D133" t="str">
        <f>IF(K133&lt;7.1,"down",IF(K133=7.1,"low",IF(K133=7.27,"high",IF(AND(K133&gt;7.1,K133&lt;7.27),"normal","up"))))</f>
        <v>normal</v>
      </c>
      <c r="E133" t="str">
        <f>IF(K133&lt;7.09,"down",IF(K133=7.09,"low",IF(K133=7.37,"high",IF(AND(K133&gt;7.09,K133&lt;7.37),"normal","up"))))</f>
        <v>normal</v>
      </c>
      <c r="F133" t="str">
        <f>IF(P133&lt;7.15,"PVP-down",IF(P133=7.15,7.15,IF(P133&gt;7.15,"PVP-up")))</f>
        <v>PVP-down</v>
      </c>
      <c r="G133" t="str">
        <f>IF(R133&lt;640,"PVV-down",IF(R133=640,640,IF(R133&gt;640,"PVV-up")))</f>
        <v>PVV-up</v>
      </c>
      <c r="H133" s="3">
        <f t="shared" si="12"/>
        <v>9.8815979208933548E-4</v>
      </c>
      <c r="I133">
        <f>[1]!'3682.PreviousPrice'</f>
        <v>7.22</v>
      </c>
      <c r="J133">
        <f>[1]!'3682.PreOpenPrice'</f>
        <v>7.11</v>
      </c>
      <c r="K133">
        <f>[1]!'3682.Open'</f>
        <v>7.22</v>
      </c>
      <c r="L133">
        <f>[1]!'3682.Change'</f>
        <v>-0.11</v>
      </c>
      <c r="M133">
        <f>[1]!'3682.ChangePercent'</f>
        <v>-1.52E-2</v>
      </c>
      <c r="N133">
        <f>[1]!'3682.BidPrice'</f>
        <v>7.11</v>
      </c>
      <c r="O133">
        <f>[1]!'3682.AskPrice'</f>
        <v>7.12</v>
      </c>
      <c r="P133">
        <f>[1]!'3682.Price'</f>
        <v>7.11</v>
      </c>
      <c r="Q133">
        <f>[1]!'3682.Volume'</f>
        <v>135</v>
      </c>
      <c r="R133">
        <f>[1]!'3682.CumulativeVolume'</f>
        <v>3772</v>
      </c>
      <c r="S133">
        <f>[1]!'3682.PreviousVolume'</f>
        <v>4721</v>
      </c>
      <c r="T133" s="3">
        <f t="shared" si="13"/>
        <v>-1.5235457063711834E-2</v>
      </c>
      <c r="U133" s="3">
        <f>((T133*AB133)*D4)</f>
        <v>-0.14818343855820224</v>
      </c>
      <c r="V133" s="5">
        <f t="shared" si="14"/>
        <v>959850</v>
      </c>
      <c r="W133" s="5">
        <f t="shared" si="15"/>
        <v>0</v>
      </c>
      <c r="X133">
        <v>3682</v>
      </c>
      <c r="Y133" s="5">
        <v>38171963990</v>
      </c>
      <c r="Z133" s="3">
        <f>((D2*AB133)/P133)/10</f>
        <v>0.13801456959409369</v>
      </c>
      <c r="AA133" s="3">
        <f>((M133*AB133)*D2)</f>
        <v>-0.14915510565172893</v>
      </c>
      <c r="AB133" s="3">
        <f>AE133/AE323</f>
        <v>7.610389249371848E-4</v>
      </c>
      <c r="AC133" s="3">
        <f>AF133/AF323</f>
        <v>7.6563290207186537E-4</v>
      </c>
      <c r="AD133" s="5">
        <f t="shared" si="16"/>
        <v>27140266396.890003</v>
      </c>
      <c r="AE133" s="5">
        <f t="shared" si="17"/>
        <v>27140266396.890003</v>
      </c>
      <c r="AF133" s="5">
        <f t="shared" si="18"/>
        <v>27560158000.779999</v>
      </c>
      <c r="AG133" t="str">
        <f t="shared" si="19"/>
        <v>DBM100</v>
      </c>
      <c r="AH133">
        <f t="shared" si="20"/>
        <v>0</v>
      </c>
      <c r="AI133">
        <f t="shared" si="21"/>
        <v>0</v>
      </c>
      <c r="AJ133">
        <f t="shared" si="22"/>
        <v>0</v>
      </c>
      <c r="AK133" t="str">
        <f>IF(Q133&lt;101,"down",IF(Q133=101,101,IF(Q133&gt;101,"up")))</f>
        <v>up</v>
      </c>
    </row>
    <row r="134" spans="1:37" x14ac:dyDescent="0.25">
      <c r="A134">
        <f>IF(X134=2392,2392,"Error")</f>
        <v>2392</v>
      </c>
      <c r="B134" t="str">
        <f>IF(K134&lt;40.75,"down",IF(K134=40.75,"low",IF(K134=41.4,"high",IF(AND(K134&gt;40.75,K134&lt;41.4),"normal","up"))))</f>
        <v>normal</v>
      </c>
      <c r="C134" t="str">
        <f>IF(K134&lt;40.75,"down",IF(K134=40.75,"low",IF(K134=41.4,"high",IF(AND(K134&gt;40.75,K134&lt;41.4),"normal","up"))))</f>
        <v>normal</v>
      </c>
      <c r="D134" t="str">
        <f>IF(K134&lt;40.75,"down",IF(K134=40.75,"low",IF(K134=41.4,"high",IF(AND(K134&gt;40.75,K134&lt;41.4),"normal","up"))))</f>
        <v>normal</v>
      </c>
      <c r="E134" t="str">
        <f>IF(K134&lt;40,"down",IF(K134=40,"low",IF(K134=41.9,"high",IF(AND(K134&gt;40,K134&lt;41.9),"normal","up"))))</f>
        <v>normal</v>
      </c>
      <c r="F134" t="str">
        <f>IF(P134&lt;41,"PVP-down",IF(P134=41,41,IF(P134&gt;41,"PVP-up")))</f>
        <v>PVP-down</v>
      </c>
      <c r="G134" t="str">
        <f>IF(R134&lt;421,"PVV-down",IF(R134=421,421,IF(R134&gt;421,"PVV-up")))</f>
        <v>PVV-up</v>
      </c>
      <c r="H134" s="3">
        <f t="shared" si="12"/>
        <v>7.6572198213898336E-3</v>
      </c>
      <c r="I134">
        <f>[1]!'2392.PreviousPrice'</f>
        <v>41</v>
      </c>
      <c r="J134">
        <f>[1]!'2392.PreOpenPrice'</f>
        <v>40</v>
      </c>
      <c r="K134">
        <f>[1]!'2392.Open'</f>
        <v>41.05</v>
      </c>
      <c r="L134">
        <f>[1]!'2392.Change'</f>
        <v>-1</v>
      </c>
      <c r="M134">
        <f>[1]!'2392.ChangePercent'</f>
        <v>-2.4400000000000002E-2</v>
      </c>
      <c r="N134">
        <f>[1]!'2392.BidPrice'</f>
        <v>40</v>
      </c>
      <c r="O134">
        <f>[1]!'2392.AskPrice'</f>
        <v>40.049999999999997</v>
      </c>
      <c r="P134">
        <f>[1]!'2392.Price'</f>
        <v>40</v>
      </c>
      <c r="Q134">
        <f>[1]!'2392.Volume'</f>
        <v>202</v>
      </c>
      <c r="R134">
        <f>[1]!'2392.CumulativeVolume'</f>
        <v>3923</v>
      </c>
      <c r="S134">
        <f>[1]!'2392.PreviousVolume'</f>
        <v>2550</v>
      </c>
      <c r="T134" s="3">
        <f t="shared" si="13"/>
        <v>-2.5578562728379956E-2</v>
      </c>
      <c r="U134" s="3">
        <f>((T134*AB134)*D4)</f>
        <v>-0.1878509504104969</v>
      </c>
      <c r="V134" s="5">
        <f t="shared" si="14"/>
        <v>8080000</v>
      </c>
      <c r="W134" s="5">
        <f t="shared" si="15"/>
        <v>0</v>
      </c>
      <c r="X134">
        <v>2392</v>
      </c>
      <c r="Y134" s="5">
        <v>5123269400</v>
      </c>
      <c r="Z134" s="3">
        <f>((D2*AB134)/P134)/10</f>
        <v>1.852369506952347E-2</v>
      </c>
      <c r="AA134" s="3">
        <f>((M134*AB134)*D2)</f>
        <v>-0.1807912638785491</v>
      </c>
      <c r="AB134" s="3">
        <f>AE134/AE323</f>
        <v>5.7464541862954773E-4</v>
      </c>
      <c r="AC134" s="3">
        <f>AF134/AF323</f>
        <v>5.8353906522228851E-4</v>
      </c>
      <c r="AD134" s="5">
        <f t="shared" si="16"/>
        <v>20493077600</v>
      </c>
      <c r="AE134" s="5">
        <f t="shared" si="17"/>
        <v>20493077600</v>
      </c>
      <c r="AF134" s="5">
        <f t="shared" si="18"/>
        <v>21005404540</v>
      </c>
      <c r="AG134" t="str">
        <f t="shared" si="19"/>
        <v>DBM200</v>
      </c>
      <c r="AH134">
        <f t="shared" si="20"/>
        <v>0</v>
      </c>
      <c r="AI134">
        <f t="shared" si="21"/>
        <v>0</v>
      </c>
      <c r="AJ134">
        <f t="shared" si="22"/>
        <v>0</v>
      </c>
      <c r="AK134" t="str">
        <f>IF(Q134&lt;39,"down",IF(Q134=39,39,IF(Q134&gt;39,"up")))</f>
        <v>up</v>
      </c>
    </row>
    <row r="135" spans="1:37" x14ac:dyDescent="0.25">
      <c r="A135">
        <f>IF(X135=3515,3515,"Error")</f>
        <v>3515</v>
      </c>
      <c r="B135" t="str">
        <f>IF(K135&lt;173.5,"down",IF(K135=173.5,"low",IF(K135=183,"high",IF(AND(K135&gt;173.5,K135&lt;183),"normal","up"))))</f>
        <v>normal</v>
      </c>
      <c r="C135" t="str">
        <f>IF(K135&lt;173.5,"down",IF(K135=173.5,"low",IF(K135=183,"high",IF(AND(K135&gt;173.5,K135&lt;183),"normal","up"))))</f>
        <v>normal</v>
      </c>
      <c r="D135" t="str">
        <f>IF(K135&lt;173.5,"down",IF(K135=173.5,"low",IF(K135=183,"high",IF(AND(K135&gt;173.5,K135&lt;183),"normal","up"))))</f>
        <v>normal</v>
      </c>
      <c r="E135" t="str">
        <f>IF(K135&lt;159.5,"down",IF(K135=159.5,"low",IF(K135=189,"high",IF(AND(K135&gt;159.5,K135&lt;189),"normal","up"))))</f>
        <v>normal</v>
      </c>
      <c r="F135" t="str">
        <f>IF(P135&lt;174.5,"PVP-down",IF(P135=174.5,174.5,IF(P135&gt;174.5,"PVP-up")))</f>
        <v>PVP-down</v>
      </c>
      <c r="G135" t="str">
        <f>IF(R135&lt;272,"PVV-down",IF(R135=272,272,IF(R135&gt;272,"PVV-up")))</f>
        <v>PVV-up</v>
      </c>
      <c r="H135" s="3">
        <f t="shared" si="12"/>
        <v>1.1571385055584383E-2</v>
      </c>
      <c r="I135">
        <f>[1]!'3515.PreviousPrice'</f>
        <v>173.5</v>
      </c>
      <c r="J135">
        <f>[1]!'3515.PreOpenPrice'</f>
        <v>172</v>
      </c>
      <c r="K135">
        <f>[1]!'3515.Open'</f>
        <v>174.5</v>
      </c>
      <c r="L135">
        <f>[1]!'3515.Change'</f>
        <v>-1.5</v>
      </c>
      <c r="M135">
        <f>[1]!'3515.ChangePercent'</f>
        <v>-8.6E-3</v>
      </c>
      <c r="N135">
        <f>[1]!'3515.BidPrice'</f>
        <v>172</v>
      </c>
      <c r="O135">
        <f>[1]!'3515.AskPrice'</f>
        <v>172.5</v>
      </c>
      <c r="P135">
        <f>[1]!'3515.Price'</f>
        <v>172</v>
      </c>
      <c r="Q135">
        <f>[1]!'3515.Volume'</f>
        <v>82</v>
      </c>
      <c r="R135">
        <f>[1]!'3515.CumulativeVolume'</f>
        <v>1396</v>
      </c>
      <c r="S135">
        <f>[1]!'3515.PreviousVolume'</f>
        <v>2268</v>
      </c>
      <c r="T135" s="3">
        <f t="shared" si="13"/>
        <v>-1.4326647564469915E-2</v>
      </c>
      <c r="U135" s="3">
        <f>((T135*AB135)*D4)</f>
        <v>-0.10653766434847207</v>
      </c>
      <c r="V135" s="5">
        <f t="shared" si="14"/>
        <v>14104000</v>
      </c>
      <c r="W135" s="5">
        <f t="shared" si="15"/>
        <v>0</v>
      </c>
      <c r="X135">
        <v>3515</v>
      </c>
      <c r="Y135" s="5">
        <v>1206424290</v>
      </c>
      <c r="Z135" s="3">
        <f>((D2*AB135)/P135)/10</f>
        <v>4.3619481873091344E-3</v>
      </c>
      <c r="AA135" s="3">
        <f>((M135*AB135)*D2)</f>
        <v>-6.4521937586676723E-2</v>
      </c>
      <c r="AB135" s="3">
        <f>AE135/AE323</f>
        <v>5.8186372593234924E-4</v>
      </c>
      <c r="AC135" s="3">
        <f>AF135/AF323</f>
        <v>5.814848942430268E-4</v>
      </c>
      <c r="AD135" s="5">
        <f t="shared" si="16"/>
        <v>20750497788</v>
      </c>
      <c r="AE135" s="5">
        <f t="shared" si="17"/>
        <v>20750497788</v>
      </c>
      <c r="AF135" s="5">
        <f t="shared" si="18"/>
        <v>20931461431.5</v>
      </c>
      <c r="AG135" t="str">
        <f t="shared" si="19"/>
        <v>DBM50</v>
      </c>
      <c r="AH135">
        <f t="shared" si="20"/>
        <v>0</v>
      </c>
      <c r="AI135">
        <f t="shared" si="21"/>
        <v>0</v>
      </c>
      <c r="AJ135">
        <f t="shared" si="22"/>
        <v>0</v>
      </c>
      <c r="AK135" t="str">
        <f>IF(Q135&lt;76,"down",IF(Q135=76,76,IF(Q135&gt;76,"up")))</f>
        <v>up</v>
      </c>
    </row>
    <row r="136" spans="1:37" x14ac:dyDescent="0.25">
      <c r="A136">
        <f>IF(X136=2373,2373,"Error")</f>
        <v>2373</v>
      </c>
      <c r="B136" t="str">
        <f>IF(K136&lt;83,"down",IF(K136=83,"low",IF(K136=83.3,"high",IF(AND(K136&gt;83,K136&lt;83.3),"normal","up"))))</f>
        <v>up</v>
      </c>
      <c r="C136" t="str">
        <f>IF(K136&lt;83,"down",IF(K136=83,"low",IF(K136=83.3,"high",IF(AND(K136&gt;83,K136&lt;83.3),"normal","up"))))</f>
        <v>up</v>
      </c>
      <c r="D136" t="str">
        <f>IF(K136&lt;83,"down",IF(K136=83,"low",IF(K136=83.3,"high",IF(AND(K136&gt;83,K136&lt;83.3),"normal","up"))))</f>
        <v>up</v>
      </c>
      <c r="E136" t="str">
        <f>IF(K136&lt;83,"down",IF(K136=83,"low",IF(K136=87.2,"high",IF(AND(K136&gt;83,K136&lt;87.2),"normal","up"))))</f>
        <v>normal</v>
      </c>
      <c r="F136" t="str">
        <f>IF(P136&lt;83.2,"PVP-down",IF(P136=83.2,83.2,IF(P136&gt;83.2,"PVP-up")))</f>
        <v>PVP-up</v>
      </c>
      <c r="G136" t="str">
        <f>IF(R136&lt;17,"PVV-down",IF(R136=17,17,IF(R136&gt;17,"PVV-up")))</f>
        <v>PVV-down</v>
      </c>
      <c r="H136" s="3">
        <f t="shared" si="12"/>
        <v>5.9271171698516775E-5</v>
      </c>
      <c r="I136">
        <f>[1]!'2373.PreviousPrice'</f>
        <v>83.2</v>
      </c>
      <c r="J136">
        <f>[1]!'2373.PreOpenPrice'</f>
        <v>83.5</v>
      </c>
      <c r="K136">
        <f>[1]!'2373.Open'</f>
        <v>84</v>
      </c>
      <c r="L136">
        <f>[1]!'2373.Change'</f>
        <v>0.3</v>
      </c>
      <c r="M136">
        <f>[1]!'2373.ChangePercent'</f>
        <v>3.5999999999999999E-3</v>
      </c>
      <c r="N136">
        <f>[1]!'2373.BidPrice'</f>
        <v>83.5</v>
      </c>
      <c r="O136">
        <f>[1]!'2373.AskPrice'</f>
        <v>83.7</v>
      </c>
      <c r="P136">
        <f>[1]!'2373.Price'</f>
        <v>83.5</v>
      </c>
      <c r="Q136">
        <f>[1]!'2373.Volume'</f>
        <v>2</v>
      </c>
      <c r="R136">
        <f>[1]!'2373.CumulativeVolume'</f>
        <v>14</v>
      </c>
      <c r="S136">
        <f>[1]!'2373.PreviousVolume'</f>
        <v>40</v>
      </c>
      <c r="T136" s="3">
        <f t="shared" si="13"/>
        <v>-5.9523809523809521E-3</v>
      </c>
      <c r="U136" s="3">
        <f>((T136*AB136)*D4)</f>
        <v>-4.2071867617566872E-2</v>
      </c>
      <c r="V136" s="5">
        <f t="shared" si="14"/>
        <v>167000</v>
      </c>
      <c r="W136" s="5">
        <f t="shared" si="15"/>
        <v>0</v>
      </c>
      <c r="X136">
        <v>2373</v>
      </c>
      <c r="Y136" s="5">
        <v>2362025180</v>
      </c>
      <c r="Z136" s="3">
        <f>((D2*AB136)/P136)/10</f>
        <v>8.5401392674873365E-3</v>
      </c>
      <c r="AA136" s="3">
        <f>((M136*AB136)*D2)</f>
        <v>2.5671658638066936E-2</v>
      </c>
      <c r="AB136" s="3">
        <f>AE136/AE323</f>
        <v>5.5304919251992612E-4</v>
      </c>
      <c r="AC136" s="3">
        <f>AF136/AF323</f>
        <v>5.4594228698114121E-4</v>
      </c>
      <c r="AD136" s="5">
        <f t="shared" si="16"/>
        <v>19722910253</v>
      </c>
      <c r="AE136" s="5">
        <f t="shared" si="17"/>
        <v>19722910253</v>
      </c>
      <c r="AF136" s="5">
        <f t="shared" si="18"/>
        <v>19652049497.599998</v>
      </c>
      <c r="AG136">
        <f t="shared" si="19"/>
        <v>0</v>
      </c>
      <c r="AH136">
        <f t="shared" si="20"/>
        <v>0</v>
      </c>
      <c r="AI136">
        <f t="shared" si="21"/>
        <v>0</v>
      </c>
      <c r="AJ136" t="str">
        <f t="shared" si="22"/>
        <v>UBL10</v>
      </c>
      <c r="AK136" t="str">
        <f>IF(Q136&lt;4,"down",IF(Q136=4,4,IF(Q136&gt;4,"up")))</f>
        <v>down</v>
      </c>
    </row>
    <row r="137" spans="1:37" x14ac:dyDescent="0.25">
      <c r="A137">
        <f>IF(X137=5388,5388,"Error")</f>
        <v>5388</v>
      </c>
      <c r="B137" t="str">
        <f>IF(K137&lt;80.2,"down",IF(K137=80.2,"low",IF(K137=81.2,"high",IF(AND(K137&gt;80.2,K137&lt;81.2),"normal","up"))))</f>
        <v>normal</v>
      </c>
      <c r="C137" t="str">
        <f>IF(K137&lt;80.2,"down",IF(K137=80.2,"low",IF(K137=81.2,"high",IF(AND(K137&gt;80.2,K137&lt;81.2),"normal","up"))))</f>
        <v>normal</v>
      </c>
      <c r="D137" t="str">
        <f>IF(K137&lt;80.2,"down",IF(K137=80.2,"low",IF(K137=81.2,"high",IF(AND(K137&gt;80.2,K137&lt;81.2),"normal","up"))))</f>
        <v>normal</v>
      </c>
      <c r="E137" t="str">
        <f>IF(K137&lt;79.2,"down",IF(K137=79.2,"low",IF(K137=83.4,"high",IF(AND(K137&gt;79.2,K137&lt;83.4),"normal","up"))))</f>
        <v>normal</v>
      </c>
      <c r="F137" t="str">
        <f>IF(P137&lt;81,"PVP-down",IF(P137=81,81,IF(P137&gt;81,"PVP-up")))</f>
        <v>PVP-up</v>
      </c>
      <c r="G137" t="str">
        <f>IF(R137&lt;149,"PVV-down",IF(R137=149,149,IF(R137&gt;149,"PVV-up")))</f>
        <v>PVV-up</v>
      </c>
      <c r="H137" s="3">
        <f t="shared" si="12"/>
        <v>3.9669989532864474E-3</v>
      </c>
      <c r="I137">
        <f>[1]!'5388.PreviousPrice'</f>
        <v>80.5</v>
      </c>
      <c r="J137">
        <f>[1]!'5388.PreOpenPrice'</f>
        <v>81.3</v>
      </c>
      <c r="K137">
        <f>[1]!'5388.Open'</f>
        <v>81</v>
      </c>
      <c r="L137">
        <f>[1]!'5388.Change'</f>
        <v>0.8</v>
      </c>
      <c r="M137">
        <f>[1]!'5388.ChangePercent'</f>
        <v>9.9000000000000008E-3</v>
      </c>
      <c r="N137">
        <f>[1]!'5388.BidPrice'</f>
        <v>81.2</v>
      </c>
      <c r="O137">
        <f>[1]!'5388.AskPrice'</f>
        <v>81.3</v>
      </c>
      <c r="P137">
        <f>[1]!'5388.Price'</f>
        <v>81.3</v>
      </c>
      <c r="Q137">
        <f>[1]!'5388.Volume'</f>
        <v>39</v>
      </c>
      <c r="R137">
        <f>[1]!'5388.CumulativeVolume'</f>
        <v>988</v>
      </c>
      <c r="S137">
        <f>[1]!'5388.PreviousVolume'</f>
        <v>792</v>
      </c>
      <c r="T137" s="3">
        <f t="shared" si="13"/>
        <v>3.7037037037036687E-3</v>
      </c>
      <c r="U137" s="3">
        <f>((T137*AB137)*D4)</f>
        <v>2.68752006031324E-2</v>
      </c>
      <c r="V137" s="5">
        <f t="shared" si="14"/>
        <v>0</v>
      </c>
      <c r="W137" s="5">
        <f t="shared" si="15"/>
        <v>3170700</v>
      </c>
      <c r="X137">
        <v>5388</v>
      </c>
      <c r="Y137" s="5">
        <v>2490547670</v>
      </c>
      <c r="Z137" s="3">
        <f>((D2*AB137)/P137)/10</f>
        <v>9.0048252381950029E-3</v>
      </c>
      <c r="AA137" s="3">
        <f>((M137*AB137)*D2)</f>
        <v>7.2477136894660121E-2</v>
      </c>
      <c r="AB137" s="3">
        <f>AE137/AE323</f>
        <v>5.6777748709884726E-4</v>
      </c>
      <c r="AC137" s="3">
        <f>AF137/AF323</f>
        <v>5.5696720549372274E-4</v>
      </c>
      <c r="AD137" s="5">
        <f t="shared" si="16"/>
        <v>20248152557.099998</v>
      </c>
      <c r="AE137" s="5">
        <f t="shared" si="17"/>
        <v>20248152557.099998</v>
      </c>
      <c r="AF137" s="5">
        <f t="shared" si="18"/>
        <v>20048908743.5</v>
      </c>
      <c r="AG137">
        <f t="shared" si="19"/>
        <v>0</v>
      </c>
      <c r="AH137">
        <f t="shared" si="20"/>
        <v>0</v>
      </c>
      <c r="AI137" t="str">
        <f t="shared" si="21"/>
        <v>UAM10-50</v>
      </c>
      <c r="AJ137">
        <f t="shared" si="22"/>
        <v>0</v>
      </c>
      <c r="AK137" t="str">
        <f>IF(Q137&lt;19,"down",IF(Q137=19,19,IF(Q137&gt;19,"up")))</f>
        <v>up</v>
      </c>
    </row>
    <row r="138" spans="1:37" x14ac:dyDescent="0.25">
      <c r="A138">
        <f>IF(X138=3016,3016,"Error")</f>
        <v>3016</v>
      </c>
      <c r="B138" t="str">
        <f>IF(K138&lt;69.4,"down",IF(K138=69.4,"low",IF(K138=72.8,"high",IF(AND(K138&gt;69.4,K138&lt;72.8),"normal","up"))))</f>
        <v>normal</v>
      </c>
      <c r="C138" t="str">
        <f>IF(K138&lt;69.4,"down",IF(K138=69.4,"low",IF(K138=72.8,"high",IF(AND(K138&gt;69.4,K138&lt;72.8),"normal","up"))))</f>
        <v>normal</v>
      </c>
      <c r="D138" t="str">
        <f>IF(K138&lt;69.4,"down",IF(K138=69.4,"low",IF(K138=72.8,"high",IF(AND(K138&gt;69.4,K138&lt;72.8),"normal","up"))))</f>
        <v>normal</v>
      </c>
      <c r="E138" t="str">
        <f>IF(K138&lt;69.4,"down",IF(K138=69.4,"low",IF(K138=76.2,"high",IF(AND(K138&gt;69.4,K138&lt;76.2),"normal","up"))))</f>
        <v>normal</v>
      </c>
      <c r="F138" t="str">
        <f>IF(P138&lt;69.8,"PVP-down",IF(P138=69.8,69.8,IF(P138&gt;69.8,"PVP-up")))</f>
        <v>PVP-down</v>
      </c>
      <c r="G138" t="str">
        <f>IF(R138&lt;472,"PVV-down",IF(R138=472,472,IF(R138&gt;472,"PVV-up")))</f>
        <v>PVV-up</v>
      </c>
      <c r="H138" s="3">
        <f t="shared" si="12"/>
        <v>2.4398571122007925E-2</v>
      </c>
      <c r="I138">
        <f>[1]!'3016.PreviousPrice'</f>
        <v>69.8</v>
      </c>
      <c r="J138">
        <f>[1]!'3016.PreOpenPrice'</f>
        <v>68.599999999999994</v>
      </c>
      <c r="K138">
        <f>[1]!'3016.Open'</f>
        <v>69.8</v>
      </c>
      <c r="L138">
        <f>[1]!'3016.Change'</f>
        <v>-1.2</v>
      </c>
      <c r="M138">
        <f>[1]!'3016.ChangePercent'</f>
        <v>-1.72E-2</v>
      </c>
      <c r="N138">
        <f>[1]!'3016.BidPrice'</f>
        <v>68.599999999999994</v>
      </c>
      <c r="O138">
        <f>[1]!'3016.AskPrice'</f>
        <v>68.7</v>
      </c>
      <c r="P138">
        <f>[1]!'3016.Price'</f>
        <v>68.599999999999994</v>
      </c>
      <c r="Q138">
        <f>[1]!'3016.Volume'</f>
        <v>325</v>
      </c>
      <c r="R138">
        <f>[1]!'3016.CumulativeVolume'</f>
        <v>6695</v>
      </c>
      <c r="S138">
        <f>[1]!'3016.PreviousVolume'</f>
        <v>6093</v>
      </c>
      <c r="T138" s="3">
        <f t="shared" si="13"/>
        <v>-1.7191977077363939E-2</v>
      </c>
      <c r="U138" s="3">
        <f>((T138*AB138)*D4)</f>
        <v>-0.11597548620651975</v>
      </c>
      <c r="V138" s="5">
        <f t="shared" si="14"/>
        <v>22294999.999999996</v>
      </c>
      <c r="W138" s="5">
        <f t="shared" si="15"/>
        <v>0</v>
      </c>
      <c r="X138">
        <v>3016</v>
      </c>
      <c r="Y138" s="5">
        <v>2744013150</v>
      </c>
      <c r="Z138" s="3">
        <f>((D2*AB138)/P138)/10</f>
        <v>9.9212551378544643E-3</v>
      </c>
      <c r="AA138" s="3">
        <f>((M138*AB138)*D2)</f>
        <v>-0.11706287362257241</v>
      </c>
      <c r="AB138" s="3">
        <f>AE138/AE323</f>
        <v>5.2784093567303885E-4</v>
      </c>
      <c r="AC138" s="3">
        <f>AF138/AF323</f>
        <v>5.3208436337929719E-4</v>
      </c>
      <c r="AD138" s="5">
        <f t="shared" si="16"/>
        <v>18823930208.999996</v>
      </c>
      <c r="AE138" s="5">
        <f t="shared" si="17"/>
        <v>18823930208.999996</v>
      </c>
      <c r="AF138" s="5">
        <f t="shared" si="18"/>
        <v>19153211787</v>
      </c>
      <c r="AG138" t="str">
        <f t="shared" si="19"/>
        <v>DBM200</v>
      </c>
      <c r="AH138">
        <f t="shared" si="20"/>
        <v>0</v>
      </c>
      <c r="AI138">
        <f t="shared" si="21"/>
        <v>0</v>
      </c>
      <c r="AJ138">
        <f t="shared" si="22"/>
        <v>0</v>
      </c>
      <c r="AK138" t="str">
        <f>IF(Q138&lt;58,"down",IF(Q138=58,58,IF(Q138&gt;58,"up")))</f>
        <v>up</v>
      </c>
    </row>
    <row r="139" spans="1:37" x14ac:dyDescent="0.25">
      <c r="A139">
        <f>IF(X139=3019,3019,"Error")</f>
        <v>3019</v>
      </c>
      <c r="B139" t="str">
        <f>IF(K139&lt;69.7,"down",IF(K139=69.7,"low",IF(K139=71.3,"high",IF(AND(K139&gt;69.7,K139&lt;71.3),"normal","up"))))</f>
        <v>normal</v>
      </c>
      <c r="C139" t="str">
        <f>IF(K139&lt;69.7,"down",IF(K139=69.7,"low",IF(K139=71.3,"high",IF(AND(K139&gt;69.7,K139&lt;71.3),"normal","up"))))</f>
        <v>normal</v>
      </c>
      <c r="D139" t="str">
        <f>IF(K139&lt;69.7,"down",IF(K139=69.7,"low",IF(K139=71.3,"high",IF(AND(K139&gt;69.7,K139&lt;71.3),"normal","up"))))</f>
        <v>normal</v>
      </c>
      <c r="E139" t="str">
        <f>IF(K139&lt;68.5,"down",IF(K139=68.5,"low",IF(K139=72.5,"high",IF(AND(K139&gt;68.5,K139&lt;72.5),"normal","up"))))</f>
        <v>normal</v>
      </c>
      <c r="F139" t="str">
        <f>IF(P139&lt;69.8,"PVP-down",IF(P139=69.8,69.8,IF(P139&gt;69.8,"PVP-up")))</f>
        <v>PVP-up</v>
      </c>
      <c r="G139" t="str">
        <f>IF(R139&lt;279,"PVV-down",IF(R139=279,279,IF(R139&gt;279,"PVV-up")))</f>
        <v>PVV-up</v>
      </c>
      <c r="H139" s="3">
        <f t="shared" si="12"/>
        <v>1.058047077552122E-2</v>
      </c>
      <c r="I139">
        <f>[1]!'3019.PreviousPrice'</f>
        <v>69.900000000000006</v>
      </c>
      <c r="J139">
        <f>[1]!'3019.PreOpenPrice'</f>
        <v>71.099999999999994</v>
      </c>
      <c r="K139">
        <f>[1]!'3019.Open'</f>
        <v>70.2</v>
      </c>
      <c r="L139">
        <f>[1]!'3019.Change'</f>
        <v>1.2</v>
      </c>
      <c r="M139">
        <f>[1]!'3019.ChangePercent'</f>
        <v>1.72E-2</v>
      </c>
      <c r="N139">
        <f>[1]!'3019.BidPrice'</f>
        <v>71</v>
      </c>
      <c r="O139">
        <f>[1]!'3019.AskPrice'</f>
        <v>71.099999999999994</v>
      </c>
      <c r="P139">
        <f>[1]!'3019.Price'</f>
        <v>71.099999999999994</v>
      </c>
      <c r="Q139">
        <f>[1]!'3019.Volume'</f>
        <v>77</v>
      </c>
      <c r="R139">
        <f>[1]!'3019.CumulativeVolume'</f>
        <v>2974</v>
      </c>
      <c r="S139">
        <f>[1]!'3019.PreviousVolume'</f>
        <v>1454</v>
      </c>
      <c r="T139" s="3">
        <f t="shared" si="13"/>
        <v>1.2820512820512699E-2</v>
      </c>
      <c r="U139" s="3">
        <f>((T139*AB139)*D4)</f>
        <v>9.1820794176060511E-2</v>
      </c>
      <c r="V139" s="5">
        <f t="shared" si="14"/>
        <v>0</v>
      </c>
      <c r="W139" s="5">
        <f t="shared" si="15"/>
        <v>5474700</v>
      </c>
      <c r="X139">
        <v>3019</v>
      </c>
      <c r="Y139" s="5">
        <v>2810839010</v>
      </c>
      <c r="Z139" s="3">
        <f>((D2*AB139)/P139)/10</f>
        <v>1.0162870746317037E-2</v>
      </c>
      <c r="AA139" s="3">
        <f>((M139*AB139)*D2)</f>
        <v>0.12428377893086029</v>
      </c>
      <c r="AB139" s="3">
        <f>AE139/AE323</f>
        <v>5.6040027149305196E-4</v>
      </c>
      <c r="AC139" s="3">
        <f>AF139/AF323</f>
        <v>5.4582325292442779E-4</v>
      </c>
      <c r="AD139" s="5">
        <f t="shared" si="16"/>
        <v>19985065361.099998</v>
      </c>
      <c r="AE139" s="5">
        <f t="shared" si="17"/>
        <v>19985065361.099998</v>
      </c>
      <c r="AF139" s="5">
        <f t="shared" si="18"/>
        <v>19647764679.900002</v>
      </c>
      <c r="AG139">
        <f t="shared" si="19"/>
        <v>0</v>
      </c>
      <c r="AH139">
        <f t="shared" si="20"/>
        <v>0</v>
      </c>
      <c r="AI139" t="str">
        <f t="shared" si="21"/>
        <v>UAM50</v>
      </c>
      <c r="AJ139">
        <f t="shared" si="22"/>
        <v>0</v>
      </c>
      <c r="AK139" t="str">
        <f>IF(Q139&lt;28,"down",IF(Q139=28,28,IF(Q139&gt;28,"up")))</f>
        <v>up</v>
      </c>
    </row>
    <row r="140" spans="1:37" x14ac:dyDescent="0.25">
      <c r="A140">
        <f>IF(X140=2388,2388,"Error")</f>
        <v>2388</v>
      </c>
      <c r="B140" t="str">
        <f>IF(K140&lt;37.5,"down",IF(K140=37.5,"low",IF(K140=38.45,"high",IF(AND(K140&gt;37.5,K140&lt;38.45),"normal","up"))))</f>
        <v>normal</v>
      </c>
      <c r="C140" t="str">
        <f>IF(K140&lt;37.5,"down",IF(K140=37.5,"low",IF(K140=38.45,"high",IF(AND(K140&gt;37.5,K140&lt;38.45),"normal","up"))))</f>
        <v>normal</v>
      </c>
      <c r="D140" t="str">
        <f>IF(K140&lt;37.5,"down",IF(K140=37.5,"low",IF(K140=38.45,"high",IF(AND(K140&gt;37.5,K140&lt;38.45),"normal","up"))))</f>
        <v>normal</v>
      </c>
      <c r="E140" t="str">
        <f>IF(K140&lt;37.5,"down",IF(K140=37.5,"low",IF(K140=43,"high",IF(AND(K140&gt;37.5,K140&lt;43),"normal","up"))))</f>
        <v>normal</v>
      </c>
      <c r="F140" t="str">
        <f>IF(P140&lt;37.7,"PVP-down",IF(P140=37.7,37.7,IF(P140&gt;37.7,"PVP-up")))</f>
        <v>PVP-down</v>
      </c>
      <c r="G140" t="str">
        <f>IF(R140&lt;430,"PVV-down",IF(R140=430,430,IF(R140&gt;430,"PVV-up")))</f>
        <v>PVV-up</v>
      </c>
      <c r="H140" s="3">
        <f t="shared" si="12"/>
        <v>7.7883097515226941E-3</v>
      </c>
      <c r="I140">
        <f>[1]!'2388.PreviousPrice'</f>
        <v>37.700000000000003</v>
      </c>
      <c r="J140">
        <f>[1]!'2388.PreOpenPrice'</f>
        <v>36.6</v>
      </c>
      <c r="K140">
        <f>[1]!'2388.Open'</f>
        <v>37.700000000000003</v>
      </c>
      <c r="L140">
        <f>[1]!'2388.Change'</f>
        <v>-1.1000000000000001</v>
      </c>
      <c r="M140">
        <f>[1]!'2388.ChangePercent'</f>
        <v>-2.92E-2</v>
      </c>
      <c r="N140">
        <f>[1]!'2388.BidPrice'</f>
        <v>36.6</v>
      </c>
      <c r="O140">
        <f>[1]!'2388.AskPrice'</f>
        <v>36.65</v>
      </c>
      <c r="P140">
        <f>[1]!'2388.Price'</f>
        <v>36.6</v>
      </c>
      <c r="Q140">
        <f>[1]!'2388.Volume'</f>
        <v>162</v>
      </c>
      <c r="R140">
        <f>[1]!'2388.CumulativeVolume'</f>
        <v>3842</v>
      </c>
      <c r="S140">
        <f>[1]!'2388.PreviousVolume'</f>
        <v>3133</v>
      </c>
      <c r="T140" s="3">
        <f t="shared" si="13"/>
        <v>-2.9177718832891282E-2</v>
      </c>
      <c r="U140" s="3">
        <f>((T140*AB140)*D4)</f>
        <v>-0.1887889798445947</v>
      </c>
      <c r="V140" s="5">
        <f t="shared" si="14"/>
        <v>5929200</v>
      </c>
      <c r="W140" s="5">
        <f t="shared" si="15"/>
        <v>0</v>
      </c>
      <c r="X140">
        <v>2388</v>
      </c>
      <c r="Y140" s="5">
        <v>4933034410</v>
      </c>
      <c r="Z140" s="3">
        <f>((D2*AB140)/P140)/10</f>
        <v>1.7835881356991809E-2</v>
      </c>
      <c r="AA140" s="3">
        <f>((M140*AB140)*D2)</f>
        <v>-0.19061563123844288</v>
      </c>
      <c r="AB140" s="3">
        <f>AE140/AE323</f>
        <v>5.0627676257631476E-4</v>
      </c>
      <c r="AC140" s="3">
        <f>AF140/AF323</f>
        <v>5.1664755736093785E-4</v>
      </c>
      <c r="AD140" s="5">
        <f t="shared" si="16"/>
        <v>18054905940.599998</v>
      </c>
      <c r="AE140" s="5">
        <f t="shared" si="17"/>
        <v>18054905940.599998</v>
      </c>
      <c r="AF140" s="5">
        <f t="shared" si="18"/>
        <v>18597539725.700001</v>
      </c>
      <c r="AG140" t="str">
        <f t="shared" si="19"/>
        <v>DBM150</v>
      </c>
      <c r="AH140">
        <f t="shared" si="20"/>
        <v>0</v>
      </c>
      <c r="AI140">
        <f t="shared" si="21"/>
        <v>0</v>
      </c>
      <c r="AJ140">
        <f t="shared" si="22"/>
        <v>0</v>
      </c>
      <c r="AK140" t="str">
        <f>IF(Q140&lt;163,"down",IF(Q140=163,163,IF(Q140&gt;163,"up")))</f>
        <v>down</v>
      </c>
    </row>
    <row r="141" spans="1:37" x14ac:dyDescent="0.25">
      <c r="A141">
        <f>IF(X141=4915,4915,"Error")</f>
        <v>4915</v>
      </c>
      <c r="B141" t="str">
        <f>IF(K141&lt;42.2,"down",IF(K141=42.2,"low",IF(K141=43.3,"high",IF(AND(K141&gt;42.2,K141&lt;43.3),"normal","up"))))</f>
        <v>low</v>
      </c>
      <c r="C141" t="str">
        <f>IF(K141&lt;42.2,"down",IF(K141=42.2,"low",IF(K141=43.3,"high",IF(AND(K141&gt;42.2,K141&lt;43.3),"normal","up"))))</f>
        <v>low</v>
      </c>
      <c r="D141" t="str">
        <f>IF(K141&lt;42.2,"down",IF(K141=42.2,"low",IF(K141=43.3,"high",IF(AND(K141&gt;42.2,K141&lt;43.3),"normal","up"))))</f>
        <v>low</v>
      </c>
      <c r="E141" t="str">
        <f>IF(K141&lt;41.2,"down",IF(K141=41.2,"low",IF(K141=43.3,"high",IF(AND(K141&gt;41.2,K141&lt;43.3),"normal","up"))))</f>
        <v>normal</v>
      </c>
      <c r="F141" t="str">
        <f>IF(P141&lt;42.3,"PVP-down",IF(P141=42.3,42.3,IF(P141&gt;42.3,"PVP-up")))</f>
        <v>PVP-down</v>
      </c>
      <c r="G141" t="str">
        <f>IF(R141&lt;368,"PVV-down",IF(R141=368,368,IF(R141&gt;368,"PVV-up")))</f>
        <v>PVV-up</v>
      </c>
      <c r="H141" s="3">
        <f t="shared" si="12"/>
        <v>6.5433718892161496E-3</v>
      </c>
      <c r="I141">
        <f>[1]!'4915.PreviousPrice'</f>
        <v>42.2</v>
      </c>
      <c r="J141">
        <f>[1]!'4915.PreOpenPrice'</f>
        <v>41.7</v>
      </c>
      <c r="K141">
        <f>[1]!'4915.Open'</f>
        <v>42.2</v>
      </c>
      <c r="L141">
        <f>[1]!'4915.Change'</f>
        <v>-0.5</v>
      </c>
      <c r="M141">
        <f>[1]!'4915.ChangePercent'</f>
        <v>-1.18E-2</v>
      </c>
      <c r="N141">
        <f>[1]!'4915.BidPrice'</f>
        <v>41.65</v>
      </c>
      <c r="O141">
        <f>[1]!'4915.AskPrice'</f>
        <v>41.7</v>
      </c>
      <c r="P141">
        <f>[1]!'4915.Price'</f>
        <v>41.7</v>
      </c>
      <c r="Q141">
        <f>[1]!'4915.Volume'</f>
        <v>122</v>
      </c>
      <c r="R141">
        <f>[1]!'4915.CumulativeVolume'</f>
        <v>2936</v>
      </c>
      <c r="S141">
        <f>[1]!'4915.PreviousVolume'</f>
        <v>3462</v>
      </c>
      <c r="T141" s="3">
        <f t="shared" si="13"/>
        <v>-1.1848341232227487E-2</v>
      </c>
      <c r="U141" s="3">
        <f>((T141*AB141)*D4)</f>
        <v>-7.9447114830106261E-2</v>
      </c>
      <c r="V141" s="5">
        <f t="shared" si="14"/>
        <v>0</v>
      </c>
      <c r="W141" s="5">
        <f t="shared" si="15"/>
        <v>5087400.0000000009</v>
      </c>
      <c r="X141">
        <v>4915</v>
      </c>
      <c r="Y141" s="5">
        <v>4486983240</v>
      </c>
      <c r="Z141" s="3">
        <f>((D2*AB141)/P141)/10</f>
        <v>1.622313855285893E-2</v>
      </c>
      <c r="AA141" s="3">
        <f>((M141*AB141)*D2)</f>
        <v>-7.9827575563197653E-2</v>
      </c>
      <c r="AB141" s="3">
        <f>AE141/AE323</f>
        <v>5.2466641666993751E-4</v>
      </c>
      <c r="AC141" s="3">
        <f>AF141/AF323</f>
        <v>5.260242716262864E-4</v>
      </c>
      <c r="AD141" s="5">
        <f t="shared" si="16"/>
        <v>18710720110.799999</v>
      </c>
      <c r="AE141" s="5">
        <f t="shared" si="17"/>
        <v>18710720110.799999</v>
      </c>
      <c r="AF141" s="5">
        <f t="shared" si="18"/>
        <v>18935069272.799999</v>
      </c>
      <c r="AG141">
        <f t="shared" si="19"/>
        <v>0</v>
      </c>
      <c r="AH141" t="str">
        <f t="shared" si="20"/>
        <v>DAM100</v>
      </c>
      <c r="AI141">
        <f t="shared" si="21"/>
        <v>0</v>
      </c>
      <c r="AJ141">
        <f t="shared" si="22"/>
        <v>0</v>
      </c>
      <c r="AK141" t="str">
        <f>IF(Q141&lt;25,"down",IF(Q141=25,25,IF(Q141&gt;25,"up")))</f>
        <v>up</v>
      </c>
    </row>
    <row r="142" spans="1:37" x14ac:dyDescent="0.25">
      <c r="A142">
        <f>IF(X142=6257,6257,"Error")</f>
        <v>6257</v>
      </c>
      <c r="B142" t="str">
        <f>IF(K142&lt;43.8,"down",IF(K142=43.8,"low",IF(K142=44.75,"high",IF(AND(K142&gt;43.8,K142&lt;44.75),"normal","up"))))</f>
        <v>normal</v>
      </c>
      <c r="C142" t="str">
        <f>IF(K142&lt;43.8,"down",IF(K142=43.8,"low",IF(K142=44.75,"high",IF(AND(K142&gt;43.8,K142&lt;44.75),"normal","up"))))</f>
        <v>normal</v>
      </c>
      <c r="D142" t="str">
        <f>IF(K142&lt;43.8,"down",IF(K142=43.8,"low",IF(K142=44.75,"high",IF(AND(K142&gt;43.8,K142&lt;44.75),"normal","up"))))</f>
        <v>normal</v>
      </c>
      <c r="E142" t="str">
        <f>IF(K142&lt;42.6,"down",IF(K142=42.6,"low",IF(K142=45.2,"high",IF(AND(K142&gt;42.6,K142&lt;45.2),"normal","up"))))</f>
        <v>normal</v>
      </c>
      <c r="F142" t="str">
        <f>IF(P142&lt;43.85,"PVP-down",IF(P142=43.85,43.85,IF(P142&gt;43.85,"PVP-up")))</f>
        <v>PVP-down</v>
      </c>
      <c r="G142" t="str">
        <f>IF(R142&lt;634,"PVV-down",IF(R142=634,634,IF(R142&gt;634,"PVV-up")))</f>
        <v>PVV-up</v>
      </c>
      <c r="H142" s="3">
        <f t="shared" si="12"/>
        <v>8.9203019748072924E-3</v>
      </c>
      <c r="I142">
        <f>[1]!'6257.PreviousPrice'</f>
        <v>43.85</v>
      </c>
      <c r="J142">
        <f>[1]!'6257.PreOpenPrice'</f>
        <v>43.05</v>
      </c>
      <c r="K142">
        <f>[1]!'6257.Open'</f>
        <v>44</v>
      </c>
      <c r="L142">
        <f>[1]!'6257.Change'</f>
        <v>-0.8</v>
      </c>
      <c r="M142">
        <f>[1]!'6257.ChangePercent'</f>
        <v>-1.8200000000000001E-2</v>
      </c>
      <c r="N142">
        <f>[1]!'6257.BidPrice'</f>
        <v>43.05</v>
      </c>
      <c r="O142">
        <f>[1]!'6257.AskPrice'</f>
        <v>43.1</v>
      </c>
      <c r="P142">
        <f>[1]!'6257.Price'</f>
        <v>43.05</v>
      </c>
      <c r="Q142">
        <f>[1]!'6257.Volume'</f>
        <v>77</v>
      </c>
      <c r="R142">
        <f>[1]!'6257.CumulativeVolume'</f>
        <v>3760</v>
      </c>
      <c r="S142">
        <f>[1]!'6257.PreviousVolume'</f>
        <v>3611</v>
      </c>
      <c r="T142" s="3">
        <f t="shared" si="13"/>
        <v>-2.1590909090909157E-2</v>
      </c>
      <c r="U142" s="3">
        <f>((T142*AB142)*D4)</f>
        <v>-0.14040495912222792</v>
      </c>
      <c r="V142" s="5">
        <f t="shared" si="14"/>
        <v>3314850</v>
      </c>
      <c r="W142" s="5">
        <f t="shared" si="15"/>
        <v>0</v>
      </c>
      <c r="X142">
        <v>6257</v>
      </c>
      <c r="Y142" s="5">
        <v>4215103940</v>
      </c>
      <c r="Z142" s="3">
        <f>((D2*AB142)/P142)/10</f>
        <v>1.5240131637603706E-2</v>
      </c>
      <c r="AA142" s="3">
        <f>((M142*AB142)*D2)</f>
        <v>-0.11940795539378882</v>
      </c>
      <c r="AB142" s="3">
        <f>AE142/AE323</f>
        <v>5.0883175663009122E-4</v>
      </c>
      <c r="AC142" s="3">
        <f>AF142/AF323</f>
        <v>5.1347200618303635E-4</v>
      </c>
      <c r="AD142" s="5">
        <f t="shared" si="16"/>
        <v>18146022461.700001</v>
      </c>
      <c r="AE142" s="5">
        <f t="shared" si="17"/>
        <v>18146022461.700001</v>
      </c>
      <c r="AF142" s="5">
        <f t="shared" si="18"/>
        <v>18483230776.900002</v>
      </c>
      <c r="AG142" t="str">
        <f t="shared" si="19"/>
        <v>DBM50</v>
      </c>
      <c r="AH142">
        <f t="shared" si="20"/>
        <v>0</v>
      </c>
      <c r="AI142">
        <f t="shared" si="21"/>
        <v>0</v>
      </c>
      <c r="AJ142">
        <f t="shared" si="22"/>
        <v>0</v>
      </c>
      <c r="AK142" t="str">
        <f>IF(Q142&lt;62,"down",IF(Q142=62,62,IF(Q142&gt;62,"up")))</f>
        <v>up</v>
      </c>
    </row>
    <row r="143" spans="1:37" x14ac:dyDescent="0.25">
      <c r="A143">
        <f>IF(X143=8016,8016,"Error")</f>
        <v>8016</v>
      </c>
      <c r="B143" t="str">
        <f>IF(K143&lt;144,"down",IF(K143=144,"low",IF(K143=150,"high",IF(AND(K143&gt;144,K143&lt;150),"normal","up"))))</f>
        <v>normal</v>
      </c>
      <c r="C143" t="str">
        <f>IF(K143&lt;144,"down",IF(K143=144,"low",IF(K143=150,"high",IF(AND(K143&gt;144,K143&lt;150),"normal","up"))))</f>
        <v>normal</v>
      </c>
      <c r="D143" t="str">
        <f>IF(K143&lt;144,"down",IF(K143=144,"low",IF(K143=150,"high",IF(AND(K143&gt;144,K143&lt;150),"normal","up"))))</f>
        <v>normal</v>
      </c>
      <c r="E143" t="str">
        <f>IF(K143&lt;142,"down",IF(K143=142,"low",IF(K143=155.5,"high",IF(AND(K143&gt;142,K143&lt;155.5),"normal","up"))))</f>
        <v>normal</v>
      </c>
      <c r="F143" t="str">
        <f>IF(P143&lt;145,"PVP-down",IF(P143=145,145,IF(P143&gt;145,"PVP-up")))</f>
        <v>PVP-down</v>
      </c>
      <c r="G143" t="str">
        <f>IF(R143&lt;668,"PVV-down",IF(R143=668,668,IF(R143&gt;668,"PVV-up")))</f>
        <v>PVV-up</v>
      </c>
      <c r="H143" s="3">
        <f t="shared" si="12"/>
        <v>1.8628751425166075E-2</v>
      </c>
      <c r="I143">
        <f>[1]!'8016.PreviousPrice'</f>
        <v>145</v>
      </c>
      <c r="J143">
        <f>[1]!'8016.PreOpenPrice'</f>
        <v>141.5</v>
      </c>
      <c r="K143">
        <f>[1]!'8016.Open'</f>
        <v>144.5</v>
      </c>
      <c r="L143">
        <f>[1]!'8016.Change'</f>
        <v>-3.5</v>
      </c>
      <c r="M143">
        <f>[1]!'8016.ChangePercent'</f>
        <v>-2.41E-2</v>
      </c>
      <c r="N143">
        <f>[1]!'8016.BidPrice'</f>
        <v>141.5</v>
      </c>
      <c r="O143">
        <f>[1]!'8016.AskPrice'</f>
        <v>142</v>
      </c>
      <c r="P143">
        <f>[1]!'8016.Price'</f>
        <v>141.5</v>
      </c>
      <c r="Q143">
        <f>[1]!'8016.Volume'</f>
        <v>65</v>
      </c>
      <c r="R143">
        <f>[1]!'8016.CumulativeVolume'</f>
        <v>2238</v>
      </c>
      <c r="S143">
        <f>[1]!'8016.PreviousVolume'</f>
        <v>2690</v>
      </c>
      <c r="T143" s="3">
        <f t="shared" si="13"/>
        <v>-2.0761245674740483E-2</v>
      </c>
      <c r="U143" s="3">
        <f>((T143*AB143)*D4)</f>
        <v>-0.12647836898532547</v>
      </c>
      <c r="V143" s="5">
        <f t="shared" si="14"/>
        <v>9197500</v>
      </c>
      <c r="W143" s="5">
        <f t="shared" si="15"/>
        <v>0</v>
      </c>
      <c r="X143">
        <v>8016</v>
      </c>
      <c r="Y143" s="5">
        <v>1201368760</v>
      </c>
      <c r="Z143" s="3">
        <f>((D2*AB143)/P143)/10</f>
        <v>4.3436694108436938E-3</v>
      </c>
      <c r="AA143" s="3">
        <f>((M143*AB143)*D2)</f>
        <v>-0.14812564241388623</v>
      </c>
      <c r="AB143" s="3">
        <f>AE143/AE323</f>
        <v>4.7667847187403655E-4</v>
      </c>
      <c r="AC143" s="3">
        <f>AF143/AF323</f>
        <v>4.8393075348817196E-4</v>
      </c>
      <c r="AD143" s="5">
        <f t="shared" si="16"/>
        <v>16999367954</v>
      </c>
      <c r="AE143" s="5">
        <f t="shared" si="17"/>
        <v>16999367954</v>
      </c>
      <c r="AF143" s="5">
        <f t="shared" si="18"/>
        <v>17419847020</v>
      </c>
      <c r="AG143" t="str">
        <f t="shared" si="19"/>
        <v>DBM50</v>
      </c>
      <c r="AH143">
        <f t="shared" si="20"/>
        <v>0</v>
      </c>
      <c r="AI143">
        <f t="shared" si="21"/>
        <v>0</v>
      </c>
      <c r="AJ143">
        <f t="shared" si="22"/>
        <v>0</v>
      </c>
      <c r="AK143" t="str">
        <f>IF(Q143&lt;16,"down",IF(Q143=16,16,IF(Q143&gt;16,"up")))</f>
        <v>up</v>
      </c>
    </row>
    <row r="144" spans="1:37" x14ac:dyDescent="0.25">
      <c r="A144">
        <f>IF(X144=4943,4943,"Error")</f>
        <v>4943</v>
      </c>
      <c r="B144" t="str">
        <f>IF(K144&lt;122.5,"down",IF(K144=122.5,"low",IF(K144=125.5,"high",IF(AND(K144&gt;122.5,K144&lt;125.5),"normal","up"))))</f>
        <v>normal</v>
      </c>
      <c r="C144" t="str">
        <f>IF(K144&lt;122.5,"down",IF(K144=122.5,"low",IF(K144=125.5,"high",IF(AND(K144&gt;122.5,K144&lt;125.5),"normal","up"))))</f>
        <v>normal</v>
      </c>
      <c r="D144" t="str">
        <f>IF(K144&lt;122.5,"down",IF(K144=122.5,"low",IF(K144=125.5,"high",IF(AND(K144&gt;122.5,K144&lt;125.5),"normal","up"))))</f>
        <v>normal</v>
      </c>
      <c r="E144" t="str">
        <f>IF(K144&lt;122.5,"down",IF(K144=122.5,"low",IF(K144=132,"high",IF(AND(K144&gt;122.5,K144&lt;132),"normal","up"))))</f>
        <v>normal</v>
      </c>
      <c r="F144">
        <f>IF(P144&lt;123,"PVP-down",IF(P144=123,123,IF(P144&gt;123,"PVP-up")))</f>
        <v>123</v>
      </c>
      <c r="G144" t="str">
        <f>IF(R144&lt;477,"PVV-down",IF(R144=477,477,IF(R144&gt;477,"PVV-up")))</f>
        <v>PVV-up</v>
      </c>
      <c r="H144" s="3">
        <f t="shared" si="12"/>
        <v>8.1208793846645217E-3</v>
      </c>
      <c r="I144">
        <f>[1]!'4943.PreviousPrice'</f>
        <v>123</v>
      </c>
      <c r="J144">
        <f>[1]!'4943.PreOpenPrice'</f>
        <v>123</v>
      </c>
      <c r="K144">
        <f>[1]!'4943.Open'</f>
        <v>123.5</v>
      </c>
      <c r="L144">
        <f>[1]!'4943.Change'</f>
        <v>0</v>
      </c>
      <c r="M144">
        <f>[1]!'4943.ChangePercent'</f>
        <v>0</v>
      </c>
      <c r="N144">
        <f>[1]!'4943.BidPrice'</f>
        <v>123</v>
      </c>
      <c r="O144">
        <f>[1]!'4943.AskPrice'</f>
        <v>123.5</v>
      </c>
      <c r="P144">
        <f>[1]!'4943.Price'</f>
        <v>123</v>
      </c>
      <c r="Q144">
        <f>[1]!'4943.Volume'</f>
        <v>69</v>
      </c>
      <c r="R144">
        <f>[1]!'4943.CumulativeVolume'</f>
        <v>1111</v>
      </c>
      <c r="S144">
        <f>[1]!'4943.PreviousVolume'</f>
        <v>1182</v>
      </c>
      <c r="T144" s="3">
        <f t="shared" si="13"/>
        <v>-4.048582995951417E-3</v>
      </c>
      <c r="U144" s="3">
        <f>((T144*AB144)*D4)</f>
        <v>-2.4414578528787211E-2</v>
      </c>
      <c r="V144" s="5">
        <f t="shared" si="14"/>
        <v>8487000</v>
      </c>
      <c r="W144" s="5">
        <f t="shared" si="15"/>
        <v>0</v>
      </c>
      <c r="X144">
        <v>4943</v>
      </c>
      <c r="Y144" s="5">
        <v>1368078440</v>
      </c>
      <c r="Z144" s="3">
        <f>((D2*AB144)/P144)/10</f>
        <v>4.9464250023138279E-3</v>
      </c>
      <c r="AA144" s="3">
        <f>((M144*AB144)*D2)</f>
        <v>0</v>
      </c>
      <c r="AB144" s="3">
        <f>AE144/AE323</f>
        <v>4.7185533991360386E-4</v>
      </c>
      <c r="AC144" s="3">
        <f>AF144/AF323</f>
        <v>4.6747134595051748E-4</v>
      </c>
      <c r="AD144" s="5">
        <f t="shared" si="16"/>
        <v>16827364812</v>
      </c>
      <c r="AE144" s="5">
        <f t="shared" si="17"/>
        <v>16827364812</v>
      </c>
      <c r="AF144" s="5">
        <f t="shared" si="18"/>
        <v>16827364812</v>
      </c>
      <c r="AG144">
        <f t="shared" si="19"/>
        <v>0</v>
      </c>
      <c r="AH144">
        <f t="shared" si="20"/>
        <v>0</v>
      </c>
      <c r="AI144">
        <f t="shared" si="21"/>
        <v>0</v>
      </c>
      <c r="AJ144">
        <f t="shared" si="22"/>
        <v>0</v>
      </c>
      <c r="AK144" t="str">
        <f>IF(Q144&lt;16,"down",IF(Q144=16,16,IF(Q144&gt;16,"up")))</f>
        <v>up</v>
      </c>
    </row>
    <row r="145" spans="1:37" x14ac:dyDescent="0.25">
      <c r="A145">
        <f>IF(X145=3413,3413,"Error")</f>
        <v>3413</v>
      </c>
      <c r="B145" t="str">
        <f>IF(K145&lt;209,"down",IF(K145=209,"low",IF(K145=219,"high",IF(AND(K145&gt;209,K145&lt;219),"normal","up"))))</f>
        <v>normal</v>
      </c>
      <c r="C145" t="str">
        <f>IF(K145&lt;209,"down",IF(K145=209,"low",IF(K145=219,"high",IF(AND(K145&gt;209,K145&lt;219),"normal","up"))))</f>
        <v>normal</v>
      </c>
      <c r="D145" t="str">
        <f>IF(K145&lt;209,"down",IF(K145=209,"low",IF(K145=219,"high",IF(AND(K145&gt;209,K145&lt;219),"normal","up"))))</f>
        <v>normal</v>
      </c>
      <c r="E145" t="str">
        <f>IF(K145&lt;207,"down",IF(K145=207,"low",IF(K145=225,"high",IF(AND(K145&gt;207,K145&lt;225),"normal","up"))))</f>
        <v>normal</v>
      </c>
      <c r="F145" t="str">
        <f>IF(P145&lt;212,"PVP-down",IF(P145=212,212,IF(P145&gt;212,"PVP-up")))</f>
        <v>PVP-down</v>
      </c>
      <c r="G145" t="str">
        <f>IF(R145&lt;280,"PVV-down",IF(R145=280,280,IF(R145&gt;280,"PVV-up")))</f>
        <v>PVV-up</v>
      </c>
      <c r="H145" s="3">
        <f t="shared" si="12"/>
        <v>3.0770198005317384E-2</v>
      </c>
      <c r="I145">
        <f>[1]!'3413.PreviousPrice'</f>
        <v>212</v>
      </c>
      <c r="J145">
        <f>[1]!'3413.PreOpenPrice'</f>
        <v>205.5</v>
      </c>
      <c r="K145">
        <f>[1]!'3413.Open'</f>
        <v>211</v>
      </c>
      <c r="L145">
        <f>[1]!'3413.Change'</f>
        <v>-6.5</v>
      </c>
      <c r="M145">
        <f>[1]!'3413.ChangePercent'</f>
        <v>-3.0700000000000002E-2</v>
      </c>
      <c r="N145">
        <f>[1]!'3413.BidPrice'</f>
        <v>205</v>
      </c>
      <c r="O145">
        <f>[1]!'3413.AskPrice'</f>
        <v>205.5</v>
      </c>
      <c r="P145">
        <f>[1]!'3413.Price'</f>
        <v>205.5</v>
      </c>
      <c r="Q145">
        <f>[1]!'3413.Volume'</f>
        <v>108</v>
      </c>
      <c r="R145">
        <f>[1]!'3413.CumulativeVolume'</f>
        <v>2545</v>
      </c>
      <c r="S145">
        <f>[1]!'3413.PreviousVolume'</f>
        <v>2665</v>
      </c>
      <c r="T145" s="3">
        <f t="shared" si="13"/>
        <v>-2.6066350710900472E-2</v>
      </c>
      <c r="U145" s="3">
        <f>((T145*AB145)*D4)</f>
        <v>-0.15877408939072712</v>
      </c>
      <c r="V145" s="5">
        <f t="shared" si="14"/>
        <v>0</v>
      </c>
      <c r="W145" s="5">
        <f t="shared" si="15"/>
        <v>22194000</v>
      </c>
      <c r="X145">
        <v>3413</v>
      </c>
      <c r="Y145" s="5">
        <v>827099000</v>
      </c>
      <c r="Z145" s="3">
        <f>((D2*AB145)/P145)/10</f>
        <v>2.9904595039073672E-3</v>
      </c>
      <c r="AA145" s="3">
        <f>((M145*AB145)*D2)</f>
        <v>-0.18866360441225993</v>
      </c>
      <c r="AB145" s="3">
        <f>AE145/AE323</f>
        <v>4.7660883205596704E-4</v>
      </c>
      <c r="AC145" s="3">
        <f>AF145/AF323</f>
        <v>4.8711582866250953E-4</v>
      </c>
      <c r="AD145" s="5">
        <f t="shared" si="16"/>
        <v>16996884450</v>
      </c>
      <c r="AE145" s="5">
        <f t="shared" si="17"/>
        <v>16996884450</v>
      </c>
      <c r="AF145" s="5">
        <f t="shared" si="18"/>
        <v>17534498800</v>
      </c>
      <c r="AG145">
        <f t="shared" si="19"/>
        <v>0</v>
      </c>
      <c r="AH145" t="str">
        <f t="shared" si="20"/>
        <v>DAM100</v>
      </c>
      <c r="AI145">
        <f t="shared" si="21"/>
        <v>0</v>
      </c>
      <c r="AJ145">
        <f t="shared" si="22"/>
        <v>0</v>
      </c>
      <c r="AK145" t="str">
        <f>IF(Q145&lt;57,"down",IF(Q145=57,57,IF(Q145&gt;57,"up")))</f>
        <v>up</v>
      </c>
    </row>
    <row r="146" spans="1:37" x14ac:dyDescent="0.25">
      <c r="A146">
        <f>IF(X146=3026,3026,"Error")</f>
        <v>3026</v>
      </c>
      <c r="B146" t="str">
        <f>IF(K146&lt;109,"down",IF(K146=109,"low",IF(K146=113,"high",IF(AND(K146&gt;109,K146&lt;113),"normal","up"))))</f>
        <v>normal</v>
      </c>
      <c r="C146" t="str">
        <f>IF(K146&lt;109,"down",IF(K146=109,"low",IF(K146=113,"high",IF(AND(K146&gt;109,K146&lt;113),"normal","up"))))</f>
        <v>normal</v>
      </c>
      <c r="D146" t="str">
        <f>IF(K146&lt;109,"down",IF(K146=109,"low",IF(K146=113,"high",IF(AND(K146&gt;109,K146&lt;113),"normal","up"))))</f>
        <v>normal</v>
      </c>
      <c r="E146" t="str">
        <f>IF(K146&lt;108.5,"down",IF(K146=108.5,"low",IF(K146=115.5,"high",IF(AND(K146&gt;108.5,K146&lt;115.5),"normal","up"))))</f>
        <v>normal</v>
      </c>
      <c r="F146" t="str">
        <f>IF(P146&lt;110.5,"PVP-down",IF(P146=110.5,110.5,IF(P146&gt;110.5,"PVP-up")))</f>
        <v>PVP-down</v>
      </c>
      <c r="G146" t="str">
        <f>IF(R146&lt;495,"PVV-down",IF(R146=495,495,IF(R146&gt;495,"PVV-up")))</f>
        <v>PVV-up</v>
      </c>
      <c r="H146" s="3">
        <f t="shared" si="12"/>
        <v>6.6839343832844822E-3</v>
      </c>
      <c r="I146">
        <f>[1]!'3026.PreviousPrice'</f>
        <v>109</v>
      </c>
      <c r="J146">
        <f>[1]!'3026.PreOpenPrice'</f>
        <v>109</v>
      </c>
      <c r="K146">
        <f>[1]!'3026.Open'</f>
        <v>110.5</v>
      </c>
      <c r="L146">
        <f>[1]!'3026.Change'</f>
        <v>0</v>
      </c>
      <c r="M146">
        <f>[1]!'3026.ChangePercent'</f>
        <v>0</v>
      </c>
      <c r="N146">
        <f>[1]!'3026.BidPrice'</f>
        <v>109</v>
      </c>
      <c r="O146">
        <f>[1]!'3026.AskPrice'</f>
        <v>109.5</v>
      </c>
      <c r="P146">
        <f>[1]!'3026.Price'</f>
        <v>109</v>
      </c>
      <c r="Q146">
        <f>[1]!'3026.Volume'</f>
        <v>82</v>
      </c>
      <c r="R146">
        <f>[1]!'3026.CumulativeVolume'</f>
        <v>1056</v>
      </c>
      <c r="S146">
        <f>[1]!'3026.PreviousVolume'</f>
        <v>1988</v>
      </c>
      <c r="T146" s="3">
        <f t="shared" si="13"/>
        <v>-1.3574660633484163E-2</v>
      </c>
      <c r="U146" s="3">
        <f>((T146*AB146)*D4)</f>
        <v>-8.3775551192458247E-2</v>
      </c>
      <c r="V146" s="5">
        <f t="shared" si="14"/>
        <v>8938000</v>
      </c>
      <c r="W146" s="5">
        <f t="shared" si="15"/>
        <v>0</v>
      </c>
      <c r="X146">
        <v>3026</v>
      </c>
      <c r="Y146" s="5">
        <v>1579907790</v>
      </c>
      <c r="Z146" s="3">
        <f>((D2*AB146)/P146)/10</f>
        <v>5.712315292247706E-3</v>
      </c>
      <c r="AA146" s="3">
        <f>((M146*AB146)*D2)</f>
        <v>0</v>
      </c>
      <c r="AB146" s="3">
        <f>AE146/AE323</f>
        <v>4.8289310288118493E-4</v>
      </c>
      <c r="AC146" s="3">
        <f>AF146/AF323</f>
        <v>4.784065573898596E-4</v>
      </c>
      <c r="AD146" s="5">
        <f t="shared" si="16"/>
        <v>17220994911</v>
      </c>
      <c r="AE146" s="5">
        <f t="shared" si="17"/>
        <v>17220994911</v>
      </c>
      <c r="AF146" s="5">
        <f t="shared" si="18"/>
        <v>17220994911</v>
      </c>
      <c r="AG146">
        <f t="shared" si="19"/>
        <v>0</v>
      </c>
      <c r="AH146">
        <f t="shared" si="20"/>
        <v>0</v>
      </c>
      <c r="AI146">
        <f t="shared" si="21"/>
        <v>0</v>
      </c>
      <c r="AJ146">
        <f t="shared" si="22"/>
        <v>0</v>
      </c>
      <c r="AK146" t="str">
        <f>IF(Q146&lt;32,"down",IF(Q146=32,32,IF(Q146&gt;32,"up")))</f>
        <v>up</v>
      </c>
    </row>
    <row r="147" spans="1:37" x14ac:dyDescent="0.25">
      <c r="A147">
        <f>IF(X147=4968,4968,"Error")</f>
        <v>4968</v>
      </c>
      <c r="B147" t="str">
        <f>IF(K147&lt;272,"down",IF(K147=272,"low",IF(K147=283,"high",IF(AND(K147&gt;272,K147&lt;283),"normal","up"))))</f>
        <v>normal</v>
      </c>
      <c r="C147" t="str">
        <f>IF(K147&lt;272,"down",IF(K147=272,"low",IF(K147=283,"high",IF(AND(K147&gt;272,K147&lt;283),"normal","up"))))</f>
        <v>normal</v>
      </c>
      <c r="D147" t="str">
        <f>IF(K147&lt;272,"down",IF(K147=272,"low",IF(K147=283,"high",IF(AND(K147&gt;272,K147&lt;283),"normal","up"))))</f>
        <v>normal</v>
      </c>
      <c r="E147" t="str">
        <f>IF(K147&lt;264.5,"down",IF(K147=264.5,"low",IF(K147=298.5,"high",IF(AND(K147&gt;264.5,K147&lt;298.5),"normal","up"))))</f>
        <v>normal</v>
      </c>
      <c r="F147">
        <f>IF(P147&lt;274,"PVP-down",IF(P147=274,274,IF(P147&gt;274,"PVP-up")))</f>
        <v>274</v>
      </c>
      <c r="G147" t="str">
        <f>IF(R147&lt;455,"PVV-down",IF(R147=455,455,IF(R147&gt;455,"PVV-up")))</f>
        <v>PVV-up</v>
      </c>
      <c r="H147" s="3">
        <f t="shared" si="12"/>
        <v>0.12542024390874235</v>
      </c>
      <c r="I147">
        <f>[1]!'4968.PreviousPrice'</f>
        <v>274</v>
      </c>
      <c r="J147">
        <f>[1]!'4968.PreOpenPrice'</f>
        <v>274</v>
      </c>
      <c r="K147">
        <f>[1]!'4968.Open'</f>
        <v>278</v>
      </c>
      <c r="L147">
        <f>[1]!'4968.Change'</f>
        <v>0</v>
      </c>
      <c r="M147">
        <f>[1]!'4968.ChangePercent'</f>
        <v>0</v>
      </c>
      <c r="N147">
        <f>[1]!'4968.BidPrice'</f>
        <v>273.5</v>
      </c>
      <c r="O147">
        <f>[1]!'4968.AskPrice'</f>
        <v>274</v>
      </c>
      <c r="P147">
        <f>[1]!'4968.Price'</f>
        <v>274</v>
      </c>
      <c r="Q147">
        <f>[1]!'4968.Volume'</f>
        <v>287</v>
      </c>
      <c r="R147">
        <f>[1]!'4968.CumulativeVolume'</f>
        <v>7794</v>
      </c>
      <c r="S147">
        <f>[1]!'4968.PreviousVolume'</f>
        <v>4332</v>
      </c>
      <c r="T147" s="3">
        <f t="shared" si="13"/>
        <v>-1.4388489208633094E-2</v>
      </c>
      <c r="U147" s="3">
        <f>((T147*AB147)*D4)</f>
        <v>-8.779880262008756E-2</v>
      </c>
      <c r="V147" s="5">
        <f t="shared" si="14"/>
        <v>0</v>
      </c>
      <c r="W147" s="5">
        <f t="shared" si="15"/>
        <v>78638000</v>
      </c>
      <c r="X147">
        <v>4968</v>
      </c>
      <c r="Y147" s="5">
        <v>621430780</v>
      </c>
      <c r="Z147" s="3">
        <f>((D2*AB147)/P147)/10</f>
        <v>2.2468453982794905E-3</v>
      </c>
      <c r="AA147" s="3">
        <f>((M147*AB147)*D2)</f>
        <v>0</v>
      </c>
      <c r="AB147" s="3">
        <f>AE147/AE323</f>
        <v>4.7745900351216095E-4</v>
      </c>
      <c r="AC147" s="3">
        <f>AF147/AF323</f>
        <v>4.7302294607684233E-4</v>
      </c>
      <c r="AD147" s="5">
        <f t="shared" si="16"/>
        <v>17027203372</v>
      </c>
      <c r="AE147" s="5">
        <f t="shared" si="17"/>
        <v>17027203372</v>
      </c>
      <c r="AF147" s="5">
        <f t="shared" si="18"/>
        <v>17027203372</v>
      </c>
      <c r="AG147">
        <f t="shared" si="19"/>
        <v>0</v>
      </c>
      <c r="AH147">
        <f t="shared" si="20"/>
        <v>0</v>
      </c>
      <c r="AI147">
        <f t="shared" si="21"/>
        <v>0</v>
      </c>
      <c r="AJ147">
        <f t="shared" si="22"/>
        <v>0</v>
      </c>
      <c r="AK147" t="str">
        <f>IF(Q147&lt;171,"down",IF(Q147=171,171,IF(Q147&gt;171,"up")))</f>
        <v>up</v>
      </c>
    </row>
    <row r="148" spans="1:37" x14ac:dyDescent="0.25">
      <c r="A148">
        <f>IF(X148=3017,3017,"Error")</f>
        <v>3017</v>
      </c>
      <c r="B148" t="str">
        <f>IF(K148&lt;47,"down",IF(K148=47,"low",IF(K148=51.6,"high",IF(AND(K148&gt;47,K148&lt;51.6),"normal","up"))))</f>
        <v>normal</v>
      </c>
      <c r="C148" t="str">
        <f>IF(K148&lt;47,"down",IF(K148=47,"low",IF(K148=51.6,"high",IF(AND(K148&gt;47,K148&lt;51.6),"normal","up"))))</f>
        <v>normal</v>
      </c>
      <c r="D148" t="str">
        <f>IF(K148&lt;47,"down",IF(K148=47,"low",IF(K148=51.6,"high",IF(AND(K148&gt;47,K148&lt;51.6),"normal","up"))))</f>
        <v>normal</v>
      </c>
      <c r="E148" t="str">
        <f>IF(K148&lt;45,"down",IF(K148=45,"low",IF(K148=51.6,"high",IF(AND(K148&gt;45,K148&lt;51.6),"normal","up"))))</f>
        <v>normal</v>
      </c>
      <c r="F148" t="str">
        <f>IF(P148&lt;51.6,"PVP-down",IF(P148=51.6,51.6,IF(P148&gt;51.6,"PVP-up")))</f>
        <v>PVP-down</v>
      </c>
      <c r="G148" t="str">
        <f>IF(R148&lt;3660,"PVV-down",IF(R148=3660,3660,IF(R148&gt;3660,"PVV-up")))</f>
        <v>PVV-up</v>
      </c>
      <c r="H148" s="3">
        <f t="shared" si="12"/>
        <v>5.8387792117734108E-2</v>
      </c>
      <c r="I148">
        <f>[1]!'3017.PreviousPrice'</f>
        <v>47.2</v>
      </c>
      <c r="J148">
        <f>[1]!'3017.PreOpenPrice'</f>
        <v>46.05</v>
      </c>
      <c r="K148">
        <f>[1]!'3017.Open'</f>
        <v>47.4</v>
      </c>
      <c r="L148">
        <f>[1]!'3017.Change'</f>
        <v>-1.1499999999999999</v>
      </c>
      <c r="M148">
        <f>[1]!'3017.ChangePercent'</f>
        <v>-2.4400000000000002E-2</v>
      </c>
      <c r="N148">
        <f>[1]!'3017.BidPrice'</f>
        <v>46.05</v>
      </c>
      <c r="O148">
        <f>[1]!'3017.AskPrice'</f>
        <v>46.1</v>
      </c>
      <c r="P148">
        <f>[1]!'3017.Price'</f>
        <v>46.05</v>
      </c>
      <c r="Q148">
        <f>[1]!'3017.Volume'</f>
        <v>953</v>
      </c>
      <c r="R148">
        <f>[1]!'3017.CumulativeVolume'</f>
        <v>20629</v>
      </c>
      <c r="S148">
        <f>[1]!'3017.PreviousVolume'</f>
        <v>46916</v>
      </c>
      <c r="T148" s="3">
        <f t="shared" si="13"/>
        <v>-2.8481012658227878E-2</v>
      </c>
      <c r="U148" s="3">
        <f>((T148*AB148)*D4)</f>
        <v>-0.16606238025524966</v>
      </c>
      <c r="V148" s="5">
        <f t="shared" si="14"/>
        <v>43885649.999999993</v>
      </c>
      <c r="W148" s="5">
        <f t="shared" si="15"/>
        <v>0</v>
      </c>
      <c r="X148">
        <v>3017</v>
      </c>
      <c r="Y148" s="5">
        <v>3533101570</v>
      </c>
      <c r="Z148" s="3">
        <f>((D2*AB148)/P148)/10</f>
        <v>1.2774283572192133E-2</v>
      </c>
      <c r="AA148" s="3">
        <f>((M148*AB148)*D2)</f>
        <v>-0.14353440507386522</v>
      </c>
      <c r="AB148" s="3">
        <f>AE148/AE323</f>
        <v>4.5622441329257613E-4</v>
      </c>
      <c r="AC148" s="3">
        <f>AF148/AF323</f>
        <v>4.6327301806718278E-4</v>
      </c>
      <c r="AD148" s="5">
        <f t="shared" si="16"/>
        <v>16269932729.85</v>
      </c>
      <c r="AE148" s="5">
        <f t="shared" si="17"/>
        <v>16269932729.85</v>
      </c>
      <c r="AF148" s="5">
        <f t="shared" si="18"/>
        <v>16676239410.4</v>
      </c>
      <c r="AG148" t="str">
        <f t="shared" si="19"/>
        <v>DBM200</v>
      </c>
      <c r="AH148">
        <f t="shared" si="20"/>
        <v>0</v>
      </c>
      <c r="AI148">
        <f t="shared" si="21"/>
        <v>0</v>
      </c>
      <c r="AJ148">
        <f t="shared" si="22"/>
        <v>0</v>
      </c>
      <c r="AK148" t="str">
        <f>IF(Q148&lt;4725,"down",IF(Q148=4725,4725,IF(Q148&gt;4725,"up")))</f>
        <v>down</v>
      </c>
    </row>
    <row r="149" spans="1:37" x14ac:dyDescent="0.25">
      <c r="A149">
        <f>IF(X149=6202,6202,"Error")</f>
        <v>6202</v>
      </c>
      <c r="B149" t="str">
        <f>IF(K149&lt;72,"down",IF(K149=72,"low",IF(K149=73,"high",IF(AND(K149&gt;72,K149&lt;73),"normal","up"))))</f>
        <v>down</v>
      </c>
      <c r="C149" t="str">
        <f>IF(K149&lt;72,"down",IF(K149=72,"low",IF(K149=73,"high",IF(AND(K149&gt;72,K149&lt;73),"normal","up"))))</f>
        <v>down</v>
      </c>
      <c r="D149" t="str">
        <f>IF(K149&lt;72,"down",IF(K149=72,"low",IF(K149=73,"high",IF(AND(K149&gt;72,K149&lt;73),"normal","up"))))</f>
        <v>down</v>
      </c>
      <c r="E149" t="str">
        <f>IF(K149&lt;72,"down",IF(K149=72,"low",IF(K149=75,"high",IF(AND(K149&gt;72,K149&lt;75),"normal","up"))))</f>
        <v>down</v>
      </c>
      <c r="F149" t="str">
        <f>IF(P149&lt;72.7,"PVP-down",IF(P149=72.7,72.7,IF(P149&gt;72.7,"PVP-up")))</f>
        <v>PVP-down</v>
      </c>
      <c r="G149" t="str">
        <f>IF(R149&lt;989,"PVV-down",IF(R149=989,989,IF(R149&gt;989,"PVV-up")))</f>
        <v>PVV-up</v>
      </c>
      <c r="H149" s="3">
        <f t="shared" si="12"/>
        <v>1.4383100718845531E-2</v>
      </c>
      <c r="I149">
        <f>[1]!'6202.PreviousPrice'</f>
        <v>72.7</v>
      </c>
      <c r="J149">
        <f>[1]!'6202.PreOpenPrice'</f>
        <v>67.400000000000006</v>
      </c>
      <c r="K149">
        <f>[1]!'6202.Open'</f>
        <v>68.900000000000006</v>
      </c>
      <c r="L149">
        <f>[1]!'6202.Change'</f>
        <v>-1.3</v>
      </c>
      <c r="M149">
        <f>[1]!'6202.ChangePercent'</f>
        <v>-1.89E-2</v>
      </c>
      <c r="N149">
        <f>[1]!'6202.BidPrice'</f>
        <v>67.3</v>
      </c>
      <c r="O149">
        <f>[1]!'6202.AskPrice'</f>
        <v>67.5</v>
      </c>
      <c r="P149">
        <f>[1]!'6202.Price'</f>
        <v>67.400000000000006</v>
      </c>
      <c r="Q149">
        <f>[1]!'6202.Volume'</f>
        <v>39</v>
      </c>
      <c r="R149">
        <f>[1]!'6202.CumulativeVolume'</f>
        <v>3253</v>
      </c>
      <c r="S149">
        <f>[1]!'6202.PreviousVolume'</f>
        <v>2961</v>
      </c>
      <c r="T149" s="3">
        <f t="shared" si="13"/>
        <v>-2.1770682148040638E-2</v>
      </c>
      <c r="U149" s="3">
        <f>((T149*AB149)*D4)</f>
        <v>-0.11893058354441555</v>
      </c>
      <c r="V149" s="5">
        <f t="shared" si="14"/>
        <v>0</v>
      </c>
      <c r="W149" s="5">
        <f t="shared" si="15"/>
        <v>0</v>
      </c>
      <c r="X149">
        <v>6202</v>
      </c>
      <c r="Y149" s="5">
        <v>2261682000</v>
      </c>
      <c r="Z149" s="3">
        <f>((D2*AB149)/P149)/10</f>
        <v>8.1773384222641084E-3</v>
      </c>
      <c r="AA149" s="3">
        <f>((M149*AB149)*D2)</f>
        <v>-0.10416784322585357</v>
      </c>
      <c r="AB149" s="3">
        <f>AE149/AE323</f>
        <v>4.2744889844935699E-4</v>
      </c>
      <c r="AC149" s="3">
        <f>AF149/AF323</f>
        <v>4.5677764160786076E-4</v>
      </c>
      <c r="AD149" s="5">
        <f t="shared" si="16"/>
        <v>15243736680</v>
      </c>
      <c r="AE149" s="5">
        <f t="shared" si="17"/>
        <v>15243736680</v>
      </c>
      <c r="AF149" s="5">
        <f t="shared" si="18"/>
        <v>16442428140</v>
      </c>
      <c r="AG149">
        <f t="shared" si="19"/>
        <v>0</v>
      </c>
      <c r="AH149">
        <f t="shared" si="20"/>
        <v>0</v>
      </c>
      <c r="AI149">
        <f t="shared" si="21"/>
        <v>0</v>
      </c>
      <c r="AJ149">
        <f t="shared" si="22"/>
        <v>0</v>
      </c>
      <c r="AK149" t="str">
        <f>IF(Q149&lt;78,"down",IF(Q149=78,78,IF(Q149&gt;78,"up")))</f>
        <v>down</v>
      </c>
    </row>
    <row r="150" spans="1:37" x14ac:dyDescent="0.25">
      <c r="A150">
        <f>IF(X150=2393,2393,"Error")</f>
        <v>2393</v>
      </c>
      <c r="B150" t="str">
        <f>IF(K150&lt;34,"down",IF(K150=34,"low",IF(K150=34.75,"high",IF(AND(K150&gt;34,K150&lt;34.75),"normal","up"))))</f>
        <v>normal</v>
      </c>
      <c r="C150" t="str">
        <f>IF(K150&lt;34,"down",IF(K150=34,"low",IF(K150=34.75,"high",IF(AND(K150&gt;34,K150&lt;34.75),"normal","up"))))</f>
        <v>normal</v>
      </c>
      <c r="D150" t="str">
        <f>IF(K150&lt;34,"down",IF(K150=34,"low",IF(K150=34.75,"high",IF(AND(K150&gt;34,K150&lt;34.75),"normal","up"))))</f>
        <v>normal</v>
      </c>
      <c r="E150" t="str">
        <f>IF(K150&lt;33.65,"down",IF(K150=33.65,"low",IF(K150=36.4,"high",IF(AND(K150&gt;33.65,K150&lt;36.4),"normal","up"))))</f>
        <v>normal</v>
      </c>
      <c r="F150" t="str">
        <f>IF(P150&lt;34.6,"PVP-down",IF(P150=34.6,34.6,IF(P150&gt;34.6,"PVP-up")))</f>
        <v>PVP-down</v>
      </c>
      <c r="G150" t="str">
        <f>IF(R150&lt;332,"PVV-down",IF(R150=332,332,IF(R150&gt;332,"PVV-up")))</f>
        <v>PVV-up</v>
      </c>
      <c r="H150" s="3">
        <f t="shared" si="12"/>
        <v>4.2738696964474011E-3</v>
      </c>
      <c r="I150">
        <f>[1]!'2393.PreviousPrice'</f>
        <v>34.4</v>
      </c>
      <c r="J150">
        <f>[1]!'2393.PreOpenPrice'</f>
        <v>33.65</v>
      </c>
      <c r="K150">
        <f>[1]!'2393.Open'</f>
        <v>34.5</v>
      </c>
      <c r="L150">
        <f>[1]!'2393.Change'</f>
        <v>-0.75</v>
      </c>
      <c r="M150">
        <f>[1]!'2393.ChangePercent'</f>
        <v>-2.18E-2</v>
      </c>
      <c r="N150">
        <f>[1]!'2393.BidPrice'</f>
        <v>33.65</v>
      </c>
      <c r="O150">
        <f>[1]!'2393.AskPrice'</f>
        <v>33.700000000000003</v>
      </c>
      <c r="P150">
        <f>[1]!'2393.Price'</f>
        <v>33.65</v>
      </c>
      <c r="Q150">
        <f>[1]!'2393.Volume'</f>
        <v>53</v>
      </c>
      <c r="R150">
        <f>[1]!'2393.CumulativeVolume'</f>
        <v>1895</v>
      </c>
      <c r="S150">
        <f>[1]!'2393.PreviousVolume'</f>
        <v>2220</v>
      </c>
      <c r="T150" s="3">
        <f t="shared" si="13"/>
        <v>-2.4637681159420333E-2</v>
      </c>
      <c r="U150" s="3">
        <f>((T150*AB150)*D4)</f>
        <v>-0.1317355263197347</v>
      </c>
      <c r="V150" s="5">
        <f t="shared" si="14"/>
        <v>1783449.9999999998</v>
      </c>
      <c r="W150" s="5">
        <f t="shared" si="15"/>
        <v>0</v>
      </c>
      <c r="X150">
        <v>2393</v>
      </c>
      <c r="Y150" s="5">
        <v>4433920860</v>
      </c>
      <c r="Z150" s="3">
        <f>((D2*AB150)/P150)/10</f>
        <v>1.6031286188666807E-2</v>
      </c>
      <c r="AA150" s="3">
        <f>((M150*AB150)*D2)</f>
        <v>-0.11760070609420309</v>
      </c>
      <c r="AB150" s="3">
        <f>AE150/AE323</f>
        <v>4.1837504284833102E-4</v>
      </c>
      <c r="AC150" s="3">
        <f>AF150/AF323</f>
        <v>4.2372614817844296E-4</v>
      </c>
      <c r="AD150" s="5">
        <f t="shared" si="16"/>
        <v>14920143693.9</v>
      </c>
      <c r="AE150" s="5">
        <f t="shared" si="17"/>
        <v>14920143693.9</v>
      </c>
      <c r="AF150" s="5">
        <f t="shared" si="18"/>
        <v>15252687758.4</v>
      </c>
      <c r="AG150" t="str">
        <f t="shared" si="19"/>
        <v>DBM50</v>
      </c>
      <c r="AH150">
        <f t="shared" si="20"/>
        <v>0</v>
      </c>
      <c r="AI150">
        <f t="shared" si="21"/>
        <v>0</v>
      </c>
      <c r="AJ150">
        <f t="shared" si="22"/>
        <v>0</v>
      </c>
      <c r="AK150" t="str">
        <f>IF(Q150&lt;65,"down",IF(Q150=65,65,IF(Q150&gt;65,"up")))</f>
        <v>down</v>
      </c>
    </row>
    <row r="151" spans="1:37" x14ac:dyDescent="0.25">
      <c r="A151">
        <f>IF(X151=3596,3596,"Error")</f>
        <v>3596</v>
      </c>
      <c r="B151" t="str">
        <f>IF(K151&lt;84.1,"down",IF(K151=84.1,"low",IF(K151=86.8,"high",IF(AND(K151&gt;84.1,K151&lt;86.8),"normal","up"))))</f>
        <v>normal</v>
      </c>
      <c r="C151" t="str">
        <f>IF(K151&lt;84.1,"down",IF(K151=84.1,"low",IF(K151=86.8,"high",IF(AND(K151&gt;84.1,K151&lt;86.8),"normal","up"))))</f>
        <v>normal</v>
      </c>
      <c r="D151" t="str">
        <f>IF(K151&lt;84.1,"down",IF(K151=84.1,"low",IF(K151=86.8,"high",IF(AND(K151&gt;84.1,K151&lt;86.8),"normal","up"))))</f>
        <v>normal</v>
      </c>
      <c r="E151" t="str">
        <f>IF(K151&lt;75.4,"down",IF(K151=75.4,"low",IF(K151=86.8,"high",IF(AND(K151&gt;75.4,K151&lt;86.8),"normal","up"))))</f>
        <v>normal</v>
      </c>
      <c r="F151" t="str">
        <f>IF(P151&lt;85.5,"PVP-down",IF(P151=85.5,85.5,IF(P151&gt;85.5,"PVP-up")))</f>
        <v>PVP-down</v>
      </c>
      <c r="G151" t="str">
        <f>IF(R151&lt;1597,"PVV-down",IF(R151=1597,1597,IF(R151&gt;1597,"PVV-up")))</f>
        <v>PVV-up</v>
      </c>
      <c r="H151" s="3">
        <f t="shared" si="12"/>
        <v>3.3447159843031947E-2</v>
      </c>
      <c r="I151">
        <f>[1]!'3596.PreviousPrice'</f>
        <v>85.4</v>
      </c>
      <c r="J151">
        <f>[1]!'3596.PreOpenPrice'</f>
        <v>84.4</v>
      </c>
      <c r="K151">
        <f>[1]!'3596.Open'</f>
        <v>86.2</v>
      </c>
      <c r="L151">
        <f>[1]!'3596.Change'</f>
        <v>-1</v>
      </c>
      <c r="M151">
        <f>[1]!'3596.ChangePercent'</f>
        <v>-1.17E-2</v>
      </c>
      <c r="N151">
        <f>[1]!'3596.BidPrice'</f>
        <v>84.4</v>
      </c>
      <c r="O151">
        <f>[1]!'3596.AskPrice'</f>
        <v>84.5</v>
      </c>
      <c r="P151">
        <f>[1]!'3596.Price'</f>
        <v>84.4</v>
      </c>
      <c r="Q151">
        <f>[1]!'3596.Volume'</f>
        <v>266</v>
      </c>
      <c r="R151">
        <f>[1]!'3596.CumulativeVolume'</f>
        <v>6973</v>
      </c>
      <c r="S151">
        <f>[1]!'3596.PreviousVolume'</f>
        <v>13068</v>
      </c>
      <c r="T151" s="3">
        <f t="shared" si="13"/>
        <v>-2.0881670533642659E-2</v>
      </c>
      <c r="U151" s="3">
        <f>((T151*AB151)*D4)</f>
        <v>-0.13167343944264318</v>
      </c>
      <c r="V151" s="5">
        <f t="shared" si="14"/>
        <v>22450400</v>
      </c>
      <c r="W151" s="5">
        <f t="shared" si="15"/>
        <v>0</v>
      </c>
      <c r="X151">
        <v>3596</v>
      </c>
      <c r="Y151" s="5">
        <v>2084780900</v>
      </c>
      <c r="Z151" s="3">
        <f>((D2*AB151)/P151)/10</f>
        <v>7.5377347282121667E-3</v>
      </c>
      <c r="AA151" s="3">
        <f>((M151*AB151)*D2)</f>
        <v>-7.4433622894149495E-2</v>
      </c>
      <c r="AB151" s="3">
        <f>AE151/AE323</f>
        <v>4.9339600671716058E-4</v>
      </c>
      <c r="AC151" s="3">
        <f>AF151/AF323</f>
        <v>4.9460348899936317E-4</v>
      </c>
      <c r="AD151" s="5">
        <f t="shared" si="16"/>
        <v>17595550796</v>
      </c>
      <c r="AE151" s="5">
        <f t="shared" si="17"/>
        <v>17595550796</v>
      </c>
      <c r="AF151" s="5">
        <f t="shared" si="18"/>
        <v>17804028886</v>
      </c>
      <c r="AG151" t="str">
        <f t="shared" si="19"/>
        <v>DBM200</v>
      </c>
      <c r="AH151">
        <f t="shared" si="20"/>
        <v>0</v>
      </c>
      <c r="AI151">
        <f t="shared" si="21"/>
        <v>0</v>
      </c>
      <c r="AJ151">
        <f t="shared" si="22"/>
        <v>0</v>
      </c>
      <c r="AK151" t="str">
        <f>IF(Q151&lt;946,"down",IF(Q151=946,946,IF(Q151&gt;946,"up")))</f>
        <v>down</v>
      </c>
    </row>
    <row r="152" spans="1:37" x14ac:dyDescent="0.25">
      <c r="A152">
        <f>IF(X152=2455,2455,"Error")</f>
        <v>2455</v>
      </c>
      <c r="B152" t="str">
        <f>IF(K152&lt;85.4,"down",IF(K152=85.4,"low",IF(K152=88,"high",IF(AND(K152&gt;85.4,K152&lt;88),"normal","up"))))</f>
        <v>low</v>
      </c>
      <c r="C152" t="str">
        <f>IF(K152&lt;85.4,"down",IF(K152=85.4,"low",IF(K152=88,"high",IF(AND(K152&gt;85.4,K152&lt;88),"normal","up"))))</f>
        <v>low</v>
      </c>
      <c r="D152" t="str">
        <f>IF(K152&lt;85.4,"down",IF(K152=85.4,"low",IF(K152=88,"high",IF(AND(K152&gt;85.4,K152&lt;88),"normal","up"))))</f>
        <v>low</v>
      </c>
      <c r="E152" t="str">
        <f>IF(K152&lt;85.4,"down",IF(K152=85.4,"low",IF(K152=89.5,"high",IF(AND(K152&gt;85.4,K152&lt;89.5),"normal","up"))))</f>
        <v>low</v>
      </c>
      <c r="F152" t="str">
        <f>IF(P152&lt;85.7,"PVP-down",IF(P152=85.7,85.7,IF(P152&gt;85.7,"PVP-up")))</f>
        <v>PVP-up</v>
      </c>
      <c r="G152" t="str">
        <f>IF(R152&lt;274,"PVV-down",IF(R152=274,274,IF(R152&gt;274,"PVV-up")))</f>
        <v>PVV-up</v>
      </c>
      <c r="H152" s="3">
        <f t="shared" si="12"/>
        <v>6.5709092123271036E-3</v>
      </c>
      <c r="I152">
        <f>[1]!'2455.PreviousPrice'</f>
        <v>85.7</v>
      </c>
      <c r="J152">
        <f>[1]!'2455.PreOpenPrice'</f>
        <v>86.5</v>
      </c>
      <c r="K152">
        <f>[1]!'2455.Open'</f>
        <v>85.4</v>
      </c>
      <c r="L152">
        <f>[1]!'2455.Change'</f>
        <v>0.7</v>
      </c>
      <c r="M152">
        <f>[1]!'2455.ChangePercent'</f>
        <v>8.2000000000000007E-3</v>
      </c>
      <c r="N152">
        <f>[1]!'2455.BidPrice'</f>
        <v>86.3</v>
      </c>
      <c r="O152">
        <f>[1]!'2455.AskPrice'</f>
        <v>86.5</v>
      </c>
      <c r="P152">
        <f>[1]!'2455.Price'</f>
        <v>86.4</v>
      </c>
      <c r="Q152">
        <f>[1]!'2455.Volume'</f>
        <v>41</v>
      </c>
      <c r="R152">
        <f>[1]!'2455.CumulativeVolume'</f>
        <v>1215</v>
      </c>
      <c r="S152">
        <f>[1]!'2455.PreviousVolume'</f>
        <v>2446</v>
      </c>
      <c r="T152" s="3">
        <f t="shared" si="13"/>
        <v>1.1709601873536299E-2</v>
      </c>
      <c r="U152" s="3">
        <f>((T152*AB152)*D4)</f>
        <v>6.7040424787489186E-2</v>
      </c>
      <c r="V152" s="5">
        <f t="shared" si="14"/>
        <v>0</v>
      </c>
      <c r="W152" s="5">
        <f t="shared" si="15"/>
        <v>0</v>
      </c>
      <c r="X152">
        <v>2455</v>
      </c>
      <c r="Y152" s="5">
        <v>1849059180</v>
      </c>
      <c r="Z152" s="3">
        <f>((D2*AB152)/P152)/10</f>
        <v>6.6854591749212159E-3</v>
      </c>
      <c r="AA152" s="3">
        <f>((M152*AB152)*D2)</f>
        <v>4.736514116248184E-2</v>
      </c>
      <c r="AB152" s="3">
        <f>AE152/AE323</f>
        <v>4.4797865108825273E-4</v>
      </c>
      <c r="AC152" s="3">
        <f>AF152/AF323</f>
        <v>4.4022075924288428E-4</v>
      </c>
      <c r="AD152" s="5">
        <f t="shared" si="16"/>
        <v>15994361907</v>
      </c>
      <c r="AE152" s="5">
        <f t="shared" si="17"/>
        <v>15975871315.200001</v>
      </c>
      <c r="AF152" s="5">
        <f t="shared" si="18"/>
        <v>15846437172.6</v>
      </c>
      <c r="AG152">
        <f t="shared" si="19"/>
        <v>0</v>
      </c>
      <c r="AH152">
        <f t="shared" si="20"/>
        <v>0</v>
      </c>
      <c r="AI152">
        <f t="shared" si="21"/>
        <v>0</v>
      </c>
      <c r="AJ152">
        <f t="shared" si="22"/>
        <v>0</v>
      </c>
      <c r="AK152" t="str">
        <f>IF(Q152&lt;32,"down",IF(Q152=32,32,IF(Q152&gt;32,"up")))</f>
        <v>up</v>
      </c>
    </row>
    <row r="153" spans="1:37" x14ac:dyDescent="0.25">
      <c r="A153">
        <f>IF(X153=8131,8131,"Error")</f>
        <v>8131</v>
      </c>
      <c r="B153" t="str">
        <f>IF(K153&lt;35.65,"down",IF(K153=35.65,"low",IF(K153=36.4,"high",IF(AND(K153&gt;35.65,K153&lt;36.4),"normal","up"))))</f>
        <v>normal</v>
      </c>
      <c r="C153" t="str">
        <f>IF(K153&lt;35.65,"down",IF(K153=35.65,"low",IF(K153=36.4,"high",IF(AND(K153&gt;35.65,K153&lt;36.4),"normal","up"))))</f>
        <v>normal</v>
      </c>
      <c r="D153" t="str">
        <f>IF(K153&lt;35.65,"down",IF(K153=35.65,"low",IF(K153=36.4,"high",IF(AND(K153&gt;35.65,K153&lt;36.4),"normal","up"))))</f>
        <v>normal</v>
      </c>
      <c r="E153" t="str">
        <f>IF(K153&lt;35.2,"down",IF(K153=35.2,"low",IF(K153=36.4,"high",IF(AND(K153&gt;35.2,K153&lt;36.4),"normal","up"))))</f>
        <v>normal</v>
      </c>
      <c r="F153" t="str">
        <f>IF(P153&lt;36.3,"PVP-down",IF(P153=36.3,36.3,IF(P153&gt;36.3,"PVP-up")))</f>
        <v>PVP-down</v>
      </c>
      <c r="G153" t="str">
        <f>IF(R153&lt;82,"PVV-down",IF(R153=82,82,IF(R153&gt;82,"PVV-up")))</f>
        <v>PVV-up</v>
      </c>
      <c r="H153" s="3">
        <f t="shared" si="12"/>
        <v>7.4396984793774143E-4</v>
      </c>
      <c r="I153">
        <f>[1]!'8131.PreviousPrice'</f>
        <v>36.200000000000003</v>
      </c>
      <c r="J153">
        <f>[1]!'8131.PreOpenPrice'</f>
        <v>36.049999999999997</v>
      </c>
      <c r="K153">
        <f>[1]!'8131.Open'</f>
        <v>36.200000000000003</v>
      </c>
      <c r="L153">
        <f>[1]!'8131.Change'</f>
        <v>-0.1</v>
      </c>
      <c r="M153">
        <f>[1]!'8131.ChangePercent'</f>
        <v>-2.8E-3</v>
      </c>
      <c r="N153">
        <f>[1]!'8131.BidPrice'</f>
        <v>36.049999999999997</v>
      </c>
      <c r="O153">
        <f>[1]!'8131.AskPrice'</f>
        <v>36.15</v>
      </c>
      <c r="P153">
        <f>[1]!'8131.Price'</f>
        <v>36.1</v>
      </c>
      <c r="Q153">
        <f>[1]!'8131.Volume'</f>
        <v>11</v>
      </c>
      <c r="R153">
        <f>[1]!'8131.CumulativeVolume'</f>
        <v>329</v>
      </c>
      <c r="S153">
        <f>[1]!'8131.PreviousVolume'</f>
        <v>465</v>
      </c>
      <c r="T153" s="3">
        <f t="shared" si="13"/>
        <v>-2.7624309392265583E-3</v>
      </c>
      <c r="U153" s="3">
        <f>((T153*AB153)*D4)</f>
        <v>-1.5804081813747008E-2</v>
      </c>
      <c r="V153" s="5">
        <f t="shared" si="14"/>
        <v>0</v>
      </c>
      <c r="W153" s="5">
        <f t="shared" si="15"/>
        <v>0</v>
      </c>
      <c r="X153">
        <v>8131</v>
      </c>
      <c r="Y153" s="5">
        <v>4422222230</v>
      </c>
      <c r="Z153" s="3">
        <f>((D2*AB153)/P153)/10</f>
        <v>1.5988988616953869E-2</v>
      </c>
      <c r="AA153" s="3">
        <f>((M153*AB153)*D2)</f>
        <v>-1.6161669694016972E-2</v>
      </c>
      <c r="AB153" s="3">
        <f>AE153/AE323</f>
        <v>4.4765200021097776E-4</v>
      </c>
      <c r="AC153" s="3">
        <f>AF153/AF323</f>
        <v>4.4472139088847634E-4</v>
      </c>
      <c r="AD153" s="5">
        <f t="shared" si="16"/>
        <v>15942111139.15</v>
      </c>
      <c r="AE153" s="5">
        <f t="shared" si="17"/>
        <v>15964222250.299999</v>
      </c>
      <c r="AF153" s="5">
        <f t="shared" si="18"/>
        <v>16008444472.6</v>
      </c>
      <c r="AG153">
        <f t="shared" si="19"/>
        <v>0</v>
      </c>
      <c r="AH153">
        <f t="shared" si="20"/>
        <v>0</v>
      </c>
      <c r="AI153">
        <f t="shared" si="21"/>
        <v>0</v>
      </c>
      <c r="AJ153">
        <f t="shared" si="22"/>
        <v>0</v>
      </c>
      <c r="AK153" t="str">
        <f>IF(Q153&lt;25,"down",IF(Q153=25,25,IF(Q153&gt;25,"up")))</f>
        <v>down</v>
      </c>
    </row>
    <row r="154" spans="1:37" x14ac:dyDescent="0.25">
      <c r="A154">
        <f>IF(X154=2367,2367,"Error")</f>
        <v>2367</v>
      </c>
      <c r="B154" t="str">
        <f>IF(K154&lt;25.8,"down",IF(K154=25.8,"low",IF(K154=26.35,"high",IF(AND(K154&gt;25.8,K154&lt;26.35),"normal","up"))))</f>
        <v>normal</v>
      </c>
      <c r="C154" t="str">
        <f>IF(K154&lt;25.8,"down",IF(K154=25.8,"low",IF(K154=26.35,"high",IF(AND(K154&gt;25.8,K154&lt;26.35),"normal","up"))))</f>
        <v>normal</v>
      </c>
      <c r="D154" t="str">
        <f>IF(K154&lt;25.8,"down",IF(K154=25.8,"low",IF(K154=26.35,"high",IF(AND(K154&gt;25.8,K154&lt;26.35),"normal","up"))))</f>
        <v>normal</v>
      </c>
      <c r="E154" t="str">
        <f>IF(K154&lt;25.25,"down",IF(K154=25.25,"low",IF(K154=27.4,"high",IF(AND(K154&gt;25.25,K154&lt;27.4),"normal","up"))))</f>
        <v>normal</v>
      </c>
      <c r="F154" t="str">
        <f>IF(P154&lt;25.9,"PVP-down",IF(P154=25.9,25.9,IF(P154&gt;25.9,"PVP-up")))</f>
        <v>PVP-up</v>
      </c>
      <c r="G154" t="str">
        <f>IF(R154&lt;2411,"PVV-down",IF(R154=2411,2411,IF(R154&gt;2411,"PVV-up")))</f>
        <v>PVV-up</v>
      </c>
      <c r="H154" s="3">
        <f t="shared" si="12"/>
        <v>1.7000125967220187E-2</v>
      </c>
      <c r="I154">
        <f>[1]!'2367.PreviousPrice'</f>
        <v>25.8</v>
      </c>
      <c r="J154">
        <f>[1]!'2367.PreOpenPrice'</f>
        <v>25.95</v>
      </c>
      <c r="K154">
        <f>[1]!'2367.Open'</f>
        <v>25.85</v>
      </c>
      <c r="L154">
        <f>[1]!'2367.Change'</f>
        <v>0.15</v>
      </c>
      <c r="M154">
        <f>[1]!'2367.ChangePercent'</f>
        <v>5.7999999999999996E-3</v>
      </c>
      <c r="N154">
        <f>[1]!'2367.BidPrice'</f>
        <v>25.9</v>
      </c>
      <c r="O154">
        <f>[1]!'2367.AskPrice'</f>
        <v>25.95</v>
      </c>
      <c r="P154">
        <f>[1]!'2367.Price'</f>
        <v>25.95</v>
      </c>
      <c r="Q154">
        <f>[1]!'2367.Volume'</f>
        <v>352</v>
      </c>
      <c r="R154">
        <f>[1]!'2367.CumulativeVolume'</f>
        <v>10530</v>
      </c>
      <c r="S154">
        <f>[1]!'2367.PreviousVolume'</f>
        <v>14883</v>
      </c>
      <c r="T154" s="3">
        <f t="shared" si="13"/>
        <v>3.8684719535782537E-3</v>
      </c>
      <c r="U154" s="3">
        <f>((T154*AB154)*D4)</f>
        <v>2.2283485420780222E-2</v>
      </c>
      <c r="V154" s="5">
        <f t="shared" si="14"/>
        <v>0</v>
      </c>
      <c r="W154" s="5">
        <f t="shared" si="15"/>
        <v>9134400</v>
      </c>
      <c r="X154">
        <v>2367</v>
      </c>
      <c r="Y154" s="5">
        <v>6194071750</v>
      </c>
      <c r="Z154" s="3">
        <f>((D2*AB154)/P154)/10</f>
        <v>2.239528851161909E-2</v>
      </c>
      <c r="AA154" s="3">
        <f>((M154*AB154)*D2)</f>
        <v>3.3707148738837886E-2</v>
      </c>
      <c r="AB154" s="3">
        <f>AE154/AE323</f>
        <v>4.5071951052932788E-4</v>
      </c>
      <c r="AC154" s="3">
        <f>AF154/AF323</f>
        <v>4.4395077974537995E-4</v>
      </c>
      <c r="AD154" s="5">
        <f t="shared" si="16"/>
        <v>16073616191.25</v>
      </c>
      <c r="AE154" s="5">
        <f t="shared" si="17"/>
        <v>16073616191.25</v>
      </c>
      <c r="AF154" s="5">
        <f t="shared" si="18"/>
        <v>15980705115</v>
      </c>
      <c r="AG154">
        <f t="shared" si="19"/>
        <v>0</v>
      </c>
      <c r="AH154">
        <f t="shared" si="20"/>
        <v>0</v>
      </c>
      <c r="AI154" t="str">
        <f t="shared" si="21"/>
        <v>UAM200</v>
      </c>
      <c r="AJ154">
        <f t="shared" si="22"/>
        <v>0</v>
      </c>
      <c r="AK154" t="str">
        <f>IF(Q154&lt;1094,"down",IF(Q154=1094,1094,IF(Q154&gt;1094,"up")))</f>
        <v>down</v>
      </c>
    </row>
    <row r="155" spans="1:37" x14ac:dyDescent="0.25">
      <c r="A155">
        <f>IF(X155=4927,4927,"Error")</f>
        <v>4927</v>
      </c>
      <c r="B155" t="str">
        <f>IF(K155&lt;74,"down",IF(K155=74,"low",IF(K155=77,"high",IF(AND(K155&gt;74,K155&lt;77),"normal","up"))))</f>
        <v>normal</v>
      </c>
      <c r="C155" t="str">
        <f>IF(K155&lt;74,"down",IF(K155=74,"low",IF(K155=77,"high",IF(AND(K155&gt;74,K155&lt;77),"normal","up"))))</f>
        <v>normal</v>
      </c>
      <c r="D155" t="str">
        <f>IF(K155&lt;74,"down",IF(K155=74,"low",IF(K155=77,"high",IF(AND(K155&gt;74,K155&lt;77),"normal","up"))))</f>
        <v>normal</v>
      </c>
      <c r="E155" t="str">
        <f>IF(K155&lt;73.5,"down",IF(K155=73.5,"low",IF(K155=83.5,"high",IF(AND(K155&gt;73.5,K155&lt;83.5),"normal","up"))))</f>
        <v>normal</v>
      </c>
      <c r="F155" t="str">
        <f>IF(P155&lt;75,"PVP-down",IF(P155=75,75,IF(P155&gt;75,"PVP-up")))</f>
        <v>PVP-up</v>
      </c>
      <c r="G155" t="str">
        <f>IF(R155&lt;403,"PVV-down",IF(R155=403,403,IF(R155&gt;403,"PVV-up")))</f>
        <v>PVV-up</v>
      </c>
      <c r="H155" s="3">
        <f t="shared" si="12"/>
        <v>2.7393151074128465E-2</v>
      </c>
      <c r="I155">
        <f>[1]!'4927.PreviousPrice'</f>
        <v>74.400000000000006</v>
      </c>
      <c r="J155">
        <f>[1]!'4927.PreOpenPrice'</f>
        <v>75.8</v>
      </c>
      <c r="K155">
        <f>[1]!'4927.Open'</f>
        <v>74.900000000000006</v>
      </c>
      <c r="L155">
        <f>[1]!'4927.Change'</f>
        <v>1.4</v>
      </c>
      <c r="M155">
        <f>[1]!'4927.ChangePercent'</f>
        <v>1.8800000000000001E-2</v>
      </c>
      <c r="N155">
        <f>[1]!'4927.BidPrice'</f>
        <v>75.8</v>
      </c>
      <c r="O155">
        <f>[1]!'4927.AskPrice'</f>
        <v>75.900000000000006</v>
      </c>
      <c r="P155">
        <f>[1]!'4927.Price'</f>
        <v>75.8</v>
      </c>
      <c r="Q155">
        <f>[1]!'4927.Volume'</f>
        <v>129</v>
      </c>
      <c r="R155">
        <f>[1]!'4927.CumulativeVolume'</f>
        <v>5203</v>
      </c>
      <c r="S155">
        <f>[1]!'4927.PreviousVolume'</f>
        <v>4859</v>
      </c>
      <c r="T155" s="3">
        <f t="shared" si="13"/>
        <v>1.201602136181564E-2</v>
      </c>
      <c r="U155" s="3">
        <f>((T155*AB155)*D4)</f>
        <v>6.1997161361407364E-2</v>
      </c>
      <c r="V155" s="5">
        <f t="shared" si="14"/>
        <v>9778199.9999999981</v>
      </c>
      <c r="W155" s="5">
        <f t="shared" si="15"/>
        <v>0</v>
      </c>
      <c r="X155">
        <v>4927</v>
      </c>
      <c r="Y155" s="5">
        <v>1899379880</v>
      </c>
      <c r="Z155" s="3">
        <f>((D2*AB155)/P155)/10</f>
        <v>6.8673987197136422E-3</v>
      </c>
      <c r="AA155" s="3">
        <f>((M155*AB155)*D2)</f>
        <v>9.7863178715407298E-2</v>
      </c>
      <c r="AB155" s="3">
        <f>AE155/AE323</f>
        <v>4.0371399329478371E-4</v>
      </c>
      <c r="AC155" s="3">
        <f>AF155/AF323</f>
        <v>3.9257591732144454E-4</v>
      </c>
      <c r="AD155" s="5">
        <f t="shared" si="16"/>
        <v>14397299490.4</v>
      </c>
      <c r="AE155" s="5">
        <f t="shared" si="17"/>
        <v>14397299490.4</v>
      </c>
      <c r="AF155" s="5">
        <f t="shared" si="18"/>
        <v>14131386307.200001</v>
      </c>
      <c r="AG155">
        <f t="shared" si="19"/>
        <v>0</v>
      </c>
      <c r="AH155">
        <f t="shared" si="20"/>
        <v>0</v>
      </c>
      <c r="AI155">
        <f t="shared" si="21"/>
        <v>0</v>
      </c>
      <c r="AJ155" t="str">
        <f t="shared" si="22"/>
        <v>UBM100</v>
      </c>
      <c r="AK155" t="str">
        <f>IF(Q155&lt;90,"down",IF(Q155=90,90,IF(Q155&gt;90,"up")))</f>
        <v>up</v>
      </c>
    </row>
    <row r="156" spans="1:37" x14ac:dyDescent="0.25">
      <c r="A156">
        <f>IF(X156=6166,6166,"Error")</f>
        <v>6166</v>
      </c>
      <c r="B156" t="str">
        <f>IF(K156&lt;67,"down",IF(K156=67,"low",IF(K156=68.1,"high",IF(AND(K156&gt;67,K156&lt;68.1),"normal","up"))))</f>
        <v>low</v>
      </c>
      <c r="C156" t="str">
        <f>IF(K156&lt;67,"down",IF(K156=67,"low",IF(K156=68.1,"high",IF(AND(K156&gt;67,K156&lt;68.1),"normal","up"))))</f>
        <v>low</v>
      </c>
      <c r="D156" t="str">
        <f>IF(K156&lt;67,"down",IF(K156=67,"low",IF(K156=68.1,"high",IF(AND(K156&gt;67,K156&lt;68.1),"normal","up"))))</f>
        <v>low</v>
      </c>
      <c r="E156" t="str">
        <f>IF(K156&lt;67,"down",IF(K156=67,"low",IF(K156=72.8,"high",IF(AND(K156&gt;67,K156&lt;72.8),"normal","up"))))</f>
        <v>low</v>
      </c>
      <c r="F156" t="str">
        <f>IF(P156&lt;67.3,"PVP-down",IF(P156=67.3,67.3,IF(P156&gt;67.3,"PVP-up")))</f>
        <v>PVP-down</v>
      </c>
      <c r="G156" t="str">
        <f>IF(R156&lt;89,"PVV-down",IF(R156=89,89,IF(R156&gt;89,"PVV-up")))</f>
        <v>PVV-up</v>
      </c>
      <c r="H156" s="3">
        <f t="shared" si="12"/>
        <v>1.2413949661903092E-3</v>
      </c>
      <c r="I156">
        <f>[1]!'6166.PreviousPrice'</f>
        <v>67.3</v>
      </c>
      <c r="J156">
        <f>[1]!'6166.PreOpenPrice'</f>
        <v>66.2</v>
      </c>
      <c r="K156">
        <f>[1]!'6166.Open'</f>
        <v>67</v>
      </c>
      <c r="L156">
        <f>[1]!'6166.Change'</f>
        <v>-1.1000000000000001</v>
      </c>
      <c r="M156">
        <f>[1]!'6166.ChangePercent'</f>
        <v>-1.6299999999999999E-2</v>
      </c>
      <c r="N156">
        <f>[1]!'6166.BidPrice'</f>
        <v>66.2</v>
      </c>
      <c r="O156">
        <f>[1]!'6166.AskPrice'</f>
        <v>66.5</v>
      </c>
      <c r="P156">
        <f>[1]!'6166.Price'</f>
        <v>66.2</v>
      </c>
      <c r="Q156">
        <f>[1]!'6166.Volume'</f>
        <v>10</v>
      </c>
      <c r="R156">
        <f>[1]!'6166.CumulativeVolume'</f>
        <v>270</v>
      </c>
      <c r="S156">
        <f>[1]!'6166.PreviousVolume'</f>
        <v>353</v>
      </c>
      <c r="T156" s="3">
        <f t="shared" si="13"/>
        <v>-1.1940298507462643E-2</v>
      </c>
      <c r="U156" s="3">
        <f>((T156*AB156)*D4)</f>
        <v>-6.1610826150204759E-2</v>
      </c>
      <c r="V156" s="5">
        <f t="shared" si="14"/>
        <v>662000</v>
      </c>
      <c r="W156" s="5">
        <f t="shared" si="15"/>
        <v>0</v>
      </c>
      <c r="X156">
        <v>6166</v>
      </c>
      <c r="Y156" s="5">
        <v>2174972570</v>
      </c>
      <c r="Z156" s="3">
        <f>((D2*AB156)/P156)/10</f>
        <v>7.8638317694669328E-3</v>
      </c>
      <c r="AA156" s="3">
        <f>((M156*AB156)*D2)</f>
        <v>-8.4855463091609878E-2</v>
      </c>
      <c r="AB156" s="3">
        <f>AE156/AE323</f>
        <v>4.0374256486638046E-4</v>
      </c>
      <c r="AC156" s="3">
        <f>AF156/AF323</f>
        <v>4.0663778753248004E-4</v>
      </c>
      <c r="AD156" s="5">
        <f t="shared" si="16"/>
        <v>14398318413.4</v>
      </c>
      <c r="AE156" s="5">
        <f t="shared" si="17"/>
        <v>14398318413.4</v>
      </c>
      <c r="AF156" s="5">
        <f t="shared" si="18"/>
        <v>14637565396.1</v>
      </c>
      <c r="AG156" t="str">
        <f t="shared" si="19"/>
        <v>DBM10-50</v>
      </c>
      <c r="AH156">
        <f t="shared" si="20"/>
        <v>0</v>
      </c>
      <c r="AI156">
        <f t="shared" si="21"/>
        <v>0</v>
      </c>
      <c r="AJ156">
        <f t="shared" si="22"/>
        <v>0</v>
      </c>
      <c r="AK156" t="str">
        <f>IF(Q156&lt;14,"down",IF(Q156=14,14,IF(Q156&gt;14,"up")))</f>
        <v>down</v>
      </c>
    </row>
    <row r="157" spans="1:37" x14ac:dyDescent="0.25">
      <c r="A157">
        <f>IF(X157=4935,4935,"Error")</f>
        <v>4935</v>
      </c>
      <c r="B157" t="str">
        <f>IF(K157&lt;113,"down",IF(K157=113,"low",IF(K157=124,"high",IF(AND(K157&gt;113,K157&lt;124),"normal","up"))))</f>
        <v>down</v>
      </c>
      <c r="C157" t="str">
        <f>IF(K157&lt;113,"down",IF(K157=113,"low",IF(K157=124,"high",IF(AND(K157&gt;113,K157&lt;124),"normal","up"))))</f>
        <v>down</v>
      </c>
      <c r="D157" t="str">
        <f>IF(K157&lt;113,"down",IF(K157=113,"low",IF(K157=124,"high",IF(AND(K157&gt;113,K157&lt;124),"normal","up"))))</f>
        <v>down</v>
      </c>
      <c r="E157" t="str">
        <f>IF(K157&lt;108,"down",IF(K157=108,"low",IF(K157=124,"high",IF(AND(K157&gt;108,K157&lt;124),"normal","up"))))</f>
        <v>normal</v>
      </c>
      <c r="F157" t="str">
        <f>IF(P157&lt;113.5,"PVP-down",IF(P157=113.5,113.5,IF(P157&gt;113.5,"PVP-up")))</f>
        <v>PVP-down</v>
      </c>
      <c r="G157" t="str">
        <f>IF(R157&lt;501,"PVV-down",IF(R157=501,501,IF(R157&gt;501,"PVV-up")))</f>
        <v>PVV-up</v>
      </c>
      <c r="H157" s="3">
        <f t="shared" si="12"/>
        <v>1.7367118687553553E-2</v>
      </c>
      <c r="I157">
        <f>[1]!'4935.PreviousPrice'</f>
        <v>113</v>
      </c>
      <c r="J157">
        <f>[1]!'4935.PreOpenPrice'</f>
        <v>113</v>
      </c>
      <c r="K157">
        <f>[1]!'4935.Open'</f>
        <v>112.5</v>
      </c>
      <c r="L157">
        <f>[1]!'4935.Change'</f>
        <v>0</v>
      </c>
      <c r="M157">
        <f>[1]!'4935.ChangePercent'</f>
        <v>0</v>
      </c>
      <c r="N157">
        <f>[1]!'4935.BidPrice'</f>
        <v>113</v>
      </c>
      <c r="O157">
        <f>[1]!'4935.AskPrice'</f>
        <v>113.5</v>
      </c>
      <c r="P157">
        <f>[1]!'4935.Price'</f>
        <v>113</v>
      </c>
      <c r="Q157">
        <f>[1]!'4935.Volume'</f>
        <v>159</v>
      </c>
      <c r="R157">
        <f>[1]!'4935.CumulativeVolume'</f>
        <v>2274</v>
      </c>
      <c r="S157">
        <f>[1]!'4935.PreviousVolume'</f>
        <v>5452</v>
      </c>
      <c r="T157" s="3">
        <f t="shared" si="13"/>
        <v>4.4444444444444444E-3</v>
      </c>
      <c r="U157" s="3">
        <f>((T157*AB157)*D4)</f>
        <v>2.356615272695585E-2</v>
      </c>
      <c r="V157" s="5">
        <f t="shared" si="14"/>
        <v>17967000</v>
      </c>
      <c r="W157" s="5">
        <f t="shared" si="15"/>
        <v>0</v>
      </c>
      <c r="X157">
        <v>4935</v>
      </c>
      <c r="Y157" s="5">
        <v>1309370910</v>
      </c>
      <c r="Z157" s="3">
        <f>((D2*AB157)/P157)/10</f>
        <v>4.7341620313279768E-3</v>
      </c>
      <c r="AA157" s="3">
        <f>((M157*AB157)*D2)</f>
        <v>0</v>
      </c>
      <c r="AB157" s="3">
        <f>AE157/AE323</f>
        <v>4.1489088687766506E-4</v>
      </c>
      <c r="AC157" s="3">
        <f>AF157/AF323</f>
        <v>4.1103614795758779E-4</v>
      </c>
      <c r="AD157" s="5">
        <f t="shared" si="16"/>
        <v>14795891283</v>
      </c>
      <c r="AE157" s="5">
        <f t="shared" si="17"/>
        <v>14795891283</v>
      </c>
      <c r="AF157" s="5">
        <f t="shared" si="18"/>
        <v>14795891283</v>
      </c>
      <c r="AG157">
        <f t="shared" si="19"/>
        <v>0</v>
      </c>
      <c r="AH157">
        <f t="shared" si="20"/>
        <v>0</v>
      </c>
      <c r="AI157">
        <f t="shared" si="21"/>
        <v>0</v>
      </c>
      <c r="AJ157">
        <f t="shared" si="22"/>
        <v>0</v>
      </c>
      <c r="AK157" t="str">
        <f>IF(Q157&lt;164,"down",IF(Q157=164,164,IF(Q157&gt;164,"up")))</f>
        <v>down</v>
      </c>
    </row>
    <row r="158" spans="1:37" x14ac:dyDescent="0.25">
      <c r="A158">
        <f>IF(X158=2312,2312,"Error")</f>
        <v>2312</v>
      </c>
      <c r="B158" t="str">
        <f>IF(K158&lt;10.05,"down",IF(K158=10.05,"low",IF(K158=10.2,"high",IF(AND(K158&gt;10.05,K158&lt;10.2),"normal","up"))))</f>
        <v>high</v>
      </c>
      <c r="C158" t="str">
        <f>IF(K158&lt;10.05,"down",IF(K158=10.05,"low",IF(K158=10.2,"high",IF(AND(K158&gt;10.05,K158&lt;10.2),"normal","up"))))</f>
        <v>high</v>
      </c>
      <c r="D158" t="str">
        <f>IF(K158&lt;10.05,"down",IF(K158=10.05,"low",IF(K158=10.2,"high",IF(AND(K158&gt;10.05,K158&lt;10.2),"normal","up"))))</f>
        <v>high</v>
      </c>
      <c r="E158" t="str">
        <f>IF(K158&lt;9.65,"down",IF(K158=9.65,"low",IF(K158=10.25,"high",IF(AND(K158&gt;9.65,K158&lt;10.25),"normal","up"))))</f>
        <v>normal</v>
      </c>
      <c r="F158" t="str">
        <f>IF(P158&lt;10.1,"PVP-down",IF(P158=10.1,10.1,IF(P158&gt;10.1,"PVP-up")))</f>
        <v>PVP-down</v>
      </c>
      <c r="G158" t="str">
        <f>IF(R158&lt;2410,"PVV-down",IF(R158=2410,2410,IF(R158&gt;2410,"PVV-up")))</f>
        <v>PVV-up</v>
      </c>
      <c r="H158" s="3">
        <f t="shared" si="12"/>
        <v>2.7927450086536929E-3</v>
      </c>
      <c r="I158">
        <f>[1]!'2312.PreviousPrice'</f>
        <v>10.199999999999999</v>
      </c>
      <c r="J158">
        <f>[1]!'2312.PreOpenPrice'</f>
        <v>10.050000000000001</v>
      </c>
      <c r="K158">
        <f>[1]!'2312.Open'</f>
        <v>10.199999999999999</v>
      </c>
      <c r="L158">
        <f>[1]!'2312.Change'</f>
        <v>-0.15</v>
      </c>
      <c r="M158">
        <f>[1]!'2312.ChangePercent'</f>
        <v>-1.47E-2</v>
      </c>
      <c r="N158">
        <f>[1]!'2312.BidPrice'</f>
        <v>10.050000000000001</v>
      </c>
      <c r="O158">
        <f>[1]!'2312.AskPrice'</f>
        <v>10.1</v>
      </c>
      <c r="P158">
        <f>[1]!'2312.Price'</f>
        <v>10.050000000000001</v>
      </c>
      <c r="Q158">
        <f>[1]!'2312.Volume'</f>
        <v>547</v>
      </c>
      <c r="R158">
        <f>[1]!'2312.CumulativeVolume'</f>
        <v>4094</v>
      </c>
      <c r="S158">
        <f>[1]!'2312.PreviousVolume'</f>
        <v>4868</v>
      </c>
      <c r="T158" s="3">
        <f t="shared" si="13"/>
        <v>-1.4705882352941037E-2</v>
      </c>
      <c r="U158" s="3">
        <f>((T158*AB158)*D4)</f>
        <v>-7.7643262821999112E-2</v>
      </c>
      <c r="V158" s="5">
        <f t="shared" si="14"/>
        <v>5497350</v>
      </c>
      <c r="W158" s="5">
        <f t="shared" si="15"/>
        <v>0</v>
      </c>
      <c r="X158">
        <v>2312</v>
      </c>
      <c r="Y158" s="5">
        <v>14659412110</v>
      </c>
      <c r="Z158" s="3">
        <f>((D2*AB158)/P158)/10</f>
        <v>5.3002576796785196E-2</v>
      </c>
      <c r="AA158" s="3">
        <f>((M158*AB158)*D2)</f>
        <v>-7.8303356830730614E-2</v>
      </c>
      <c r="AB158" s="3">
        <f>AE158/AE323</f>
        <v>4.1311920025414246E-4</v>
      </c>
      <c r="AC158" s="3">
        <f>AF158/AF323</f>
        <v>4.1538959249985718E-4</v>
      </c>
      <c r="AD158" s="5">
        <f t="shared" si="16"/>
        <v>14732709170.549999</v>
      </c>
      <c r="AE158" s="5">
        <f t="shared" si="17"/>
        <v>14732709170.549999</v>
      </c>
      <c r="AF158" s="5">
        <f t="shared" si="18"/>
        <v>14952600352.200001</v>
      </c>
      <c r="AG158" t="str">
        <f t="shared" si="19"/>
        <v>DBM200</v>
      </c>
      <c r="AH158">
        <f t="shared" si="20"/>
        <v>0</v>
      </c>
      <c r="AI158">
        <f t="shared" si="21"/>
        <v>0</v>
      </c>
      <c r="AJ158">
        <f t="shared" si="22"/>
        <v>0</v>
      </c>
      <c r="AK158" t="str">
        <f>IF(Q158&lt;42,"down",IF(Q158=42,42,IF(Q158&gt;42,"up")))</f>
        <v>up</v>
      </c>
    </row>
    <row r="159" spans="1:37" x14ac:dyDescent="0.25">
      <c r="A159">
        <f>IF(X159=6153,6153,"Error")</f>
        <v>6153</v>
      </c>
      <c r="B159" t="str">
        <f>IF(K159&lt;29.8,"down",IF(K159=29.8,"low",IF(K159=30.5,"high",IF(AND(K159&gt;29.8,K159&lt;30.5),"normal","up"))))</f>
        <v>normal</v>
      </c>
      <c r="C159" t="str">
        <f>IF(K159&lt;29.8,"down",IF(K159=29.8,"low",IF(K159=30.5,"high",IF(AND(K159&gt;29.8,K159&lt;30.5),"normal","up"))))</f>
        <v>normal</v>
      </c>
      <c r="D159" t="str">
        <f>IF(K159&lt;29.8,"down",IF(K159=29.8,"low",IF(K159=30.5,"high",IF(AND(K159&gt;29.8,K159&lt;30.5),"normal","up"))))</f>
        <v>normal</v>
      </c>
      <c r="E159" t="str">
        <f>IF(K159&lt;29.8,"down",IF(K159=29.8,"low",IF(K159=31.8,"high",IF(AND(K159&gt;29.8,K159&lt;31.8),"normal","up"))))</f>
        <v>normal</v>
      </c>
      <c r="F159" t="str">
        <f>IF(P159&lt;30,"PVP-down",IF(P159=30,30,IF(P159&gt;30,"PVP-up")))</f>
        <v>PVP-down</v>
      </c>
      <c r="G159" t="str">
        <f>IF(R159&lt;716,"PVV-down",IF(R159=716,716,IF(R159&gt;716,"PVV-up")))</f>
        <v>PVV-up</v>
      </c>
      <c r="H159" s="3">
        <f t="shared" si="12"/>
        <v>6.8292104493864834E-3</v>
      </c>
      <c r="I159">
        <f>[1]!'6153.PreviousPrice'</f>
        <v>30</v>
      </c>
      <c r="J159">
        <f>[1]!'6153.PreOpenPrice'</f>
        <v>29.4</v>
      </c>
      <c r="K159">
        <f>[1]!'6153.Open'</f>
        <v>30.1</v>
      </c>
      <c r="L159">
        <f>[1]!'6153.Change'</f>
        <v>-0.6</v>
      </c>
      <c r="M159">
        <f>[1]!'6153.ChangePercent'</f>
        <v>-0.02</v>
      </c>
      <c r="N159">
        <f>[1]!'6153.BidPrice'</f>
        <v>29.4</v>
      </c>
      <c r="O159">
        <f>[1]!'6153.AskPrice'</f>
        <v>29.45</v>
      </c>
      <c r="P159">
        <f>[1]!'6153.Price'</f>
        <v>29.4</v>
      </c>
      <c r="Q159">
        <f>[1]!'6153.Volume'</f>
        <v>233</v>
      </c>
      <c r="R159">
        <f>[1]!'6153.CumulativeVolume'</f>
        <v>3717</v>
      </c>
      <c r="S159">
        <f>[1]!'6153.PreviousVolume'</f>
        <v>3869</v>
      </c>
      <c r="T159" s="3">
        <f t="shared" si="13"/>
        <v>-2.3255813953488465E-2</v>
      </c>
      <c r="U159" s="3">
        <f>((T159*AB159)*D4)</f>
        <v>-0.13336166662157228</v>
      </c>
      <c r="V159" s="5">
        <f t="shared" si="14"/>
        <v>6850200</v>
      </c>
      <c r="W159" s="5">
        <f t="shared" si="15"/>
        <v>0</v>
      </c>
      <c r="X159">
        <v>6153</v>
      </c>
      <c r="Y159" s="5">
        <v>5442796100</v>
      </c>
      <c r="Z159" s="3">
        <f>((D2*AB159)/P159)/10</f>
        <v>1.9678975944929147E-2</v>
      </c>
      <c r="AA159" s="3">
        <f>((M159*AB159)*D2)</f>
        <v>-0.1157123785561834</v>
      </c>
      <c r="AB159" s="3">
        <f>AE159/AE323</f>
        <v>4.4870629190392193E-4</v>
      </c>
      <c r="AC159" s="3">
        <f>AF159/AF323</f>
        <v>4.5360956638679201E-4</v>
      </c>
      <c r="AD159" s="5">
        <f t="shared" si="16"/>
        <v>16001820534</v>
      </c>
      <c r="AE159" s="5">
        <f t="shared" si="17"/>
        <v>16001820534</v>
      </c>
      <c r="AF159" s="5">
        <f t="shared" si="18"/>
        <v>16328388300</v>
      </c>
      <c r="AG159" t="str">
        <f t="shared" si="19"/>
        <v>DBM200</v>
      </c>
      <c r="AH159">
        <f t="shared" si="20"/>
        <v>0</v>
      </c>
      <c r="AI159">
        <f t="shared" si="21"/>
        <v>0</v>
      </c>
      <c r="AJ159">
        <f t="shared" si="22"/>
        <v>0</v>
      </c>
      <c r="AK159" t="str">
        <f>IF(Q159&lt;74,"down",IF(Q159=74,74,IF(Q159&gt;74,"up")))</f>
        <v>up</v>
      </c>
    </row>
    <row r="160" spans="1:37" x14ac:dyDescent="0.25">
      <c r="A160">
        <f>IF(X160=2421,2421,"Error")</f>
        <v>2421</v>
      </c>
      <c r="B160" t="str">
        <f>IF(K160&lt;60.1,"down",IF(K160=60.1,"low",IF(K160=63.6,"high",IF(AND(K160&gt;60.1,K160&lt;63.6),"normal","up"))))</f>
        <v>normal</v>
      </c>
      <c r="C160" t="str">
        <f>IF(K160&lt;60.1,"down",IF(K160=60.1,"low",IF(K160=63.6,"high",IF(AND(K160&gt;60.1,K160&lt;63.6),"normal","up"))))</f>
        <v>normal</v>
      </c>
      <c r="D160" t="str">
        <f>IF(K160&lt;60.1,"down",IF(K160=60.1,"low",IF(K160=63.6,"high",IF(AND(K160&gt;60.1,K160&lt;63.6),"normal","up"))))</f>
        <v>normal</v>
      </c>
      <c r="E160" t="str">
        <f>IF(K160&lt;55.3,"down",IF(K160=55.3,"low",IF(K160=64.5,"high",IF(AND(K160&gt;55.3,K160&lt;64.5),"normal","up"))))</f>
        <v>normal</v>
      </c>
      <c r="F160" t="str">
        <f>IF(P160&lt;60.1,"PVP-down",IF(P160=60.1,60.1,IF(P160&gt;60.1,"PVP-up")))</f>
        <v>PVP-up</v>
      </c>
      <c r="G160" t="str">
        <f>IF(R160&lt;420,"PVV-down",IF(R160=420,420,IF(R160&gt;420,"PVV-up")))</f>
        <v>PVV-up</v>
      </c>
      <c r="H160" s="3">
        <f t="shared" si="12"/>
        <v>3.2981344753518486E-2</v>
      </c>
      <c r="I160">
        <f>[1]!'2421.PreviousPrice'</f>
        <v>60.1</v>
      </c>
      <c r="J160">
        <f>[1]!'2421.PreOpenPrice'</f>
        <v>60.3</v>
      </c>
      <c r="K160">
        <f>[1]!'2421.Open'</f>
        <v>60.9</v>
      </c>
      <c r="L160">
        <f>[1]!'2421.Change'</f>
        <v>0.2</v>
      </c>
      <c r="M160">
        <f>[1]!'2421.ChangePercent'</f>
        <v>3.3E-3</v>
      </c>
      <c r="N160">
        <f>[1]!'2421.BidPrice'</f>
        <v>60.3</v>
      </c>
      <c r="O160">
        <f>[1]!'2421.AskPrice'</f>
        <v>60.4</v>
      </c>
      <c r="P160">
        <f>[1]!'2421.Price'</f>
        <v>60.3</v>
      </c>
      <c r="Q160">
        <f>[1]!'2421.Volume'</f>
        <v>230</v>
      </c>
      <c r="R160">
        <f>[1]!'2421.CumulativeVolume'</f>
        <v>8276</v>
      </c>
      <c r="S160">
        <f>[1]!'2421.PreviousVolume'</f>
        <v>6212</v>
      </c>
      <c r="T160" s="3">
        <f t="shared" si="13"/>
        <v>-9.8522167487684973E-3</v>
      </c>
      <c r="U160" s="3">
        <f>((T160*AB160)*D4)</f>
        <v>-5.3423639009530295E-2</v>
      </c>
      <c r="V160" s="5">
        <f t="shared" si="14"/>
        <v>13869000</v>
      </c>
      <c r="W160" s="5">
        <f t="shared" si="15"/>
        <v>0</v>
      </c>
      <c r="X160">
        <v>2421</v>
      </c>
      <c r="Y160" s="5">
        <v>2509297320</v>
      </c>
      <c r="Z160" s="3">
        <f>((D2*AB160)/P160)/10</f>
        <v>9.0726164808847386E-3</v>
      </c>
      <c r="AA160" s="3">
        <f>((M160*AB160)*D2)</f>
        <v>1.8053599535312541E-2</v>
      </c>
      <c r="AB160" s="3">
        <f>AE160/AE323</f>
        <v>4.242894166258335E-4</v>
      </c>
      <c r="AC160" s="3">
        <f>AF160/AF323</f>
        <v>4.1895316932517114E-4</v>
      </c>
      <c r="AD160" s="5">
        <f t="shared" si="16"/>
        <v>15131062839.6</v>
      </c>
      <c r="AE160" s="5">
        <f t="shared" si="17"/>
        <v>15131062839.6</v>
      </c>
      <c r="AF160" s="5">
        <f t="shared" si="18"/>
        <v>15080876893.200001</v>
      </c>
      <c r="AG160">
        <f t="shared" si="19"/>
        <v>0</v>
      </c>
      <c r="AH160">
        <f t="shared" si="20"/>
        <v>0</v>
      </c>
      <c r="AI160">
        <f t="shared" si="21"/>
        <v>0</v>
      </c>
      <c r="AJ160" t="str">
        <f t="shared" si="22"/>
        <v>UBM200</v>
      </c>
      <c r="AK160" t="str">
        <f>IF(Q160&lt;311,"down",IF(Q160=311,311,IF(Q160&gt;311,"up")))</f>
        <v>down</v>
      </c>
    </row>
    <row r="161" spans="1:37" x14ac:dyDescent="0.25">
      <c r="A161">
        <f>IF(X161=8081,8081,"Error")</f>
        <v>8081</v>
      </c>
      <c r="B161" t="str">
        <f>IF(K161&lt;163,"down",IF(K161=163,"low",IF(K161=169.5,"high",IF(AND(K161&gt;163,K161&lt;169.5),"normal","up"))))</f>
        <v>normal</v>
      </c>
      <c r="C161" t="str">
        <f>IF(K161&lt;163,"down",IF(K161=163,"low",IF(K161=169.5,"high",IF(AND(K161&gt;163,K161&lt;169.5),"normal","up"))))</f>
        <v>normal</v>
      </c>
      <c r="D161" t="str">
        <f>IF(K161&lt;163,"down",IF(K161=163,"low",IF(K161=169.5,"high",IF(AND(K161&gt;163,K161&lt;169.5),"normal","up"))))</f>
        <v>normal</v>
      </c>
      <c r="E161" t="str">
        <f>IF(K161&lt;151.5,"down",IF(K161=151.5,"low",IF(K161=170.5,"high",IF(AND(K161&gt;151.5,K161&lt;170.5),"normal","up"))))</f>
        <v>normal</v>
      </c>
      <c r="F161" t="str">
        <f>IF(P161&lt;163.5,"PVP-down",IF(P161=163.5,163.5,IF(P161&gt;163.5,"PVP-up")))</f>
        <v>PVP-down</v>
      </c>
      <c r="G161" t="str">
        <f>IF(R161&lt;183,"PVV-down",IF(R161=183,183,IF(R161&gt;183,"PVV-up")))</f>
        <v>PVV-up</v>
      </c>
      <c r="H161" s="3">
        <f t="shared" si="12"/>
        <v>1.4691534862942602E-2</v>
      </c>
      <c r="I161">
        <f>[1]!'8081.PreviousPrice'</f>
        <v>164.5</v>
      </c>
      <c r="J161">
        <f>[1]!'8081.PreOpenPrice'</f>
        <v>161.5</v>
      </c>
      <c r="K161">
        <f>[1]!'8081.Open'</f>
        <v>166</v>
      </c>
      <c r="L161">
        <f>[1]!'8081.Change'</f>
        <v>-3</v>
      </c>
      <c r="M161">
        <f>[1]!'8081.ChangePercent'</f>
        <v>-1.8200000000000001E-2</v>
      </c>
      <c r="N161">
        <f>[1]!'8081.BidPrice'</f>
        <v>161.5</v>
      </c>
      <c r="O161">
        <f>[1]!'8081.AskPrice'</f>
        <v>162</v>
      </c>
      <c r="P161">
        <f>[1]!'8081.Price'</f>
        <v>161.5</v>
      </c>
      <c r="Q161">
        <f>[1]!'8081.Volume'</f>
        <v>76</v>
      </c>
      <c r="R161">
        <f>[1]!'8081.CumulativeVolume'</f>
        <v>1266</v>
      </c>
      <c r="S161">
        <f>[1]!'8081.PreviousVolume'</f>
        <v>1519</v>
      </c>
      <c r="T161" s="3">
        <f t="shared" si="13"/>
        <v>-2.710843373493976E-2</v>
      </c>
      <c r="U161" s="3">
        <f>((T161*AB161)*D4)</f>
        <v>-0.13519902589074353</v>
      </c>
      <c r="V161" s="5">
        <f t="shared" si="14"/>
        <v>12274000</v>
      </c>
      <c r="W161" s="5">
        <f t="shared" si="15"/>
        <v>0</v>
      </c>
      <c r="X161">
        <v>8081</v>
      </c>
      <c r="Y161" s="5">
        <v>861720720</v>
      </c>
      <c r="Z161" s="3">
        <f>((D2*AB161)/P161)/10</f>
        <v>3.1156378097880653E-3</v>
      </c>
      <c r="AA161" s="3">
        <f>((M161*AB161)*D2)</f>
        <v>-9.157794214310061E-2</v>
      </c>
      <c r="AB161" s="3">
        <f>AE161/AE323</f>
        <v>3.9024003899548049E-4</v>
      </c>
      <c r="AC161" s="3">
        <f>AF161/AF323</f>
        <v>3.9379602071914219E-4</v>
      </c>
      <c r="AD161" s="5">
        <f t="shared" si="16"/>
        <v>13916789628</v>
      </c>
      <c r="AE161" s="5">
        <f t="shared" si="17"/>
        <v>13916789628</v>
      </c>
      <c r="AF161" s="5">
        <f t="shared" si="18"/>
        <v>14175305844</v>
      </c>
      <c r="AG161" t="str">
        <f t="shared" si="19"/>
        <v>DBM50</v>
      </c>
      <c r="AH161">
        <f t="shared" si="20"/>
        <v>0</v>
      </c>
      <c r="AI161">
        <f t="shared" si="21"/>
        <v>0</v>
      </c>
      <c r="AJ161">
        <f t="shared" si="22"/>
        <v>0</v>
      </c>
      <c r="AK161" t="str">
        <f>IF(Q161&lt;106,"down",IF(Q161=106,106,IF(Q161&gt;106,"up")))</f>
        <v>down</v>
      </c>
    </row>
    <row r="162" spans="1:37" x14ac:dyDescent="0.25">
      <c r="A162">
        <f>IF(X162=4919,4919,"Error")</f>
        <v>4919</v>
      </c>
      <c r="B162" t="str">
        <f>IF(K162&lt;47,"down",IF(K162=47,"low",IF(K162=47.95,"high",IF(AND(K162&gt;47,K162&lt;47.95),"normal","up"))))</f>
        <v>down</v>
      </c>
      <c r="C162" t="str">
        <f>IF(K162&lt;47,"down",IF(K162=47,"low",IF(K162=47.95,"high",IF(AND(K162&gt;47,K162&lt;47.95),"normal","up"))))</f>
        <v>down</v>
      </c>
      <c r="D162" t="str">
        <f>IF(K162&lt;47,"down",IF(K162=47,"low",IF(K162=47.95,"high",IF(AND(K162&gt;47,K162&lt;47.95),"normal","up"))))</f>
        <v>down</v>
      </c>
      <c r="E162" t="str">
        <f>IF(K162&lt;45.7,"down",IF(K162=45.7,"low",IF(K162=48.7,"high",IF(AND(K162&gt;45.7,K162&lt;48.7),"normal","up"))))</f>
        <v>normal</v>
      </c>
      <c r="F162" t="str">
        <f>IF(P162&lt;47.3,"PVP-down",IF(P162=47.3,47.3,IF(P162&gt;47.3,"PVP-up")))</f>
        <v>PVP-down</v>
      </c>
      <c r="G162" t="str">
        <f>IF(R162&lt;970,"PVV-down",IF(R162=970,970,IF(R162&gt;970,"PVV-up")))</f>
        <v>PVV-up</v>
      </c>
      <c r="H162" s="3">
        <f t="shared" si="12"/>
        <v>1.7593192801083898E-2</v>
      </c>
      <c r="I162">
        <f>[1]!'4919.PreviousPrice'</f>
        <v>47.3</v>
      </c>
      <c r="J162">
        <f>[1]!'4919.PreOpenPrice'</f>
        <v>44.95</v>
      </c>
      <c r="K162">
        <f>[1]!'4919.Open'</f>
        <v>45.85</v>
      </c>
      <c r="L162">
        <f>[1]!'4919.Change'</f>
        <v>-1.1499999999999999</v>
      </c>
      <c r="M162">
        <f>[1]!'4919.ChangePercent'</f>
        <v>-2.4899999999999999E-2</v>
      </c>
      <c r="N162">
        <f>[1]!'4919.BidPrice'</f>
        <v>44.95</v>
      </c>
      <c r="O162">
        <f>[1]!'4919.AskPrice'</f>
        <v>45</v>
      </c>
      <c r="P162">
        <f>[1]!'4919.Price'</f>
        <v>44.95</v>
      </c>
      <c r="Q162">
        <f>[1]!'4919.Volume'</f>
        <v>125</v>
      </c>
      <c r="R162">
        <f>[1]!'4919.CumulativeVolume'</f>
        <v>5059</v>
      </c>
      <c r="S162">
        <f>[1]!'4919.PreviousVolume'</f>
        <v>7733</v>
      </c>
      <c r="T162" s="3">
        <f t="shared" si="13"/>
        <v>-1.9629225736095934E-2</v>
      </c>
      <c r="U162" s="3">
        <f>((T162*AB162)*D4)</f>
        <v>-9.0924926215294244E-2</v>
      </c>
      <c r="V162" s="5">
        <f t="shared" si="14"/>
        <v>5618750</v>
      </c>
      <c r="W162" s="5">
        <f t="shared" si="15"/>
        <v>0</v>
      </c>
      <c r="X162">
        <v>4919</v>
      </c>
      <c r="Y162" s="5">
        <v>2875544000</v>
      </c>
      <c r="Z162" s="3">
        <f>((D2*AB162)/P162)/10</f>
        <v>1.0396818136285749E-2</v>
      </c>
      <c r="AA162" s="3">
        <f>((M162*AB162)*D2)</f>
        <v>-0.11636690683128506</v>
      </c>
      <c r="AB162" s="3">
        <f>AE162/AE323</f>
        <v>3.624453041926822E-4</v>
      </c>
      <c r="AC162" s="3">
        <f>AF162/AF323</f>
        <v>3.7785053670911589E-4</v>
      </c>
      <c r="AD162" s="5">
        <f t="shared" si="16"/>
        <v>12925570280.000002</v>
      </c>
      <c r="AE162" s="5">
        <f t="shared" si="17"/>
        <v>12925570280.000002</v>
      </c>
      <c r="AF162" s="5">
        <f t="shared" si="18"/>
        <v>13601323119.999998</v>
      </c>
      <c r="AG162" t="str">
        <f t="shared" si="19"/>
        <v>DBM100</v>
      </c>
      <c r="AH162">
        <f t="shared" si="20"/>
        <v>0</v>
      </c>
      <c r="AI162">
        <f t="shared" si="21"/>
        <v>0</v>
      </c>
      <c r="AJ162">
        <f t="shared" si="22"/>
        <v>0</v>
      </c>
      <c r="AK162" t="str">
        <f>IF(Q162&lt;140,"down",IF(Q162=140,140,IF(Q162&gt;140,"up")))</f>
        <v>down</v>
      </c>
    </row>
    <row r="163" spans="1:37" x14ac:dyDescent="0.25">
      <c r="A163">
        <f>IF(X163=2882,2882,"Error")</f>
        <v>2882</v>
      </c>
      <c r="B163" t="str">
        <f>IF(K163&lt;39.85,"down",IF(K163=39.85,"low",IF(K163=40.5,"high",IF(AND(K163&gt;39.85,K163&lt;40.5),"normal","up"))))</f>
        <v>normal</v>
      </c>
      <c r="C163" t="str">
        <f>IF(K163&lt;39.85,"down",IF(K163=39.85,"low",IF(K163=40.5,"high",IF(AND(K163&gt;39.85,K163&lt;40.5),"normal","up"))))</f>
        <v>normal</v>
      </c>
      <c r="D163" t="str">
        <f>IF(K163&lt;39.85,"down",IF(K163=39.85,"low",IF(K163=40.5,"high",IF(AND(K163&gt;39.85,K163&lt;40.5),"normal","up"))))</f>
        <v>normal</v>
      </c>
      <c r="E163" t="str">
        <f>IF(K163&lt;39.2,"down",IF(K163=39.2,"low",IF(K163=40.5,"high",IF(AND(K163&gt;39.2,K163&lt;40.5),"normal","up"))))</f>
        <v>normal</v>
      </c>
      <c r="F163" t="str">
        <f>IF(P163&lt;40.4,"PVP-down",IF(P163=40.4,40.4,IF(P163&gt;40.4,"PVP-up")))</f>
        <v>PVP-down</v>
      </c>
      <c r="G163" t="str">
        <f>IF(R163&lt;4259,"PVV-down",IF(R163=4259,4259,IF(R163&gt;4259,"PVV-up")))</f>
        <v>PVV-up</v>
      </c>
      <c r="H163" s="3">
        <f t="shared" si="12"/>
        <v>1.27386411143032E-3</v>
      </c>
      <c r="I163">
        <f>[1]!'2882.PreviousPrice'</f>
        <v>40.450000000000003</v>
      </c>
      <c r="J163">
        <f>[1]!'2882.PreOpenPrice'</f>
        <v>39.950000000000003</v>
      </c>
      <c r="K163">
        <f>[1]!'2882.Open'</f>
        <v>40</v>
      </c>
      <c r="L163">
        <f>[1]!'2882.Change'</f>
        <v>-0.5</v>
      </c>
      <c r="M163">
        <f>[1]!'2882.ChangePercent'</f>
        <v>-1.24E-2</v>
      </c>
      <c r="N163">
        <f>[1]!'2882.BidPrice'</f>
        <v>39.950000000000003</v>
      </c>
      <c r="O163">
        <f>[1]!'2882.AskPrice'</f>
        <v>40</v>
      </c>
      <c r="P163">
        <f>[1]!'2882.Price'</f>
        <v>39.950000000000003</v>
      </c>
      <c r="Q163">
        <f>[1]!'2882.Volume'</f>
        <v>1533</v>
      </c>
      <c r="R163">
        <f>[1]!'2882.CumulativeVolume'</f>
        <v>18729</v>
      </c>
      <c r="S163">
        <f>[1]!'2882.PreviousVolume'</f>
        <v>14209</v>
      </c>
      <c r="T163" s="3">
        <f t="shared" si="13"/>
        <v>-1.2499999999999289E-3</v>
      </c>
      <c r="U163" s="3">
        <f>((T163*AB163)*D4)</f>
        <v>-0.26311666654228399</v>
      </c>
      <c r="V163" s="5">
        <f t="shared" si="14"/>
        <v>61243350.000000007</v>
      </c>
      <c r="W163" s="5">
        <f t="shared" si="15"/>
        <v>0</v>
      </c>
      <c r="X163">
        <v>2882</v>
      </c>
      <c r="Y163" s="5">
        <v>147025101280</v>
      </c>
      <c r="Z163" s="3">
        <f>((D2*AB163)/P163)/10</f>
        <v>0.53158402009399008</v>
      </c>
      <c r="AA163" s="3">
        <f>((M163*AB163)*D2)</f>
        <v>-2.6333609187416083</v>
      </c>
      <c r="AB163" s="3">
        <f>AE163/AE323</f>
        <v>1.6470281993760591E-2</v>
      </c>
      <c r="AC163" s="3">
        <f>AF163/AF323</f>
        <v>1.6521478082326208E-2</v>
      </c>
      <c r="AD163" s="5">
        <f t="shared" si="16"/>
        <v>587365279613.59998</v>
      </c>
      <c r="AE163" s="5">
        <f t="shared" si="17"/>
        <v>587365279613.59998</v>
      </c>
      <c r="AF163" s="5">
        <f t="shared" si="18"/>
        <v>594716534677.59998</v>
      </c>
      <c r="AG163" t="str">
        <f t="shared" si="19"/>
        <v>DBM200</v>
      </c>
      <c r="AH163">
        <f t="shared" si="20"/>
        <v>0</v>
      </c>
      <c r="AI163">
        <f t="shared" si="21"/>
        <v>0</v>
      </c>
      <c r="AJ163">
        <f t="shared" si="22"/>
        <v>0</v>
      </c>
      <c r="AK163" t="str">
        <f>IF(Q163&lt;327,"down",IF(Q163=327,327,IF(Q163&gt;327,"up")))</f>
        <v>up</v>
      </c>
    </row>
    <row r="164" spans="1:37" x14ac:dyDescent="0.25">
      <c r="A164">
        <f>IF(X164=2886,2886,"Error")</f>
        <v>2886</v>
      </c>
      <c r="B164" t="str">
        <f>IF(K164&lt;32.3,"down",IF(K164=32.3,"low",IF(K164=32.55,"high",IF(AND(K164&gt;32.3,K164&lt;32.55),"normal","up"))))</f>
        <v>normal</v>
      </c>
      <c r="C164" t="str">
        <f>IF(K164&lt;32.3,"down",IF(K164=32.3,"low",IF(K164=32.55,"high",IF(AND(K164&gt;32.3,K164&lt;32.55),"normal","up"))))</f>
        <v>normal</v>
      </c>
      <c r="D164" t="str">
        <f>IF(K164&lt;32.3,"down",IF(K164=32.3,"low",IF(K164=32.55,"high",IF(AND(K164&gt;32.3,K164&lt;32.55),"normal","up"))))</f>
        <v>normal</v>
      </c>
      <c r="E164" t="str">
        <f>IF(K164&lt;31.8,"down",IF(K164=31.8,"low",IF(K164=32.6,"high",IF(AND(K164&gt;31.8,K164&lt;32.6),"normal","up"))))</f>
        <v>normal</v>
      </c>
      <c r="F164" t="str">
        <f>IF(P164&lt;32.5,"PVP-down",IF(P164=32.5,32.5,IF(P164&gt;32.5,"PVP-up")))</f>
        <v>PVP-down</v>
      </c>
      <c r="G164" t="str">
        <f>IF(R164&lt;9539,"PVV-down",IF(R164=9539,9539,IF(R164&gt;9539,"PVV-up")))</f>
        <v>PVV-up</v>
      </c>
      <c r="H164" s="3">
        <f t="shared" si="12"/>
        <v>2.0534824593986807E-3</v>
      </c>
      <c r="I164">
        <f>[1]!'2886.PreviousPrice'</f>
        <v>32.5</v>
      </c>
      <c r="J164">
        <f>[1]!'2886.PreOpenPrice'</f>
        <v>32.450000000000003</v>
      </c>
      <c r="K164">
        <f>[1]!'2886.Open'</f>
        <v>32.4</v>
      </c>
      <c r="L164">
        <f>[1]!'2886.Change'</f>
        <v>-0.05</v>
      </c>
      <c r="M164">
        <f>[1]!'2886.ChangePercent'</f>
        <v>-1.5E-3</v>
      </c>
      <c r="N164">
        <f>[1]!'2886.BidPrice'</f>
        <v>32.450000000000003</v>
      </c>
      <c r="O164">
        <f>[1]!'2886.AskPrice'</f>
        <v>32.5</v>
      </c>
      <c r="P164">
        <f>[1]!'2886.Price'</f>
        <v>32.450000000000003</v>
      </c>
      <c r="Q164">
        <f>[1]!'2886.Volume'</f>
        <v>2347</v>
      </c>
      <c r="R164">
        <f>[1]!'2886.CumulativeVolume'</f>
        <v>27927</v>
      </c>
      <c r="S164">
        <f>[1]!'2886.PreviousVolume'</f>
        <v>26139</v>
      </c>
      <c r="T164" s="3">
        <f t="shared" si="13"/>
        <v>1.5432098765433416E-3</v>
      </c>
      <c r="U164" s="3">
        <f>((T164*AB164)*D4)</f>
        <v>0.24406362490474234</v>
      </c>
      <c r="V164" s="5">
        <f t="shared" si="14"/>
        <v>76160150.000000015</v>
      </c>
      <c r="W164" s="5">
        <f t="shared" si="15"/>
        <v>0</v>
      </c>
      <c r="X164">
        <v>2886</v>
      </c>
      <c r="Y164" s="5">
        <v>135998239830</v>
      </c>
      <c r="Z164" s="3">
        <f>((D2*AB164)/P164)/10</f>
        <v>0.49171529504242767</v>
      </c>
      <c r="AA164" s="3">
        <f>((M164*AB164)*D2)</f>
        <v>-0.23934241986190169</v>
      </c>
      <c r="AB164" s="3">
        <f>AE164/AE323</f>
        <v>1.2374873060436466E-2</v>
      </c>
      <c r="AC164" s="3">
        <f>AF164/AF323</f>
        <v>1.2278788926499442E-2</v>
      </c>
      <c r="AD164" s="5">
        <f t="shared" si="16"/>
        <v>441314288248.34998</v>
      </c>
      <c r="AE164" s="5">
        <f t="shared" si="17"/>
        <v>441314288248.34998</v>
      </c>
      <c r="AF164" s="5">
        <f t="shared" si="18"/>
        <v>441994279447.5</v>
      </c>
      <c r="AG164" t="str">
        <f t="shared" si="19"/>
        <v>DBM200</v>
      </c>
      <c r="AH164">
        <f t="shared" si="20"/>
        <v>0</v>
      </c>
      <c r="AI164">
        <f t="shared" si="21"/>
        <v>0</v>
      </c>
      <c r="AJ164">
        <f t="shared" si="22"/>
        <v>0</v>
      </c>
      <c r="AK164" t="str">
        <f>IF(Q164&lt;593,"down",IF(Q164=593,593,IF(Q164&gt;593,"up")))</f>
        <v>up</v>
      </c>
    </row>
    <row r="165" spans="1:37" x14ac:dyDescent="0.25">
      <c r="A165">
        <f>IF(X165=2881,2881,"Error")</f>
        <v>2881</v>
      </c>
      <c r="B165" t="str">
        <f>IF(K165&lt;41.15,"down",IF(K165=41.15,"low",IF(K165=41.8,"high",IF(AND(K165&gt;41.15,K165&lt;41.8),"normal","up"))))</f>
        <v>up</v>
      </c>
      <c r="C165" t="str">
        <f>IF(K165&lt;41.15,"down",IF(K165=41.15,"low",IF(K165=41.8,"high",IF(AND(K165&gt;41.15,K165&lt;41.8),"normal","up"))))</f>
        <v>up</v>
      </c>
      <c r="D165" t="str">
        <f>IF(K165&lt;41.15,"down",IF(K165=41.15,"low",IF(K165=41.8,"high",IF(AND(K165&gt;41.15,K165&lt;41.8),"normal","up"))))</f>
        <v>up</v>
      </c>
      <c r="E165" t="str">
        <f>IF(K165&lt;41.15,"down",IF(K165=41.15,"low",IF(K165=41.8,"high",IF(AND(K165&gt;41.15,K165&lt;41.8),"normal","up"))))</f>
        <v>up</v>
      </c>
      <c r="F165" t="str">
        <f>IF(P165&lt;41.7,"PVP-down",IF(P165=41.7,41.7,IF(P165&gt;41.7,"PVP-up")))</f>
        <v>PVP-up</v>
      </c>
      <c r="G165" t="str">
        <f>IF(R165&lt;3034,"PVV-down",IF(R165=3034,3034,IF(R165&gt;3034,"PVV-up")))</f>
        <v>PVV-up</v>
      </c>
      <c r="H165" s="3">
        <f t="shared" si="12"/>
        <v>2.0319533543021072E-3</v>
      </c>
      <c r="I165">
        <f>[1]!'2881.PreviousPrice'</f>
        <v>41.75</v>
      </c>
      <c r="J165">
        <f>[1]!'2881.PreOpenPrice'</f>
        <v>41.75</v>
      </c>
      <c r="K165">
        <f>[1]!'2881.Open'</f>
        <v>42.3</v>
      </c>
      <c r="L165">
        <f>[1]!'2881.Change'</f>
        <v>0</v>
      </c>
      <c r="M165">
        <f>[1]!'2881.ChangePercent'</f>
        <v>0</v>
      </c>
      <c r="N165">
        <f>[1]!'2881.BidPrice'</f>
        <v>41.75</v>
      </c>
      <c r="O165">
        <f>[1]!'2881.AskPrice'</f>
        <v>41.8</v>
      </c>
      <c r="P165">
        <f>[1]!'2881.Price'</f>
        <v>41.75</v>
      </c>
      <c r="Q165">
        <f>[1]!'2881.Volume'</f>
        <v>2196</v>
      </c>
      <c r="R165">
        <f>[1]!'2881.CumulativeVolume'</f>
        <v>23368</v>
      </c>
      <c r="S165">
        <f>[1]!'2881.PreviousVolume'</f>
        <v>12703</v>
      </c>
      <c r="T165" s="3">
        <f t="shared" si="13"/>
        <v>-1.3002364066193787E-2</v>
      </c>
      <c r="U165" s="3">
        <f>((T165*AB165)*D4)</f>
        <v>-2.2372611766513364</v>
      </c>
      <c r="V165" s="5">
        <f t="shared" si="14"/>
        <v>91683000</v>
      </c>
      <c r="W165" s="5">
        <f t="shared" si="15"/>
        <v>0</v>
      </c>
      <c r="X165">
        <v>2881</v>
      </c>
      <c r="Y165" s="5">
        <v>115002639950</v>
      </c>
      <c r="Z165" s="3">
        <f>((D2*AB165)/P165)/10</f>
        <v>0.41580359499033925</v>
      </c>
      <c r="AA165" s="3">
        <f>((M165*AB165)*D2)</f>
        <v>0</v>
      </c>
      <c r="AB165" s="3">
        <f>AE165/AE323</f>
        <v>1.3463471452494696E-2</v>
      </c>
      <c r="AC165" s="3">
        <f>AF165/AF323</f>
        <v>1.3338382738693704E-2</v>
      </c>
      <c r="AD165" s="5">
        <f t="shared" si="16"/>
        <v>480136021791.25</v>
      </c>
      <c r="AE165" s="5">
        <f t="shared" si="17"/>
        <v>480136021791.25</v>
      </c>
      <c r="AF165" s="5">
        <f t="shared" si="18"/>
        <v>480136021791.25</v>
      </c>
      <c r="AG165">
        <f t="shared" si="19"/>
        <v>0</v>
      </c>
      <c r="AH165">
        <f t="shared" si="20"/>
        <v>0</v>
      </c>
      <c r="AI165">
        <f t="shared" si="21"/>
        <v>0</v>
      </c>
      <c r="AJ165">
        <f t="shared" si="22"/>
        <v>0</v>
      </c>
      <c r="AK165" t="str">
        <f>IF(Q165&lt;114,"down",IF(Q165=114,114,IF(Q165&gt;114,"up")))</f>
        <v>up</v>
      </c>
    </row>
    <row r="166" spans="1:37" x14ac:dyDescent="0.25">
      <c r="A166">
        <f>IF(X166=2891,2891,"Error")</f>
        <v>2891</v>
      </c>
      <c r="B166" t="str">
        <f>IF(K166&lt;19.35,"down",IF(K166=19.35,"low",IF(K166=19.5,"high",IF(AND(K166&gt;19.35,K166&lt;19.5),"normal","up"))))</f>
        <v>normal</v>
      </c>
      <c r="C166" t="str">
        <f>IF(K166&lt;19.35,"down",IF(K166=19.35,"low",IF(K166=19.5,"high",IF(AND(K166&gt;19.35,K166&lt;19.5),"normal","up"))))</f>
        <v>normal</v>
      </c>
      <c r="D166" t="str">
        <f>IF(K166&lt;19.35,"down",IF(K166=19.35,"low",IF(K166=19.5,"high",IF(AND(K166&gt;19.35,K166&lt;19.5),"normal","up"))))</f>
        <v>normal</v>
      </c>
      <c r="E166" t="str">
        <f>IF(K166&lt;19.3,"down",IF(K166=19.3,"low",IF(K166=19.5,"high",IF(AND(K166&gt;19.3,K166&lt;19.5),"normal","up"))))</f>
        <v>normal</v>
      </c>
      <c r="F166" t="str">
        <f>IF(P166&lt;19.45,"PVP-down",IF(P166=19.45,19.45,IF(P166&gt;19.45,"PVP-up")))</f>
        <v>PVP-down</v>
      </c>
      <c r="G166" t="str">
        <f>IF(R166&lt;15190,"PVV-down",IF(R166=15190,15190,IF(R166&gt;15190,"PVV-up")))</f>
        <v>PVV-up</v>
      </c>
      <c r="H166" s="3">
        <f t="shared" ref="H166:H229" si="23">R166/(Y166/10000)</f>
        <v>1.2757926721868324E-3</v>
      </c>
      <c r="I166">
        <f>[1]!'2891.PreviousPrice'</f>
        <v>19.399999999999999</v>
      </c>
      <c r="J166">
        <f>[1]!'2891.PreOpenPrice'</f>
        <v>19.399999999999999</v>
      </c>
      <c r="K166">
        <f>[1]!'2891.Open'</f>
        <v>19.45</v>
      </c>
      <c r="L166">
        <f>[1]!'2891.Change'</f>
        <v>0</v>
      </c>
      <c r="M166">
        <f>[1]!'2891.ChangePercent'</f>
        <v>0</v>
      </c>
      <c r="N166">
        <f>[1]!'2891.BidPrice'</f>
        <v>19.399999999999999</v>
      </c>
      <c r="O166">
        <f>[1]!'2891.AskPrice'</f>
        <v>19.45</v>
      </c>
      <c r="P166">
        <f>[1]!'2891.Price'</f>
        <v>19.399999999999999</v>
      </c>
      <c r="Q166">
        <f>[1]!'2891.Volume'</f>
        <v>4038</v>
      </c>
      <c r="R166">
        <f>[1]!'2891.CumulativeVolume'</f>
        <v>25512</v>
      </c>
      <c r="S166">
        <f>[1]!'2891.PreviousVolume'</f>
        <v>29853</v>
      </c>
      <c r="T166" s="3">
        <f t="shared" ref="T166:T229" si="24">((P166-K166)/K166)</f>
        <v>-2.5706940874036356E-3</v>
      </c>
      <c r="U166" s="3">
        <f>((T166*AB166)*D4)</f>
        <v>-0.35739346407260797</v>
      </c>
      <c r="V166" s="5">
        <f t="shared" ref="V166:V229" si="25">IF(P166&lt;=N166,(P166*Q166*1000),0)</f>
        <v>78337200</v>
      </c>
      <c r="W166" s="5">
        <f t="shared" ref="W166:W229" si="26">IF(P166&gt;=O166,(P166*Q166*1000),0)</f>
        <v>0</v>
      </c>
      <c r="X166">
        <v>2891</v>
      </c>
      <c r="Y166" s="5">
        <v>199969795690</v>
      </c>
      <c r="Z166" s="3">
        <f>((D2*AB166)/P166)/10</f>
        <v>0.72301088021575999</v>
      </c>
      <c r="AA166" s="3">
        <f>((M166*AB166)*D2)</f>
        <v>0</v>
      </c>
      <c r="AB166" s="3">
        <f>AE166/AE323</f>
        <v>1.0878246530313126E-2</v>
      </c>
      <c r="AC166" s="3">
        <f>AF166/AF323</f>
        <v>1.0777177064559936E-2</v>
      </c>
      <c r="AD166" s="5">
        <f t="shared" ref="AD166:AD229" si="27">IF(ISNA(J166),(I166*Y166)/10,(J166*Y166)/10)</f>
        <v>387941403638.59998</v>
      </c>
      <c r="AE166" s="5">
        <f t="shared" ref="AE166:AE229" si="28">IF(ISNA(P166),(I166*Y166)/10,(P166*Y166)/10)</f>
        <v>387941403638.59998</v>
      </c>
      <c r="AF166" s="5">
        <f t="shared" ref="AF166:AF229" si="29">(I166*Y166)/10</f>
        <v>387941403638.59998</v>
      </c>
      <c r="AG166">
        <f t="shared" ref="AG166:AG229" si="30">IF(AND(P166&lt;=N166,L166&lt;0),IF(Q166&lt;10,"DBL10",IF(Q166&gt;=200,"DBM200",IF(Q166&gt;=150,"DBM150",IF(Q166&gt;=100,"DBM100",IF(Q166&gt;=50,"DBM50","DBM10-50"))))),0)</f>
        <v>0</v>
      </c>
      <c r="AH166">
        <f t="shared" ref="AH166:AH229" si="31">IF(AND(P166&gt;=O166,L166&lt;0),IF(Q166&lt;10,"DAL10",IF(Q166&gt;=200,"DAM200",IF(Q166&gt;=150,"DAM150",IF(Q166&gt;=100,"DAM100",IF(Q166&gt;=50,"DAM50","DAM10-50"))))),0)</f>
        <v>0</v>
      </c>
      <c r="AI166">
        <f t="shared" ref="AI166:AI229" si="32">IF(AND(P166&gt;=O166,L166&gt;0),IF(Q166&lt;10,"UAL10",IF(Q166&gt;=200,"UAM200",IF(Q166&gt;=150,"UAM150",IF(Q166&gt;=100,"UAM100",IF(Q166&gt;=50,"UAM50","UAM10-50"))))),0)</f>
        <v>0</v>
      </c>
      <c r="AJ166">
        <f t="shared" ref="AJ166:AJ229" si="33">IF(AND(P166&lt;=N166,L166&gt;0),IF(Q166&lt;10,"UBL10",IF(Q166&gt;=200,"UBM200",IF(Q166&gt;=150,"UBM150",IF(Q166&gt;=100,"UBM100",IF(Q166&gt;=50,"UBM50","UBM10-50"))))),0)</f>
        <v>0</v>
      </c>
      <c r="AK166" t="str">
        <f>IF(Q166&lt;472,"down",IF(Q166=472,472,IF(Q166&gt;472,"up")))</f>
        <v>up</v>
      </c>
    </row>
    <row r="167" spans="1:37" x14ac:dyDescent="0.25">
      <c r="A167">
        <f>IF(X167=2884,2884,"Error")</f>
        <v>2884</v>
      </c>
      <c r="B167" t="str">
        <f>IF(K167&lt;26.85,"down",IF(K167=26.85,"low",IF(K167=27,"high",IF(AND(K167&gt;26.85,K167&lt;27),"normal","up"))))</f>
        <v>low</v>
      </c>
      <c r="C167" t="str">
        <f>IF(K167&lt;26.85,"down",IF(K167=26.85,"low",IF(K167=27,"high",IF(AND(K167&gt;26.85,K167&lt;27),"normal","up"))))</f>
        <v>low</v>
      </c>
      <c r="D167" t="str">
        <f>IF(K167&lt;26.85,"down",IF(K167=26.85,"low",IF(K167=27,"high",IF(AND(K167&gt;26.85,K167&lt;27),"normal","up"))))</f>
        <v>low</v>
      </c>
      <c r="E167" t="str">
        <f>IF(K167&lt;26.8,"down",IF(K167=26.8,"low",IF(K167=27.1,"high",IF(AND(K167&gt;26.8,K167&lt;27.1),"normal","up"))))</f>
        <v>normal</v>
      </c>
      <c r="F167">
        <f>IF(P167&lt;26.85,"PVP-down",IF(P167=26.85,26.85,IF(P167&gt;26.85,"PVP-up")))</f>
        <v>26.85</v>
      </c>
      <c r="G167" t="str">
        <f>IF(R167&lt;9887,"PVV-down",IF(R167=9887,9887,IF(R167&gt;9887,"PVV-up")))</f>
        <v>PVV-up</v>
      </c>
      <c r="H167" s="3">
        <f t="shared" si="23"/>
        <v>1.3715736477473213E-3</v>
      </c>
      <c r="I167">
        <f>[1]!'2884.PreviousPrice'</f>
        <v>26.85</v>
      </c>
      <c r="J167">
        <f>[1]!'2884.PreOpenPrice'</f>
        <v>26.85</v>
      </c>
      <c r="K167">
        <f>[1]!'2884.Open'</f>
        <v>26.85</v>
      </c>
      <c r="L167">
        <f>[1]!'2884.Change'</f>
        <v>0</v>
      </c>
      <c r="M167">
        <f>[1]!'2884.ChangePercent'</f>
        <v>0</v>
      </c>
      <c r="N167">
        <f>[1]!'2884.BidPrice'</f>
        <v>26.85</v>
      </c>
      <c r="O167">
        <f>[1]!'2884.AskPrice'</f>
        <v>26.9</v>
      </c>
      <c r="P167">
        <f>[1]!'2884.Price'</f>
        <v>26.85</v>
      </c>
      <c r="Q167">
        <f>[1]!'2884.Volume'</f>
        <v>1924</v>
      </c>
      <c r="R167">
        <f>[1]!'2884.CumulativeVolume'</f>
        <v>15937</v>
      </c>
      <c r="S167">
        <f>[1]!'2884.PreviousVolume'</f>
        <v>18934</v>
      </c>
      <c r="T167" s="3">
        <f t="shared" si="24"/>
        <v>0</v>
      </c>
      <c r="U167" s="3">
        <f>((T167*AB167)*D4)</f>
        <v>0</v>
      </c>
      <c r="V167" s="5">
        <f t="shared" si="25"/>
        <v>51659400</v>
      </c>
      <c r="W167" s="5">
        <f t="shared" si="26"/>
        <v>0</v>
      </c>
      <c r="X167">
        <v>2884</v>
      </c>
      <c r="Y167" s="5">
        <v>116195000000</v>
      </c>
      <c r="Z167" s="3">
        <f>((D2*AB167)/P167)/10</f>
        <v>0.42011469250539113</v>
      </c>
      <c r="AA167" s="3">
        <f>((M167*AB167)*D2)</f>
        <v>0</v>
      </c>
      <c r="AB167" s="3">
        <f>AE167/AE323</f>
        <v>8.7483166540792256E-3</v>
      </c>
      <c r="AC167" s="3">
        <f>AF167/AF323</f>
        <v>8.6670363036106396E-3</v>
      </c>
      <c r="AD167" s="5">
        <f t="shared" si="27"/>
        <v>311983575000</v>
      </c>
      <c r="AE167" s="5">
        <f t="shared" si="28"/>
        <v>311983575000</v>
      </c>
      <c r="AF167" s="5">
        <f t="shared" si="29"/>
        <v>311983575000</v>
      </c>
      <c r="AG167">
        <f t="shared" si="30"/>
        <v>0</v>
      </c>
      <c r="AH167">
        <f t="shared" si="31"/>
        <v>0</v>
      </c>
      <c r="AI167">
        <f t="shared" si="32"/>
        <v>0</v>
      </c>
      <c r="AJ167">
        <f t="shared" si="33"/>
        <v>0</v>
      </c>
      <c r="AK167" t="str">
        <f>IF(Q167&lt;562,"down",IF(Q167=562,562,IF(Q167&gt;562,"up")))</f>
        <v>up</v>
      </c>
    </row>
    <row r="168" spans="1:37" x14ac:dyDescent="0.25">
      <c r="A168">
        <f>IF(X168=2892,2892,"Error")</f>
        <v>2892</v>
      </c>
      <c r="B168" t="str">
        <f>IF(K168&lt;22.05,"down",IF(K168=22.05,"low",IF(K168=22.2,"high",IF(AND(K168&gt;22.05,K168&lt;22.2),"normal","up"))))</f>
        <v>low</v>
      </c>
      <c r="C168" t="str">
        <f>IF(K168&lt;22.05,"down",IF(K168=22.05,"low",IF(K168=22.2,"high",IF(AND(K168&gt;22.05,K168&lt;22.2),"normal","up"))))</f>
        <v>low</v>
      </c>
      <c r="D168" t="str">
        <f>IF(K168&lt;22.05,"down",IF(K168=22.05,"low",IF(K168=22.2,"high",IF(AND(K168&gt;22.05,K168&lt;22.2),"normal","up"))))</f>
        <v>low</v>
      </c>
      <c r="E168" t="str">
        <f>IF(K168&lt;22,"down",IF(K168=22,"low",IF(K168=23.9,"high",IF(AND(K168&gt;22,K168&lt;23.9),"normal","up"))))</f>
        <v>normal</v>
      </c>
      <c r="F168" t="str">
        <f>IF(P168&lt;22.05,"PVP-down",IF(P168=22.05,22.05,IF(P168&gt;22.05,"PVP-up")))</f>
        <v>PVP-down</v>
      </c>
      <c r="G168" t="str">
        <f>IF(R168&lt;16087,"PVV-down",IF(R168=16087,16087,IF(R168&gt;16087,"PVV-up")))</f>
        <v>PVV-up</v>
      </c>
      <c r="H168" s="3">
        <f t="shared" si="23"/>
        <v>1.9435974308691247E-3</v>
      </c>
      <c r="I168">
        <f>[1]!'2892.PreviousPrice'</f>
        <v>22.05</v>
      </c>
      <c r="J168">
        <f>[1]!'2892.PreOpenPrice'</f>
        <v>21.9</v>
      </c>
      <c r="K168">
        <f>[1]!'2892.Open'</f>
        <v>22.05</v>
      </c>
      <c r="L168">
        <f>[1]!'2892.Change'</f>
        <v>-0.15</v>
      </c>
      <c r="M168">
        <f>[1]!'2892.ChangePercent'</f>
        <v>-6.7999999999999996E-3</v>
      </c>
      <c r="N168">
        <f>[1]!'2892.BidPrice'</f>
        <v>21.9</v>
      </c>
      <c r="O168">
        <f>[1]!'2892.AskPrice'</f>
        <v>21.95</v>
      </c>
      <c r="P168">
        <f>[1]!'2892.Price'</f>
        <v>21.9</v>
      </c>
      <c r="Q168">
        <f>[1]!'2892.Volume'</f>
        <v>2359</v>
      </c>
      <c r="R168">
        <f>[1]!'2892.CumulativeVolume'</f>
        <v>24221</v>
      </c>
      <c r="S168">
        <f>[1]!'2892.PreviousVolume'</f>
        <v>23834</v>
      </c>
      <c r="T168" s="3">
        <f t="shared" si="24"/>
        <v>-6.8027210884354702E-3</v>
      </c>
      <c r="U168" s="3">
        <f>((T168*AB168)*D4)</f>
        <v>-0.66533842825972223</v>
      </c>
      <c r="V168" s="5">
        <f t="shared" si="25"/>
        <v>51662100</v>
      </c>
      <c r="W168" s="5">
        <f t="shared" si="26"/>
        <v>0</v>
      </c>
      <c r="X168">
        <v>2892</v>
      </c>
      <c r="Y168" s="5">
        <v>124619427950</v>
      </c>
      <c r="Z168" s="3">
        <f>((D2*AB168)/P168)/10</f>
        <v>0.45057405786317828</v>
      </c>
      <c r="AA168" s="3">
        <f>((M168*AB168)*D2)</f>
        <v>-0.67099488696984499</v>
      </c>
      <c r="AB168" s="3">
        <f>AE168/AE323</f>
        <v>7.6528399776668249E-3</v>
      </c>
      <c r="AC168" s="3">
        <f>AF168/AF323</f>
        <v>7.6336673785539445E-3</v>
      </c>
      <c r="AD168" s="5">
        <f t="shared" si="27"/>
        <v>272916547210.5</v>
      </c>
      <c r="AE168" s="5">
        <f t="shared" si="28"/>
        <v>272916547210.5</v>
      </c>
      <c r="AF168" s="5">
        <f t="shared" si="29"/>
        <v>274785838629.75</v>
      </c>
      <c r="AG168" t="str">
        <f t="shared" si="30"/>
        <v>DBM200</v>
      </c>
      <c r="AH168">
        <f t="shared" si="31"/>
        <v>0</v>
      </c>
      <c r="AI168">
        <f t="shared" si="32"/>
        <v>0</v>
      </c>
      <c r="AJ168">
        <f t="shared" si="33"/>
        <v>0</v>
      </c>
      <c r="AK168" t="str">
        <f>IF(Q168&lt;591,"down",IF(Q168=591,591,IF(Q168&gt;591,"up")))</f>
        <v>up</v>
      </c>
    </row>
    <row r="169" spans="1:37" x14ac:dyDescent="0.25">
      <c r="A169">
        <f>IF(X169=5880,5880,"Error")</f>
        <v>5880</v>
      </c>
      <c r="B169" t="str">
        <f>IF(K169&lt;21.65,"down",IF(K169=21.65,"low",IF(K169=21.9,"high",IF(AND(K169&gt;21.65,K169&lt;21.9),"normal","up"))))</f>
        <v>up</v>
      </c>
      <c r="C169" t="str">
        <f>IF(K169&lt;21.65,"down",IF(K169=21.65,"low",IF(K169=21.9,"high",IF(AND(K169&gt;21.65,K169&lt;21.9),"normal","up"))))</f>
        <v>up</v>
      </c>
      <c r="D169" t="str">
        <f>IF(K169&lt;21.65,"down",IF(K169=21.65,"low",IF(K169=21.9,"high",IF(AND(K169&gt;21.65,K169&lt;21.9),"normal","up"))))</f>
        <v>up</v>
      </c>
      <c r="E169" t="str">
        <f>IF(K169&lt;21.15,"down",IF(K169=21.15,"low",IF(K169=21.9,"high",IF(AND(K169&gt;21.15,K169&lt;21.9),"normal","up"))))</f>
        <v>up</v>
      </c>
      <c r="F169" t="str">
        <f>IF(P169&lt;21.8,"PVP-down",IF(P169=21.8,21.8,IF(P169&gt;21.8,"PVP-up")))</f>
        <v>PVP-up</v>
      </c>
      <c r="G169" t="str">
        <f>IF(R169&lt;8708,"PVV-down",IF(R169=8708,8708,IF(R169&gt;8708,"PVV-up")))</f>
        <v>PVV-up</v>
      </c>
      <c r="H169" s="3">
        <f t="shared" si="23"/>
        <v>3.0286157506286817E-3</v>
      </c>
      <c r="I169">
        <f>[1]!'5880.PreviousPrice'</f>
        <v>21.9</v>
      </c>
      <c r="J169">
        <f>[1]!'5880.PreOpenPrice'</f>
        <v>21.85</v>
      </c>
      <c r="K169">
        <f>[1]!'5880.Open'</f>
        <v>21.95</v>
      </c>
      <c r="L169">
        <f>[1]!'5880.Change'</f>
        <v>-0.05</v>
      </c>
      <c r="M169">
        <f>[1]!'5880.ChangePercent'</f>
        <v>-2.3E-3</v>
      </c>
      <c r="N169">
        <f>[1]!'5880.BidPrice'</f>
        <v>21.8</v>
      </c>
      <c r="O169">
        <f>[1]!'5880.AskPrice'</f>
        <v>21.85</v>
      </c>
      <c r="P169">
        <f>[1]!'5880.Price'</f>
        <v>21.85</v>
      </c>
      <c r="Q169">
        <f>[1]!'5880.Volume'</f>
        <v>4458</v>
      </c>
      <c r="R169">
        <f>[1]!'5880.CumulativeVolume'</f>
        <v>39208</v>
      </c>
      <c r="S169">
        <f>[1]!'5880.PreviousVolume'</f>
        <v>29339</v>
      </c>
      <c r="T169" s="3">
        <f t="shared" si="24"/>
        <v>-4.5558086560363491E-3</v>
      </c>
      <c r="U169" s="3">
        <f>((T169*AB169)*D4)</f>
        <v>-0.46182506932465134</v>
      </c>
      <c r="V169" s="5">
        <f t="shared" si="25"/>
        <v>0</v>
      </c>
      <c r="W169" s="5">
        <f t="shared" si="26"/>
        <v>97407300</v>
      </c>
      <c r="X169">
        <v>5880</v>
      </c>
      <c r="Y169" s="5">
        <v>129458482780</v>
      </c>
      <c r="Z169" s="3">
        <f>((D2*AB169)/P169)/10</f>
        <v>0.46807014660987284</v>
      </c>
      <c r="AA169" s="3">
        <f>((M169*AB169)*D2)</f>
        <v>-0.2352286521787916</v>
      </c>
      <c r="AB169" s="3">
        <f>AE169/AE323</f>
        <v>7.9318541208513432E-3</v>
      </c>
      <c r="AC169" s="3">
        <f>AF169/AF323</f>
        <v>7.8761415579057387E-3</v>
      </c>
      <c r="AD169" s="5">
        <f t="shared" si="27"/>
        <v>282866784874.29999</v>
      </c>
      <c r="AE169" s="5">
        <f t="shared" si="28"/>
        <v>282866784874.29999</v>
      </c>
      <c r="AF169" s="5">
        <f t="shared" si="29"/>
        <v>283514077288.20001</v>
      </c>
      <c r="AG169">
        <f t="shared" si="30"/>
        <v>0</v>
      </c>
      <c r="AH169" t="str">
        <f t="shared" si="31"/>
        <v>DAM200</v>
      </c>
      <c r="AI169">
        <f t="shared" si="32"/>
        <v>0</v>
      </c>
      <c r="AJ169">
        <f t="shared" si="33"/>
        <v>0</v>
      </c>
      <c r="AK169" t="str">
        <f>IF(Q169&lt;4829,"down",IF(Q169=4829,4829,IF(Q169&gt;4829,"up")))</f>
        <v>down</v>
      </c>
    </row>
    <row r="170" spans="1:37" x14ac:dyDescent="0.25">
      <c r="A170">
        <f>IF(X170=2880,2880,"Error")</f>
        <v>2880</v>
      </c>
      <c r="B170" t="str">
        <f>IF(K170&lt;20.25,"down",IF(K170=20.25,"low",IF(K170=20.4,"high",IF(AND(K170&gt;20.25,K170&lt;20.4),"normal","up"))))</f>
        <v>normal</v>
      </c>
      <c r="C170" t="str">
        <f>IF(K170&lt;20.25,"down",IF(K170=20.25,"low",IF(K170=20.4,"high",IF(AND(K170&gt;20.25,K170&lt;20.4),"normal","up"))))</f>
        <v>normal</v>
      </c>
      <c r="D170" t="str">
        <f>IF(K170&lt;20.25,"down",IF(K170=20.25,"low",IF(K170=20.4,"high",IF(AND(K170&gt;20.25,K170&lt;20.4),"normal","up"))))</f>
        <v>normal</v>
      </c>
      <c r="E170" t="str">
        <f>IF(K170&lt;19.95,"down",IF(K170=19.95,"low",IF(K170=20.45,"high",IF(AND(K170&gt;19.95,K170&lt;20.45),"normal","up"))))</f>
        <v>normal</v>
      </c>
      <c r="F170" t="str">
        <f>IF(P170&lt;20.3,"PVP-down",IF(P170=20.3,20.3,IF(P170&gt;20.3,"PVP-up")))</f>
        <v>PVP-down</v>
      </c>
      <c r="G170" t="str">
        <f>IF(R170&lt;10370,"PVV-down",IF(R170=10370,10370,IF(R170&gt;10370,"PVV-up")))</f>
        <v>PVV-up</v>
      </c>
      <c r="H170" s="3">
        <f t="shared" si="23"/>
        <v>2.2215211698080493E-3</v>
      </c>
      <c r="I170">
        <f>[1]!'2880.PreviousPrice'</f>
        <v>20.3</v>
      </c>
      <c r="J170">
        <f>[1]!'2880.PreOpenPrice'</f>
        <v>20.149999999999999</v>
      </c>
      <c r="K170">
        <f>[1]!'2880.Open'</f>
        <v>20.3</v>
      </c>
      <c r="L170">
        <f>[1]!'2880.Change'</f>
        <v>-0.15</v>
      </c>
      <c r="M170">
        <f>[1]!'2880.ChangePercent'</f>
        <v>-7.4000000000000003E-3</v>
      </c>
      <c r="N170">
        <f>[1]!'2880.BidPrice'</f>
        <v>20.149999999999999</v>
      </c>
      <c r="O170">
        <f>[1]!'2880.AskPrice'</f>
        <v>20.2</v>
      </c>
      <c r="P170">
        <f>[1]!'2880.Price'</f>
        <v>20.149999999999999</v>
      </c>
      <c r="Q170">
        <f>[1]!'2880.Volume'</f>
        <v>1679</v>
      </c>
      <c r="R170">
        <f>[1]!'2880.CumulativeVolume'</f>
        <v>27042</v>
      </c>
      <c r="S170">
        <f>[1]!'2880.PreviousVolume'</f>
        <v>17268</v>
      </c>
      <c r="T170" s="3">
        <f t="shared" si="24"/>
        <v>-7.3891625615764593E-3</v>
      </c>
      <c r="U170" s="3">
        <f>((T170*AB170)*D4)</f>
        <v>-0.64951427194783495</v>
      </c>
      <c r="V170" s="5">
        <f t="shared" si="25"/>
        <v>33831850</v>
      </c>
      <c r="W170" s="5">
        <f t="shared" si="26"/>
        <v>0</v>
      </c>
      <c r="X170">
        <v>2880</v>
      </c>
      <c r="Y170" s="5">
        <v>121727401780</v>
      </c>
      <c r="Z170" s="3">
        <f>((D2*AB170)/P170)/10</f>
        <v>0.44011764678587639</v>
      </c>
      <c r="AA170" s="3">
        <f>((M170*AB170)*D2)</f>
        <v>-0.65625942312242036</v>
      </c>
      <c r="AB170" s="3">
        <f>AE170/AE323</f>
        <v>6.8779049036260349E-3</v>
      </c>
      <c r="AC170" s="3">
        <f>AF170/AF323</f>
        <v>6.8647270775522729E-3</v>
      </c>
      <c r="AD170" s="5">
        <f t="shared" si="27"/>
        <v>245280714586.70001</v>
      </c>
      <c r="AE170" s="5">
        <f t="shared" si="28"/>
        <v>245280714586.70001</v>
      </c>
      <c r="AF170" s="5">
        <f t="shared" si="29"/>
        <v>247106625613.39999</v>
      </c>
      <c r="AG170" t="str">
        <f t="shared" si="30"/>
        <v>DBM200</v>
      </c>
      <c r="AH170">
        <f t="shared" si="31"/>
        <v>0</v>
      </c>
      <c r="AI170">
        <f t="shared" si="32"/>
        <v>0</v>
      </c>
      <c r="AJ170">
        <f t="shared" si="33"/>
        <v>0</v>
      </c>
      <c r="AK170" t="str">
        <f>IF(Q170&lt;622,"down",IF(Q170=622,622,IF(Q170&gt;622,"up")))</f>
        <v>up</v>
      </c>
    </row>
    <row r="171" spans="1:37" x14ac:dyDescent="0.25">
      <c r="A171">
        <f>IF(X171=2885,2885,"Error")</f>
        <v>2885</v>
      </c>
      <c r="B171" t="str">
        <f>IF(K171&lt;19,"down",IF(K171=19,"low",IF(K171=19.4,"high",IF(AND(K171&gt;19,K171&lt;19.4),"normal","up"))))</f>
        <v>normal</v>
      </c>
      <c r="C171" t="str">
        <f>IF(K171&lt;19,"down",IF(K171=19,"low",IF(K171=19.4,"high",IF(AND(K171&gt;19,K171&lt;19.4),"normal","up"))))</f>
        <v>normal</v>
      </c>
      <c r="D171" t="str">
        <f>IF(K171&lt;19,"down",IF(K171=19,"low",IF(K171=19.4,"high",IF(AND(K171&gt;19,K171&lt;19.4),"normal","up"))))</f>
        <v>normal</v>
      </c>
      <c r="E171" t="str">
        <f>IF(K171&lt;17.9,"down",IF(K171=17.9,"low",IF(K171=19.4,"high",IF(AND(K171&gt;17.9,K171&lt;19.4),"normal","up"))))</f>
        <v>normal</v>
      </c>
      <c r="F171">
        <f>IF(P171&lt;19.15,"PVP-down",IF(P171=19.15,19.15,IF(P171&gt;19.15,"PVP-up")))</f>
        <v>19.149999999999999</v>
      </c>
      <c r="G171" t="str">
        <f>IF(R171&lt;15019,"PVV-down",IF(R171=15019,15019,IF(R171&gt;15019,"PVV-up")))</f>
        <v>PVV-up</v>
      </c>
      <c r="H171" s="3">
        <f t="shared" si="23"/>
        <v>2.5140927800244299E-3</v>
      </c>
      <c r="I171">
        <f>[1]!'2885.PreviousPrice'</f>
        <v>19.149999999999999</v>
      </c>
      <c r="J171">
        <f>[1]!'2885.PreOpenPrice'</f>
        <v>19.149999999999999</v>
      </c>
      <c r="K171">
        <f>[1]!'2885.Open'</f>
        <v>19.3</v>
      </c>
      <c r="L171">
        <f>[1]!'2885.Change'</f>
        <v>0</v>
      </c>
      <c r="M171">
        <f>[1]!'2885.ChangePercent'</f>
        <v>0</v>
      </c>
      <c r="N171">
        <f>[1]!'2885.BidPrice'</f>
        <v>19.149999999999999</v>
      </c>
      <c r="O171">
        <f>[1]!'2885.AskPrice'</f>
        <v>19.2</v>
      </c>
      <c r="P171">
        <f>[1]!'2885.Price'</f>
        <v>19.149999999999999</v>
      </c>
      <c r="Q171">
        <f>[1]!'2885.Volume'</f>
        <v>2182</v>
      </c>
      <c r="R171">
        <f>[1]!'2885.CumulativeVolume'</f>
        <v>29341</v>
      </c>
      <c r="S171">
        <f>[1]!'2885.PreviousVolume'</f>
        <v>66511</v>
      </c>
      <c r="T171" s="3">
        <f t="shared" si="24"/>
        <v>-7.772020725388711E-3</v>
      </c>
      <c r="U171" s="3">
        <f>((T171*AB171)*D4)</f>
        <v>-0.62248144917850934</v>
      </c>
      <c r="V171" s="5">
        <f t="shared" si="25"/>
        <v>41785299.999999993</v>
      </c>
      <c r="W171" s="5">
        <f t="shared" si="26"/>
        <v>0</v>
      </c>
      <c r="X171">
        <v>2885</v>
      </c>
      <c r="Y171" s="5">
        <v>116706114560</v>
      </c>
      <c r="Z171" s="3">
        <f>((D2*AB171)/P171)/10</f>
        <v>0.42196267853068853</v>
      </c>
      <c r="AA171" s="3">
        <f>((M171*AB171)*D2)</f>
        <v>0</v>
      </c>
      <c r="AB171" s="3">
        <f>AE171/AE323</f>
        <v>6.2669344608831121E-3</v>
      </c>
      <c r="AC171" s="3">
        <f>AF171/AF323</f>
        <v>6.2087085587483604E-3</v>
      </c>
      <c r="AD171" s="5">
        <f t="shared" si="27"/>
        <v>223492209382.39999</v>
      </c>
      <c r="AE171" s="5">
        <f t="shared" si="28"/>
        <v>223492209382.39999</v>
      </c>
      <c r="AF171" s="5">
        <f t="shared" si="29"/>
        <v>223492209382.39999</v>
      </c>
      <c r="AG171">
        <f t="shared" si="30"/>
        <v>0</v>
      </c>
      <c r="AH171">
        <f t="shared" si="31"/>
        <v>0</v>
      </c>
      <c r="AI171">
        <f t="shared" si="32"/>
        <v>0</v>
      </c>
      <c r="AJ171">
        <f t="shared" si="33"/>
        <v>0</v>
      </c>
      <c r="AK171" t="str">
        <f>IF(Q171&lt;4402,"down",IF(Q171=4402,4402,IF(Q171&gt;4402,"up")))</f>
        <v>down</v>
      </c>
    </row>
    <row r="172" spans="1:37" x14ac:dyDescent="0.25">
      <c r="A172">
        <f>IF(X172=5876,5876,"Error")</f>
        <v>5876</v>
      </c>
      <c r="B172" t="str">
        <f>IF(K172&lt;42.65,"down",IF(K172=42.65,"low",IF(K172=43.95,"high",IF(AND(K172&gt;42.65,K172&lt;43.95),"normal","up"))))</f>
        <v>normal</v>
      </c>
      <c r="C172" t="str">
        <f>IF(K172&lt;42.65,"down",IF(K172=42.65,"low",IF(K172=43.95,"high",IF(AND(K172&gt;42.65,K172&lt;43.95),"normal","up"))))</f>
        <v>normal</v>
      </c>
      <c r="D172" t="str">
        <f>IF(K172&lt;42.65,"down",IF(K172=42.65,"low",IF(K172=43.95,"high",IF(AND(K172&gt;42.65,K172&lt;43.95),"normal","up"))))</f>
        <v>normal</v>
      </c>
      <c r="E172" t="str">
        <f>IF(K172&lt;41.4,"down",IF(K172=41.4,"low",IF(K172=43.95,"high",IF(AND(K172&gt;41.4,K172&lt;43.95),"normal","up"))))</f>
        <v>normal</v>
      </c>
      <c r="F172" t="str">
        <f>IF(P172&lt;43.7,"PVP-down",IF(P172=43.7,43.7,IF(P172&gt;43.7,"PVP-up")))</f>
        <v>PVP-down</v>
      </c>
      <c r="G172" t="str">
        <f>IF(R172&lt;715,"PVV-down",IF(R172=715,715,IF(R172&gt;715,"PVV-up")))</f>
        <v>PVV-up</v>
      </c>
      <c r="H172" s="3">
        <f t="shared" si="23"/>
        <v>1.0224019969782511E-3</v>
      </c>
      <c r="I172">
        <f>[1]!'5876.PreviousPrice'</f>
        <v>43.7</v>
      </c>
      <c r="J172">
        <f>[1]!'5876.PreOpenPrice'</f>
        <v>43.4</v>
      </c>
      <c r="K172">
        <f>[1]!'5876.Open'</f>
        <v>43.45</v>
      </c>
      <c r="L172">
        <f>[1]!'5876.Change'</f>
        <v>-0.3</v>
      </c>
      <c r="M172">
        <f>[1]!'5876.ChangePercent'</f>
        <v>-6.8999999999999999E-3</v>
      </c>
      <c r="N172">
        <f>[1]!'5876.BidPrice'</f>
        <v>43.4</v>
      </c>
      <c r="O172">
        <f>[1]!'5876.AskPrice'</f>
        <v>43.55</v>
      </c>
      <c r="P172">
        <f>[1]!'5876.Price'</f>
        <v>43.4</v>
      </c>
      <c r="Q172">
        <f>[1]!'5876.Volume'</f>
        <v>452</v>
      </c>
      <c r="R172">
        <f>[1]!'5876.CumulativeVolume'</f>
        <v>4582</v>
      </c>
      <c r="S172">
        <f>[1]!'5876.PreviousVolume'</f>
        <v>4076</v>
      </c>
      <c r="T172" s="3">
        <f t="shared" si="24"/>
        <v>-1.1507479861911222E-3</v>
      </c>
      <c r="U172" s="3">
        <f>((T172*AB172)*D4)</f>
        <v>-8.0210906274386817E-2</v>
      </c>
      <c r="V172" s="5">
        <f t="shared" si="25"/>
        <v>19616800</v>
      </c>
      <c r="W172" s="5">
        <f t="shared" si="26"/>
        <v>0</v>
      </c>
      <c r="X172">
        <v>5876</v>
      </c>
      <c r="Y172" s="5">
        <v>44816031400</v>
      </c>
      <c r="Z172" s="3">
        <f>((D2*AB172)/P172)/10</f>
        <v>0.16203686260960415</v>
      </c>
      <c r="AA172" s="3">
        <f>((M172*AB172)*D2)</f>
        <v>-0.48523558877072059</v>
      </c>
      <c r="AB172" s="3">
        <f>AE172/AE323</f>
        <v>5.4540094906598575E-3</v>
      </c>
      <c r="AC172" s="3">
        <f>AF172/AF323</f>
        <v>5.4406867022644143E-3</v>
      </c>
      <c r="AD172" s="5">
        <f t="shared" si="27"/>
        <v>194501576276</v>
      </c>
      <c r="AE172" s="5">
        <f t="shared" si="28"/>
        <v>194501576276</v>
      </c>
      <c r="AF172" s="5">
        <f t="shared" si="29"/>
        <v>195846057218.00003</v>
      </c>
      <c r="AG172" t="str">
        <f t="shared" si="30"/>
        <v>DBM200</v>
      </c>
      <c r="AH172">
        <f t="shared" si="31"/>
        <v>0</v>
      </c>
      <c r="AI172">
        <f t="shared" si="32"/>
        <v>0</v>
      </c>
      <c r="AJ172">
        <f t="shared" si="33"/>
        <v>0</v>
      </c>
      <c r="AK172" t="str">
        <f>IF(Q172&lt;31,"down",IF(Q172=31,31,IF(Q172&gt;31,"up")))</f>
        <v>up</v>
      </c>
    </row>
    <row r="173" spans="1:37" x14ac:dyDescent="0.25">
      <c r="A173">
        <f>IF(X173=2801,2801,"Error")</f>
        <v>2801</v>
      </c>
      <c r="B173" t="str">
        <f>IF(K173&lt;19.2,"down",IF(K173=19.2,"low",IF(K173=19.4,"high",IF(AND(K173&gt;19.2,K173&lt;19.4),"normal","up"))))</f>
        <v>down</v>
      </c>
      <c r="C173" t="str">
        <f>IF(K173&lt;19.2,"down",IF(K173=19.2,"low",IF(K173=19.4,"high",IF(AND(K173&gt;19.2,K173&lt;19.4),"normal","up"))))</f>
        <v>down</v>
      </c>
      <c r="D173" t="str">
        <f>IF(K173&lt;19.2,"down",IF(K173=19.2,"low",IF(K173=19.4,"high",IF(AND(K173&gt;19.2,K173&lt;19.4),"normal","up"))))</f>
        <v>down</v>
      </c>
      <c r="E173" t="str">
        <f>IF(K173&lt;18.8,"down",IF(K173=18.8,"low",IF(K173=19.4,"high",IF(AND(K173&gt;18.8,K173&lt;19.4),"normal","up"))))</f>
        <v>down</v>
      </c>
      <c r="F173" t="str">
        <f>IF(P173&lt;19.3,"PVP-down",IF(P173=19.3,19.3,IF(P173&gt;19.3,"PVP-up")))</f>
        <v>PVP-down</v>
      </c>
      <c r="G173" t="str">
        <f>IF(R173&lt;4175,"PVV-down",IF(R173=4175,4175,IF(R173&gt;4175,"PVV-up")))</f>
        <v>PVV-up</v>
      </c>
      <c r="H173" s="3">
        <f t="shared" si="23"/>
        <v>1.2548432191270842E-3</v>
      </c>
      <c r="I173">
        <f>[1]!'2801.PreviousPrice'</f>
        <v>19.399999999999999</v>
      </c>
      <c r="J173">
        <f>[1]!'2801.PreOpenPrice'</f>
        <v>18.3</v>
      </c>
      <c r="K173">
        <f>[1]!'2801.Open'</f>
        <v>18.45</v>
      </c>
      <c r="L173">
        <f>[1]!'2801.Change'</f>
        <v>0.05</v>
      </c>
      <c r="M173">
        <f>[1]!'2801.ChangePercent'</f>
        <v>2.7000000000000001E-3</v>
      </c>
      <c r="N173">
        <f>[1]!'2801.BidPrice'</f>
        <v>18.3</v>
      </c>
      <c r="O173">
        <f>[1]!'2801.AskPrice'</f>
        <v>18.350000000000001</v>
      </c>
      <c r="P173">
        <f>[1]!'2801.Price'</f>
        <v>18.3</v>
      </c>
      <c r="Q173">
        <f>[1]!'2801.Volume'</f>
        <v>851</v>
      </c>
      <c r="R173">
        <f>[1]!'2801.CumulativeVolume'</f>
        <v>12530</v>
      </c>
      <c r="S173">
        <f>[1]!'2801.PreviousVolume'</f>
        <v>11064</v>
      </c>
      <c r="T173" s="3">
        <f t="shared" si="24"/>
        <v>-8.1300813008129309E-3</v>
      </c>
      <c r="U173" s="3">
        <f>((T173*AB173)*D4)</f>
        <v>-0.53239952039234073</v>
      </c>
      <c r="V173" s="5">
        <f t="shared" si="25"/>
        <v>15573300.000000002</v>
      </c>
      <c r="W173" s="5">
        <f t="shared" si="26"/>
        <v>0</v>
      </c>
      <c r="X173">
        <v>2801</v>
      </c>
      <c r="Y173" s="5">
        <v>99853111600</v>
      </c>
      <c r="Z173" s="3">
        <f>((D2*AB173)/P173)/10</f>
        <v>0.36102895370317578</v>
      </c>
      <c r="AA173" s="3">
        <f>((M173*AB173)*D2)</f>
        <v>0.17838440602473915</v>
      </c>
      <c r="AB173" s="3">
        <f>AE173/AE323</f>
        <v>5.1239567649822527E-3</v>
      </c>
      <c r="AC173" s="3">
        <f>AF173/AF323</f>
        <v>5.3814860411655575E-3</v>
      </c>
      <c r="AD173" s="5">
        <f t="shared" si="27"/>
        <v>182731194228</v>
      </c>
      <c r="AE173" s="5">
        <f t="shared" si="28"/>
        <v>182731194228</v>
      </c>
      <c r="AF173" s="5">
        <f t="shared" si="29"/>
        <v>193715036503.99997</v>
      </c>
      <c r="AG173">
        <f t="shared" si="30"/>
        <v>0</v>
      </c>
      <c r="AH173">
        <f t="shared" si="31"/>
        <v>0</v>
      </c>
      <c r="AI173">
        <f t="shared" si="32"/>
        <v>0</v>
      </c>
      <c r="AJ173" t="str">
        <f t="shared" si="33"/>
        <v>UBM200</v>
      </c>
      <c r="AK173" t="str">
        <f>IF(Q173&lt;320,"down",IF(Q173=320,320,IF(Q173&gt;320,"up")))</f>
        <v>up</v>
      </c>
    </row>
    <row r="174" spans="1:37" x14ac:dyDescent="0.25">
      <c r="A174">
        <f>IF(X174=2887,2887,"Error")</f>
        <v>2887</v>
      </c>
      <c r="B174" t="str">
        <f>IF(K174&lt;13.8,"down",IF(K174=13.8,"low",IF(K174=13.95,"high",IF(AND(K174&gt;13.8,K174&lt;13.95),"normal","up"))))</f>
        <v>down</v>
      </c>
      <c r="C174" t="str">
        <f>IF(K174&lt;13.8,"down",IF(K174=13.8,"low",IF(K174=13.95,"high",IF(AND(K174&gt;13.8,K174&lt;13.95),"normal","up"))))</f>
        <v>down</v>
      </c>
      <c r="D174" t="str">
        <f>IF(K174&lt;13.8,"down",IF(K174=13.8,"low",IF(K174=13.95,"high",IF(AND(K174&gt;13.8,K174&lt;13.95),"normal","up"))))</f>
        <v>down</v>
      </c>
      <c r="E174" t="str">
        <f>IF(K174&lt;13.3,"down",IF(K174=13.3,"low",IF(K174=13.95,"high",IF(AND(K174&gt;13.3,K174&lt;13.95),"normal","up"))))</f>
        <v>down</v>
      </c>
      <c r="F174" t="str">
        <f>IF(P174&lt;13.9,"PVP-down",IF(P174=13.9,13.9,IF(P174&gt;13.9,"PVP-up")))</f>
        <v>PVP-down</v>
      </c>
      <c r="G174" t="str">
        <f>IF(R174&lt;30408,"PVV-down",IF(R174=30408,30408,IF(R174&gt;30408,"PVV-up")))</f>
        <v>PVV-up</v>
      </c>
      <c r="H174" s="3">
        <f t="shared" si="23"/>
        <v>4.5403697522397816E-3</v>
      </c>
      <c r="I174">
        <f>[1]!'2887.PreviousPrice'</f>
        <v>13.85</v>
      </c>
      <c r="J174">
        <f>[1]!'2887.PreOpenPrice'</f>
        <v>13.1</v>
      </c>
      <c r="K174">
        <f>[1]!'2887.Open'</f>
        <v>13.1</v>
      </c>
      <c r="L174">
        <f>[1]!'2887.Change'</f>
        <v>0.1</v>
      </c>
      <c r="M174">
        <f>[1]!'2887.ChangePercent'</f>
        <v>7.7000000000000002E-3</v>
      </c>
      <c r="N174">
        <f>[1]!'2887.BidPrice'</f>
        <v>13.1</v>
      </c>
      <c r="O174">
        <f>[1]!'2887.AskPrice'</f>
        <v>13.15</v>
      </c>
      <c r="P174">
        <f>[1]!'2887.Price'</f>
        <v>13.1</v>
      </c>
      <c r="Q174">
        <f>[1]!'2887.Volume'</f>
        <v>2693</v>
      </c>
      <c r="R174">
        <f>[1]!'2887.CumulativeVolume'</f>
        <v>52033</v>
      </c>
      <c r="S174">
        <f>[1]!'2887.PreviousVolume'</f>
        <v>56414</v>
      </c>
      <c r="T174" s="3">
        <f t="shared" si="24"/>
        <v>0</v>
      </c>
      <c r="U174" s="3">
        <f>((T174*AB174)*D4)</f>
        <v>0</v>
      </c>
      <c r="V174" s="5">
        <f t="shared" si="25"/>
        <v>35278299.999999993</v>
      </c>
      <c r="W174" s="5">
        <f t="shared" si="26"/>
        <v>0</v>
      </c>
      <c r="X174">
        <v>2887</v>
      </c>
      <c r="Y174" s="5">
        <v>114600798700</v>
      </c>
      <c r="Z174" s="3">
        <f>((D2*AB174)/P174)/10</f>
        <v>0.41435069759217463</v>
      </c>
      <c r="AA174" s="3">
        <f>((M174*AB174)*D2)</f>
        <v>0.41795554866122658</v>
      </c>
      <c r="AB174" s="3">
        <f>AE174/AE323</f>
        <v>4.2097053966631669E-3</v>
      </c>
      <c r="AC174" s="3">
        <f>AF174/AF323</f>
        <v>4.4093675656374214E-3</v>
      </c>
      <c r="AD174" s="5">
        <f t="shared" si="27"/>
        <v>150127046297</v>
      </c>
      <c r="AE174" s="5">
        <f t="shared" si="28"/>
        <v>150127046297</v>
      </c>
      <c r="AF174" s="5">
        <f t="shared" si="29"/>
        <v>158722106199.5</v>
      </c>
      <c r="AG174">
        <f t="shared" si="30"/>
        <v>0</v>
      </c>
      <c r="AH174">
        <f t="shared" si="31"/>
        <v>0</v>
      </c>
      <c r="AI174">
        <f t="shared" si="32"/>
        <v>0</v>
      </c>
      <c r="AJ174" t="str">
        <f t="shared" si="33"/>
        <v>UBM200</v>
      </c>
      <c r="AK174" t="str">
        <f>IF(Q174&lt;11417,"down",IF(Q174=11417,11417,IF(Q174&gt;11417,"up")))</f>
        <v>down</v>
      </c>
    </row>
    <row r="175" spans="1:37" x14ac:dyDescent="0.25">
      <c r="A175">
        <f>IF(X175=2883,2883,"Error")</f>
        <v>2883</v>
      </c>
      <c r="B175" t="str">
        <f>IF(K175&lt;8.66,"down",IF(K175=8.66,"low",IF(K175=8.76,"high",IF(AND(K175&gt;8.66,K175&lt;8.76),"normal","up"))))</f>
        <v>normal</v>
      </c>
      <c r="C175" t="str">
        <f>IF(K175&lt;8.66,"down",IF(K175=8.66,"low",IF(K175=8.76,"high",IF(AND(K175&gt;8.66,K175&lt;8.76),"normal","up"))))</f>
        <v>normal</v>
      </c>
      <c r="D175" t="str">
        <f>IF(K175&lt;8.66,"down",IF(K175=8.66,"low",IF(K175=8.76,"high",IF(AND(K175&gt;8.66,K175&lt;8.76),"normal","up"))))</f>
        <v>normal</v>
      </c>
      <c r="E175" t="str">
        <f>IF(K175&lt;8.52,"down",IF(K175=8.52,"low",IF(K175=8.78,"high",IF(AND(K175&gt;8.52,K175&lt;8.78),"normal","up"))))</f>
        <v>normal</v>
      </c>
      <c r="F175" t="str">
        <f>IF(P175&lt;8.72,"PVP-down",IF(P175=8.72,8.72,IF(P175&gt;8.72,"PVP-up")))</f>
        <v>PVP-down</v>
      </c>
      <c r="G175" t="str">
        <f>IF(R175&lt;6217,"PVV-down",IF(R175=6217,6217,IF(R175&gt;6217,"PVV-up")))</f>
        <v>PVV-up</v>
      </c>
      <c r="H175" s="3">
        <f t="shared" si="23"/>
        <v>1.0294502389076303E-3</v>
      </c>
      <c r="I175">
        <f>[1]!'2883.PreviousPrice'</f>
        <v>8.7200000000000006</v>
      </c>
      <c r="J175">
        <f>[1]!'2883.PreOpenPrice'</f>
        <v>8.68</v>
      </c>
      <c r="K175">
        <f>[1]!'2883.Open'</f>
        <v>8.73</v>
      </c>
      <c r="L175">
        <f>[1]!'2883.Change'</f>
        <v>-0.04</v>
      </c>
      <c r="M175">
        <f>[1]!'2883.ChangePercent'</f>
        <v>-4.5999999999999999E-3</v>
      </c>
      <c r="N175">
        <f>[1]!'2883.BidPrice'</f>
        <v>8.68</v>
      </c>
      <c r="O175">
        <f>[1]!'2883.AskPrice'</f>
        <v>8.69</v>
      </c>
      <c r="P175">
        <f>[1]!'2883.Price'</f>
        <v>8.68</v>
      </c>
      <c r="Q175">
        <f>[1]!'2883.Volume'</f>
        <v>1507</v>
      </c>
      <c r="R175">
        <f>[1]!'2883.CumulativeVolume'</f>
        <v>15412</v>
      </c>
      <c r="S175">
        <f>[1]!'2883.PreviousVolume'</f>
        <v>21869</v>
      </c>
      <c r="T175" s="3">
        <f t="shared" si="24"/>
        <v>-5.7273768613975611E-3</v>
      </c>
      <c r="U175" s="3">
        <f>((T175*AB175)*D4)</f>
        <v>-0.26672222285186342</v>
      </c>
      <c r="V175" s="5">
        <f t="shared" si="25"/>
        <v>13080760</v>
      </c>
      <c r="W175" s="5">
        <f t="shared" si="26"/>
        <v>0</v>
      </c>
      <c r="X175">
        <v>2883</v>
      </c>
      <c r="Y175" s="5">
        <v>149710975990</v>
      </c>
      <c r="Z175" s="3">
        <f>((D2*AB175)/P175)/10</f>
        <v>0.54129506986291021</v>
      </c>
      <c r="AA175" s="3">
        <f>((M175*AB175)*D2)</f>
        <v>-0.21612829549486279</v>
      </c>
      <c r="AB175" s="3">
        <f>AE175/AE323</f>
        <v>3.6438973215527069E-3</v>
      </c>
      <c r="AC175" s="3">
        <f>AF175/AF323</f>
        <v>3.6266781178084743E-3</v>
      </c>
      <c r="AD175" s="5">
        <f t="shared" si="27"/>
        <v>129949127159.31999</v>
      </c>
      <c r="AE175" s="5">
        <f t="shared" si="28"/>
        <v>129949127159.31999</v>
      </c>
      <c r="AF175" s="5">
        <f t="shared" si="29"/>
        <v>130547971063.28</v>
      </c>
      <c r="AG175" t="str">
        <f t="shared" si="30"/>
        <v>DBM200</v>
      </c>
      <c r="AH175">
        <f t="shared" si="31"/>
        <v>0</v>
      </c>
      <c r="AI175">
        <f t="shared" si="32"/>
        <v>0</v>
      </c>
      <c r="AJ175">
        <f t="shared" si="33"/>
        <v>0</v>
      </c>
      <c r="AK175" t="str">
        <f>IF(Q175&lt;442,"down",IF(Q175=442,442,IF(Q175&gt;442,"up")))</f>
        <v>up</v>
      </c>
    </row>
    <row r="176" spans="1:37" x14ac:dyDescent="0.25">
      <c r="A176">
        <f>IF(X176=2890,2890,"Error")</f>
        <v>2890</v>
      </c>
      <c r="B176" t="str">
        <f>IF(K176&lt;10.85,"down",IF(K176=10.85,"low",IF(K176=11,"high",IF(AND(K176&gt;10.85,K176&lt;11),"normal","up"))))</f>
        <v>high</v>
      </c>
      <c r="C176" t="str">
        <f>IF(K176&lt;10.85,"down",IF(K176=10.85,"low",IF(K176=11,"high",IF(AND(K176&gt;10.85,K176&lt;11),"normal","up"))))</f>
        <v>high</v>
      </c>
      <c r="D176" t="str">
        <f>IF(K176&lt;10.85,"down",IF(K176=10.85,"low",IF(K176=11,"high",IF(AND(K176&gt;10.85,K176&lt;11),"normal","up"))))</f>
        <v>high</v>
      </c>
      <c r="E176" t="str">
        <f>IF(K176&lt;10.65,"down",IF(K176=10.65,"low",IF(K176=11,"high",IF(AND(K176&gt;10.65,K176&lt;11),"normal","up"))))</f>
        <v>high</v>
      </c>
      <c r="F176" t="str">
        <f>IF(P176&lt;11,"PVP-down",IF(P176=11,11,IF(P176&gt;11,"PVP-up")))</f>
        <v>PVP-down</v>
      </c>
      <c r="G176" t="str">
        <f>IF(R176&lt;9246,"PVV-down",IF(R176=9246,9246,IF(R176&gt;9246,"PVV-up")))</f>
        <v>PVV-up</v>
      </c>
      <c r="H176" s="3">
        <f t="shared" si="23"/>
        <v>1.9876688640358517E-3</v>
      </c>
      <c r="I176">
        <f>[1]!'2890.PreviousPrice'</f>
        <v>10.95</v>
      </c>
      <c r="J176">
        <f>[1]!'2890.PreOpenPrice'</f>
        <v>10.9</v>
      </c>
      <c r="K176">
        <f>[1]!'2890.Open'</f>
        <v>11</v>
      </c>
      <c r="L176">
        <f>[1]!'2890.Change'</f>
        <v>-0.05</v>
      </c>
      <c r="M176">
        <f>[1]!'2890.ChangePercent'</f>
        <v>-4.5999999999999999E-3</v>
      </c>
      <c r="N176">
        <f>[1]!'2890.BidPrice'</f>
        <v>10.9</v>
      </c>
      <c r="O176">
        <f>[1]!'2890.AskPrice'</f>
        <v>10.95</v>
      </c>
      <c r="P176">
        <f>[1]!'2890.Price'</f>
        <v>10.9</v>
      </c>
      <c r="Q176">
        <f>[1]!'2890.Volume'</f>
        <v>1626</v>
      </c>
      <c r="R176">
        <f>[1]!'2890.CumulativeVolume'</f>
        <v>22423</v>
      </c>
      <c r="S176">
        <f>[1]!'2890.PreviousVolume'</f>
        <v>18839</v>
      </c>
      <c r="T176" s="3">
        <f t="shared" si="24"/>
        <v>-9.0909090909090592E-3</v>
      </c>
      <c r="U176" s="3">
        <f>((T176*AB176)*D4)</f>
        <v>-0.40060242087584902</v>
      </c>
      <c r="V176" s="5">
        <f t="shared" si="25"/>
        <v>17723400</v>
      </c>
      <c r="W176" s="5">
        <f t="shared" si="26"/>
        <v>0</v>
      </c>
      <c r="X176">
        <v>2890</v>
      </c>
      <c r="Y176" s="5">
        <v>112810541060</v>
      </c>
      <c r="Z176" s="3">
        <f>((D2*AB176)/P176)/10</f>
        <v>0.40787784129083604</v>
      </c>
      <c r="AA176" s="3">
        <f>((M176*AB176)*D2)</f>
        <v>-0.20450994962322522</v>
      </c>
      <c r="AB176" s="3">
        <f>AE176/AE323</f>
        <v>3.4480133938809628E-3</v>
      </c>
      <c r="AC176" s="3">
        <f>AF176/AF323</f>
        <v>3.4316476276120998E-3</v>
      </c>
      <c r="AD176" s="5">
        <f t="shared" si="27"/>
        <v>122963489755.39999</v>
      </c>
      <c r="AE176" s="5">
        <f t="shared" si="28"/>
        <v>122963489755.39999</v>
      </c>
      <c r="AF176" s="5">
        <f t="shared" si="29"/>
        <v>123527542460.7</v>
      </c>
      <c r="AG176" t="str">
        <f t="shared" si="30"/>
        <v>DBM200</v>
      </c>
      <c r="AH176">
        <f t="shared" si="31"/>
        <v>0</v>
      </c>
      <c r="AI176">
        <f t="shared" si="32"/>
        <v>0</v>
      </c>
      <c r="AJ176">
        <f t="shared" si="33"/>
        <v>0</v>
      </c>
      <c r="AK176" t="str">
        <f>IF(Q176&lt;311,"down",IF(Q176=311,311,IF(Q176&gt;311,"up")))</f>
        <v>up</v>
      </c>
    </row>
    <row r="177" spans="1:37" x14ac:dyDescent="0.25">
      <c r="A177">
        <f>IF(X177=2888,2888,"Error")</f>
        <v>2888</v>
      </c>
      <c r="B177" t="str">
        <f>IF(K177&lt;8.4,"down",IF(K177=8.4,"low",IF(K177=8.6,"high",IF(AND(K177&gt;8.4,K177&lt;8.6),"normal","up"))))</f>
        <v>normal</v>
      </c>
      <c r="C177" t="str">
        <f>IF(K177&lt;8.4,"down",IF(K177=8.4,"low",IF(K177=8.6,"high",IF(AND(K177&gt;8.4,K177&lt;8.6),"normal","up"))))</f>
        <v>normal</v>
      </c>
      <c r="D177" t="str">
        <f>IF(K177&lt;8.4,"down",IF(K177=8.4,"low",IF(K177=8.6,"high",IF(AND(K177&gt;8.4,K177&lt;8.6),"normal","up"))))</f>
        <v>normal</v>
      </c>
      <c r="E177" t="str">
        <f>IF(K177&lt;8.13,"down",IF(K177=8.13,"low",IF(K177=8.6,"high",IF(AND(K177&gt;8.13,K177&lt;8.6),"normal","up"))))</f>
        <v>normal</v>
      </c>
      <c r="F177" t="str">
        <f>IF(P177&lt;8.51,"PVP-down",IF(P177=8.51,8.51,IF(P177&gt;8.51,"PVP-up")))</f>
        <v>PVP-down</v>
      </c>
      <c r="G177" t="str">
        <f>IF(R177&lt;21084,"PVV-down",IF(R177=21084,21084,IF(R177&gt;21084,"PVV-up")))</f>
        <v>PVV-up</v>
      </c>
      <c r="H177" s="3">
        <f t="shared" si="23"/>
        <v>4.7615978335603599E-3</v>
      </c>
      <c r="I177">
        <f>[1]!'2888.PreviousPrice'</f>
        <v>8.5299999999999994</v>
      </c>
      <c r="J177">
        <f>[1]!'2888.PreOpenPrice'</f>
        <v>8.5</v>
      </c>
      <c r="K177">
        <f>[1]!'2888.Open'</f>
        <v>8.59</v>
      </c>
      <c r="L177">
        <f>[1]!'2888.Change'</f>
        <v>-0.03</v>
      </c>
      <c r="M177">
        <f>[1]!'2888.ChangePercent'</f>
        <v>-3.5000000000000001E-3</v>
      </c>
      <c r="N177">
        <f>[1]!'2888.BidPrice'</f>
        <v>8.5</v>
      </c>
      <c r="O177">
        <f>[1]!'2888.AskPrice'</f>
        <v>8.51</v>
      </c>
      <c r="P177">
        <f>[1]!'2888.Price'</f>
        <v>8.5</v>
      </c>
      <c r="Q177">
        <f>[1]!'2888.Volume'</f>
        <v>3393</v>
      </c>
      <c r="R177">
        <f>[1]!'2888.CumulativeVolume'</f>
        <v>62355</v>
      </c>
      <c r="S177">
        <f>[1]!'2888.PreviousVolume'</f>
        <v>115569</v>
      </c>
      <c r="T177" s="3">
        <f t="shared" si="24"/>
        <v>-1.0477299185098935E-2</v>
      </c>
      <c r="U177" s="3">
        <f>((T177*AB177)*D4)</f>
        <v>-0.41794286687443716</v>
      </c>
      <c r="V177" s="5">
        <f t="shared" si="25"/>
        <v>28840500</v>
      </c>
      <c r="W177" s="5">
        <f t="shared" si="26"/>
        <v>0</v>
      </c>
      <c r="X177">
        <v>2888</v>
      </c>
      <c r="Y177" s="5">
        <v>130953940630</v>
      </c>
      <c r="Z177" s="3">
        <f>((D2*AB177)/P177)/10</f>
        <v>0.47347712466234954</v>
      </c>
      <c r="AA177" s="3">
        <f>((M177*AB177)*D2)</f>
        <v>-0.14085944458704897</v>
      </c>
      <c r="AB177" s="3">
        <f>AE177/AE323</f>
        <v>3.1212622612300069E-3</v>
      </c>
      <c r="AC177" s="3">
        <f>AF177/AF323</f>
        <v>3.1031765745441666E-3</v>
      </c>
      <c r="AD177" s="5">
        <f t="shared" si="27"/>
        <v>111310849535.5</v>
      </c>
      <c r="AE177" s="5">
        <f t="shared" si="28"/>
        <v>111310849535.5</v>
      </c>
      <c r="AF177" s="5">
        <f t="shared" si="29"/>
        <v>111703711357.38998</v>
      </c>
      <c r="AG177" t="str">
        <f t="shared" si="30"/>
        <v>DBM200</v>
      </c>
      <c r="AH177">
        <f t="shared" si="31"/>
        <v>0</v>
      </c>
      <c r="AI177">
        <f t="shared" si="32"/>
        <v>0</v>
      </c>
      <c r="AJ177">
        <f t="shared" si="33"/>
        <v>0</v>
      </c>
      <c r="AK177" t="str">
        <f>IF(Q177&lt;10810,"down",IF(Q177=10810,10810,IF(Q177&gt;10810,"up")))</f>
        <v>down</v>
      </c>
    </row>
    <row r="178" spans="1:37" x14ac:dyDescent="0.25">
      <c r="A178">
        <f>IF(X178=2823,2823,"Error")</f>
        <v>2823</v>
      </c>
      <c r="B178" t="str">
        <f>IF(K178&lt;20.3,"down",IF(K178=20.3,"low",IF(K178=20.7,"high",IF(AND(K178&gt;20.3,K178&lt;20.7),"normal","up"))))</f>
        <v>up</v>
      </c>
      <c r="C178" t="str">
        <f>IF(K178&lt;20.3,"down",IF(K178=20.3,"low",IF(K178=20.7,"high",IF(AND(K178&gt;20.3,K178&lt;20.7),"normal","up"))))</f>
        <v>up</v>
      </c>
      <c r="D178" t="str">
        <f>IF(K178&lt;20.3,"down",IF(K178=20.3,"low",IF(K178=20.7,"high",IF(AND(K178&gt;20.3,K178&lt;20.7),"normal","up"))))</f>
        <v>up</v>
      </c>
      <c r="E178" t="str">
        <f>IF(K178&lt;20.05,"down",IF(K178=20.05,"low",IF(K178=20.7,"high",IF(AND(K178&gt;20.05,K178&lt;20.7),"normal","up"))))</f>
        <v>up</v>
      </c>
      <c r="F178" t="str">
        <f>IF(P178&lt;20.55,"PVP-down",IF(P178=20.55,20.55,IF(P178&gt;20.55,"PVP-up")))</f>
        <v>PVP-down</v>
      </c>
      <c r="G178" t="str">
        <f>IF(R178&lt;2568,"PVV-down",IF(R178=2568,2568,IF(R178&gt;2568,"PVV-up")))</f>
        <v>PVV-up</v>
      </c>
      <c r="H178" s="3">
        <f t="shared" si="23"/>
        <v>2.1856883855949621E-3</v>
      </c>
      <c r="I178">
        <f>[1]!'2823.PreviousPrice'</f>
        <v>20.55</v>
      </c>
      <c r="J178">
        <f>[1]!'2823.PreOpenPrice'</f>
        <v>20.45</v>
      </c>
      <c r="K178">
        <f>[1]!'2823.Open'</f>
        <v>20.75</v>
      </c>
      <c r="L178">
        <f>[1]!'2823.Change'</f>
        <v>-0.1</v>
      </c>
      <c r="M178">
        <f>[1]!'2823.ChangePercent'</f>
        <v>-4.8999999999999998E-3</v>
      </c>
      <c r="N178">
        <f>[1]!'2823.BidPrice'</f>
        <v>20.45</v>
      </c>
      <c r="O178">
        <f>[1]!'2823.AskPrice'</f>
        <v>20.5</v>
      </c>
      <c r="P178">
        <f>[1]!'2823.Price'</f>
        <v>20.45</v>
      </c>
      <c r="Q178">
        <f>[1]!'2823.Volume'</f>
        <v>1416</v>
      </c>
      <c r="R178">
        <f>[1]!'2823.CumulativeVolume'</f>
        <v>9756</v>
      </c>
      <c r="S178">
        <f>[1]!'2823.PreviousVolume'</f>
        <v>8299</v>
      </c>
      <c r="T178" s="3">
        <f t="shared" si="24"/>
        <v>-1.445783132530124E-2</v>
      </c>
      <c r="U178" s="3">
        <f>((T178*AB178)*D4)</f>
        <v>-0.47294440016989536</v>
      </c>
      <c r="V178" s="5">
        <f t="shared" si="25"/>
        <v>28957200</v>
      </c>
      <c r="W178" s="5">
        <f t="shared" si="26"/>
        <v>0</v>
      </c>
      <c r="X178">
        <v>2823</v>
      </c>
      <c r="Y178" s="5">
        <v>44635823040</v>
      </c>
      <c r="Z178" s="3">
        <f>((D2*AB178)/P178)/10</f>
        <v>0.16138530118485866</v>
      </c>
      <c r="AA178" s="3">
        <f>((M178*AB178)*D2)</f>
        <v>-0.16171614105228763</v>
      </c>
      <c r="AB178" s="3">
        <f>AE178/AE323</f>
        <v>2.5595853957114628E-3</v>
      </c>
      <c r="AC178" s="3">
        <f>AF178/AF323</f>
        <v>2.5482043850819629E-3</v>
      </c>
      <c r="AD178" s="5">
        <f t="shared" si="27"/>
        <v>91280258116.800003</v>
      </c>
      <c r="AE178" s="5">
        <f t="shared" si="28"/>
        <v>91280258116.800003</v>
      </c>
      <c r="AF178" s="5">
        <f t="shared" si="29"/>
        <v>91726616347.199997</v>
      </c>
      <c r="AG178" t="str">
        <f t="shared" si="30"/>
        <v>DBM200</v>
      </c>
      <c r="AH178">
        <f t="shared" si="31"/>
        <v>0</v>
      </c>
      <c r="AI178">
        <f t="shared" si="32"/>
        <v>0</v>
      </c>
      <c r="AJ178">
        <f t="shared" si="33"/>
        <v>0</v>
      </c>
      <c r="AK178" t="str">
        <f>IF(Q178&lt;142,"down",IF(Q178=142,142,IF(Q178&gt;142,"up")))</f>
        <v>up</v>
      </c>
    </row>
    <row r="179" spans="1:37" x14ac:dyDescent="0.25">
      <c r="A179">
        <f>IF(X179=2834,2834,"Error")</f>
        <v>2834</v>
      </c>
      <c r="B179" t="str">
        <f>IF(K179&lt;10.1,"down",IF(K179=10.1,"low",IF(K179=10.25,"high",IF(AND(K179&gt;10.1,K179&lt;10.25),"normal","up"))))</f>
        <v>normal</v>
      </c>
      <c r="C179" t="str">
        <f>IF(K179&lt;10.1,"down",IF(K179=10.1,"low",IF(K179=10.25,"high",IF(AND(K179&gt;10.1,K179&lt;10.25),"normal","up"))))</f>
        <v>normal</v>
      </c>
      <c r="D179" t="str">
        <f>IF(K179&lt;10.1,"down",IF(K179=10.1,"low",IF(K179=10.25,"high",IF(AND(K179&gt;10.1,K179&lt;10.25),"normal","up"))))</f>
        <v>normal</v>
      </c>
      <c r="E179" t="str">
        <f>IF(K179&lt;10,"down",IF(K179=10,"low",IF(K179=10.25,"high",IF(AND(K179&gt;10,K179&lt;10.25),"normal","up"))))</f>
        <v>normal</v>
      </c>
      <c r="F179" t="str">
        <f>IF(P179&lt;10.2,"PVP-down",IF(P179=10.2,10.2,IF(P179&gt;10.2,"PVP-up")))</f>
        <v>PVP-down</v>
      </c>
      <c r="G179" t="str">
        <f>IF(R179&lt;7816,"PVV-down",IF(R179=7816,7816,IF(R179&gt;7816,"PVV-up")))</f>
        <v>PVV-up</v>
      </c>
      <c r="H179" s="3">
        <f t="shared" si="23"/>
        <v>1.6291398862490253E-3</v>
      </c>
      <c r="I179">
        <f>[1]!'2834.PreviousPrice'</f>
        <v>10.199999999999999</v>
      </c>
      <c r="J179">
        <f>[1]!'2834.PreOpenPrice'</f>
        <v>10.1</v>
      </c>
      <c r="K179">
        <f>[1]!'2834.Open'</f>
        <v>10.15</v>
      </c>
      <c r="L179">
        <f>[1]!'2834.Change'</f>
        <v>-0.1</v>
      </c>
      <c r="M179">
        <f>[1]!'2834.ChangePercent'</f>
        <v>-9.7999999999999997E-3</v>
      </c>
      <c r="N179">
        <f>[1]!'2834.BidPrice'</f>
        <v>10.1</v>
      </c>
      <c r="O179">
        <f>[1]!'2834.AskPrice'</f>
        <v>10.15</v>
      </c>
      <c r="P179">
        <f>[1]!'2834.Price'</f>
        <v>10.1</v>
      </c>
      <c r="Q179">
        <f>[1]!'2834.Volume'</f>
        <v>1017</v>
      </c>
      <c r="R179">
        <f>[1]!'2834.CumulativeVolume'</f>
        <v>11619</v>
      </c>
      <c r="S179">
        <f>[1]!'2834.PreviousVolume'</f>
        <v>13060</v>
      </c>
      <c r="T179" s="3">
        <f t="shared" si="24"/>
        <v>-4.9261083743843059E-3</v>
      </c>
      <c r="U179" s="3">
        <f>((T179*AB179)*D4)</f>
        <v>-0.12716446996132577</v>
      </c>
      <c r="V179" s="5">
        <f t="shared" si="25"/>
        <v>10271699.999999998</v>
      </c>
      <c r="W179" s="5">
        <f t="shared" si="26"/>
        <v>0</v>
      </c>
      <c r="X179">
        <v>2834</v>
      </c>
      <c r="Y179" s="5">
        <v>71319842440</v>
      </c>
      <c r="Z179" s="3">
        <f>((D2*AB179)/P179)/10</f>
        <v>0.25786405332599116</v>
      </c>
      <c r="AA179" s="3">
        <f>((M179*AB179)*D2)</f>
        <v>-0.25523383998206606</v>
      </c>
      <c r="AB179" s="3">
        <f>AE179/AE323</f>
        <v>2.0198750880971853E-3</v>
      </c>
      <c r="AC179" s="3">
        <f>AF179/AF323</f>
        <v>2.0209214439163223E-3</v>
      </c>
      <c r="AD179" s="5">
        <f t="shared" si="27"/>
        <v>72033040864.399994</v>
      </c>
      <c r="AE179" s="5">
        <f t="shared" si="28"/>
        <v>72033040864.399994</v>
      </c>
      <c r="AF179" s="5">
        <f t="shared" si="29"/>
        <v>72746239288.800003</v>
      </c>
      <c r="AG179" t="str">
        <f t="shared" si="30"/>
        <v>DBM200</v>
      </c>
      <c r="AH179">
        <f t="shared" si="31"/>
        <v>0</v>
      </c>
      <c r="AI179">
        <f t="shared" si="32"/>
        <v>0</v>
      </c>
      <c r="AJ179">
        <f t="shared" si="33"/>
        <v>0</v>
      </c>
      <c r="AK179" t="str">
        <f>IF(Q179&lt;183,"down",IF(Q179=183,183,IF(Q179&gt;183,"up")))</f>
        <v>up</v>
      </c>
    </row>
    <row r="180" spans="1:37" x14ac:dyDescent="0.25">
      <c r="A180">
        <f>IF(X180=2812,2812,"Error")</f>
        <v>2812</v>
      </c>
      <c r="B180" t="str">
        <f>IF(K180&lt;11.9,"down",IF(K180=11.9,"low",IF(K180=12,"high",IF(AND(K180&gt;11.9,K180&lt;12),"normal","up"))))</f>
        <v>high</v>
      </c>
      <c r="C180" t="str">
        <f>IF(K180&lt;11.9,"down",IF(K180=11.9,"low",IF(K180=12,"high",IF(AND(K180&gt;11.9,K180&lt;12),"normal","up"))))</f>
        <v>high</v>
      </c>
      <c r="D180" t="str">
        <f>IF(K180&lt;11.9,"down",IF(K180=11.9,"low",IF(K180=12,"high",IF(AND(K180&gt;11.9,K180&lt;12),"normal","up"))))</f>
        <v>high</v>
      </c>
      <c r="E180" t="str">
        <f>IF(K180&lt;11.65,"down",IF(K180=11.65,"low",IF(K180=12,"high",IF(AND(K180&gt;11.65,K180&lt;12),"normal","up"))))</f>
        <v>high</v>
      </c>
      <c r="F180" t="str">
        <f>IF(P180&lt;12,"PVP-down",IF(P180=12,12,IF(P180&gt;12,"PVP-up")))</f>
        <v>PVP-down</v>
      </c>
      <c r="G180" t="str">
        <f>IF(R180&lt;3542,"PVV-down",IF(R180=3542,3542,IF(R180&gt;3542,"PVV-up")))</f>
        <v>PVV-up</v>
      </c>
      <c r="H180" s="3">
        <f t="shared" si="23"/>
        <v>1.4333342265698233E-3</v>
      </c>
      <c r="I180">
        <f>[1]!'2812.PreviousPrice'</f>
        <v>12</v>
      </c>
      <c r="J180">
        <f>[1]!'2812.PreOpenPrice'</f>
        <v>11.95</v>
      </c>
      <c r="K180">
        <f>[1]!'2812.Open'</f>
        <v>12</v>
      </c>
      <c r="L180">
        <f>[1]!'2812.Change'</f>
        <v>-0.05</v>
      </c>
      <c r="M180">
        <f>[1]!'2812.ChangePercent'</f>
        <v>-4.1999999999999997E-3</v>
      </c>
      <c r="N180">
        <f>[1]!'2812.BidPrice'</f>
        <v>11.95</v>
      </c>
      <c r="O180">
        <f>[1]!'2812.AskPrice'</f>
        <v>12</v>
      </c>
      <c r="P180">
        <f>[1]!'2812.Price'</f>
        <v>11.95</v>
      </c>
      <c r="Q180">
        <f>[1]!'2812.Volume'</f>
        <v>218</v>
      </c>
      <c r="R180">
        <f>[1]!'2812.CumulativeVolume'</f>
        <v>5316</v>
      </c>
      <c r="S180">
        <f>[1]!'2812.PreviousVolume'</f>
        <v>7005</v>
      </c>
      <c r="T180" s="3">
        <f t="shared" si="24"/>
        <v>-4.1666666666667256E-3</v>
      </c>
      <c r="U180" s="3">
        <f>((T180*AB180)*D4)</f>
        <v>-6.6179615379637458E-2</v>
      </c>
      <c r="V180" s="5">
        <f t="shared" si="25"/>
        <v>2605100</v>
      </c>
      <c r="W180" s="5">
        <f t="shared" si="26"/>
        <v>0</v>
      </c>
      <c r="X180">
        <v>2812</v>
      </c>
      <c r="Y180" s="5">
        <v>37088348980</v>
      </c>
      <c r="Z180" s="3">
        <f>((D2*AB180)/P180)/10</f>
        <v>0.13409665069293289</v>
      </c>
      <c r="AA180" s="3">
        <f>((M180*AB180)*D2)</f>
        <v>-6.7303108982783008E-2</v>
      </c>
      <c r="AB180" s="3">
        <f>AE180/AE323</f>
        <v>1.2427912019393112E-3</v>
      </c>
      <c r="AC180" s="3">
        <f>AF180/AF323</f>
        <v>1.2363961162403141E-3</v>
      </c>
      <c r="AD180" s="5">
        <f t="shared" si="27"/>
        <v>44320577031.099998</v>
      </c>
      <c r="AE180" s="5">
        <f t="shared" si="28"/>
        <v>44320577031.099998</v>
      </c>
      <c r="AF180" s="5">
        <f t="shared" si="29"/>
        <v>44506018776</v>
      </c>
      <c r="AG180" t="str">
        <f t="shared" si="30"/>
        <v>DBM200</v>
      </c>
      <c r="AH180">
        <f t="shared" si="31"/>
        <v>0</v>
      </c>
      <c r="AI180">
        <f t="shared" si="32"/>
        <v>0</v>
      </c>
      <c r="AJ180">
        <f t="shared" si="33"/>
        <v>0</v>
      </c>
      <c r="AK180" t="str">
        <f>IF(Q180&lt;436,"down",IF(Q180=436,436,IF(Q180&gt;436,"up")))</f>
        <v>down</v>
      </c>
    </row>
    <row r="181" spans="1:37" x14ac:dyDescent="0.25">
      <c r="A181">
        <f>IF(X181=2809,2809,"Error")</f>
        <v>2809</v>
      </c>
      <c r="B181" t="str">
        <f>IF(K181&lt;36,"down",IF(K181=36,"low",IF(K181=36.45,"high",IF(AND(K181&gt;36,K181&lt;36.45),"normal","up"))))</f>
        <v>normal</v>
      </c>
      <c r="C181" t="str">
        <f>IF(K181&lt;36,"down",IF(K181=36,"low",IF(K181=36.45,"high",IF(AND(K181&gt;36,K181&lt;36.45),"normal","up"))))</f>
        <v>normal</v>
      </c>
      <c r="D181" t="str">
        <f>IF(K181&lt;36,"down",IF(K181=36,"low",IF(K181=36.45,"high",IF(AND(K181&gt;36,K181&lt;36.45),"normal","up"))))</f>
        <v>normal</v>
      </c>
      <c r="E181" t="str">
        <f>IF(K181&lt;35.8,"down",IF(K181=35.8,"low",IF(K181=37.2,"high",IF(AND(K181&gt;35.8,K181&lt;37.2),"normal","up"))))</f>
        <v>normal</v>
      </c>
      <c r="F181" t="str">
        <f>IF(P181&lt;36.15,"PVP-down",IF(P181=36.15,36.15,IF(P181&gt;36.15,"PVP-up")))</f>
        <v>PVP-down</v>
      </c>
      <c r="G181" t="str">
        <f>IF(R181&lt;258,"PVV-down",IF(R181=258,258,IF(R181&gt;258,"PVV-up")))</f>
        <v>PVV-up</v>
      </c>
      <c r="H181" s="3">
        <f t="shared" si="23"/>
        <v>1.3868645015054015E-3</v>
      </c>
      <c r="I181">
        <f>[1]!'2809.PreviousPrice'</f>
        <v>36.25</v>
      </c>
      <c r="J181">
        <f>[1]!'2809.PreOpenPrice'</f>
        <v>35.85</v>
      </c>
      <c r="K181">
        <f>[1]!'2809.Open'</f>
        <v>36.25</v>
      </c>
      <c r="L181">
        <f>[1]!'2809.Change'</f>
        <v>-0.4</v>
      </c>
      <c r="M181">
        <f>[1]!'2809.ChangePercent'</f>
        <v>-1.0999999999999999E-2</v>
      </c>
      <c r="N181">
        <f>[1]!'2809.BidPrice'</f>
        <v>35.85</v>
      </c>
      <c r="O181">
        <f>[1]!'2809.AskPrice'</f>
        <v>35.9</v>
      </c>
      <c r="P181">
        <f>[1]!'2809.Price'</f>
        <v>35.85</v>
      </c>
      <c r="Q181">
        <f>[1]!'2809.Volume'</f>
        <v>12</v>
      </c>
      <c r="R181">
        <f>[1]!'2809.CumulativeVolume'</f>
        <v>1555</v>
      </c>
      <c r="S181">
        <f>[1]!'2809.PreviousVolume'</f>
        <v>1114</v>
      </c>
      <c r="T181" s="3">
        <f t="shared" si="24"/>
        <v>-1.1034482758620651E-2</v>
      </c>
      <c r="U181" s="3">
        <f>((T181*AB181)*D4)</f>
        <v>-0.15895257810089275</v>
      </c>
      <c r="V181" s="5">
        <f t="shared" si="25"/>
        <v>430200.00000000006</v>
      </c>
      <c r="W181" s="5">
        <f t="shared" si="26"/>
        <v>0</v>
      </c>
      <c r="X181">
        <v>2809</v>
      </c>
      <c r="Y181" s="5">
        <v>11212342650</v>
      </c>
      <c r="Z181" s="3">
        <f>((D2*AB181)/P181)/10</f>
        <v>4.0539350958903854E-2</v>
      </c>
      <c r="AA181" s="3">
        <f>((M181*AB181)*D2)</f>
        <v>-0.15986693050643733</v>
      </c>
      <c r="AB181" s="3">
        <f>AE181/AE323</f>
        <v>1.1271410980895789E-3</v>
      </c>
      <c r="AC181" s="3">
        <f>AF181/AF323</f>
        <v>1.1291282093480745E-3</v>
      </c>
      <c r="AD181" s="5">
        <f t="shared" si="27"/>
        <v>40196248400.25</v>
      </c>
      <c r="AE181" s="5">
        <f t="shared" si="28"/>
        <v>40196248400.25</v>
      </c>
      <c r="AF181" s="5">
        <f t="shared" si="29"/>
        <v>40644742106.25</v>
      </c>
      <c r="AG181" t="str">
        <f t="shared" si="30"/>
        <v>DBM10-50</v>
      </c>
      <c r="AH181">
        <f t="shared" si="31"/>
        <v>0</v>
      </c>
      <c r="AI181">
        <f t="shared" si="32"/>
        <v>0</v>
      </c>
      <c r="AJ181">
        <f t="shared" si="33"/>
        <v>0</v>
      </c>
      <c r="AK181" t="str">
        <f>IF(Q181&lt;5,"down",IF(Q181=5,5,IF(Q181&gt;5,"up")))</f>
        <v>up</v>
      </c>
    </row>
    <row r="182" spans="1:37" x14ac:dyDescent="0.25">
      <c r="A182">
        <f>IF(X182=2845,2845,"Error")</f>
        <v>2845</v>
      </c>
      <c r="B182" t="str">
        <f>IF(K182&lt;11.25,"down",IF(K182=11.25,"low",IF(K182=11.35,"high",IF(AND(K182&gt;11.25,K182&lt;11.35),"normal","up"))))</f>
        <v>high</v>
      </c>
      <c r="C182" t="str">
        <f>IF(K182&lt;11.25,"down",IF(K182=11.25,"low",IF(K182=11.35,"high",IF(AND(K182&gt;11.25,K182&lt;11.35),"normal","up"))))</f>
        <v>high</v>
      </c>
      <c r="D182" t="str">
        <f>IF(K182&lt;11.25,"down",IF(K182=11.25,"low",IF(K182=11.35,"high",IF(AND(K182&gt;11.25,K182&lt;11.35),"normal","up"))))</f>
        <v>high</v>
      </c>
      <c r="E182" t="str">
        <f>IF(K182&lt;11,"down",IF(K182=11,"low",IF(K182=11.35,"high",IF(AND(K182&gt;11,K182&lt;11.35),"normal","up"))))</f>
        <v>high</v>
      </c>
      <c r="F182">
        <f>IF(P182&lt;11.3,"PVP-down",IF(P182=11.3,11.3,IF(P182&gt;11.3,"PVP-up")))</f>
        <v>11.3</v>
      </c>
      <c r="G182" t="str">
        <f>IF(R182&lt;1782,"PVV-down",IF(R182=1782,1782,IF(R182&gt;1782,"PVV-up")))</f>
        <v>PVV-up</v>
      </c>
      <c r="H182" s="3">
        <f t="shared" si="23"/>
        <v>6.6839115219408465E-4</v>
      </c>
      <c r="I182">
        <f>[1]!'2845.PreviousPrice'</f>
        <v>11.3</v>
      </c>
      <c r="J182">
        <f>[1]!'2845.PreOpenPrice'</f>
        <v>11.3</v>
      </c>
      <c r="K182">
        <f>[1]!'2845.Open'</f>
        <v>11.35</v>
      </c>
      <c r="L182">
        <f>[1]!'2845.Change'</f>
        <v>0</v>
      </c>
      <c r="M182">
        <f>[1]!'2845.ChangePercent'</f>
        <v>0</v>
      </c>
      <c r="N182">
        <f>[1]!'2845.BidPrice'</f>
        <v>11.3</v>
      </c>
      <c r="O182">
        <f>[1]!'2845.AskPrice'</f>
        <v>11.35</v>
      </c>
      <c r="P182">
        <f>[1]!'2845.Price'</f>
        <v>11.3</v>
      </c>
      <c r="Q182">
        <f>[1]!'2845.Volume'</f>
        <v>130</v>
      </c>
      <c r="R182">
        <f>[1]!'2845.CumulativeVolume'</f>
        <v>2243</v>
      </c>
      <c r="S182">
        <f>[1]!'2845.PreviousVolume'</f>
        <v>2226</v>
      </c>
      <c r="T182" s="3">
        <f t="shared" si="24"/>
        <v>-4.4052863436122407E-3</v>
      </c>
      <c r="U182" s="3">
        <f>((T182*AB182)*D4)</f>
        <v>-5.9866137944190392E-2</v>
      </c>
      <c r="V182" s="5">
        <f t="shared" si="25"/>
        <v>1469000</v>
      </c>
      <c r="W182" s="5">
        <f t="shared" si="26"/>
        <v>0</v>
      </c>
      <c r="X182">
        <v>2845</v>
      </c>
      <c r="Y182" s="5">
        <v>33558194070</v>
      </c>
      <c r="Z182" s="3">
        <f>((D2*AB182)/P182)/10</f>
        <v>0.12133302106591756</v>
      </c>
      <c r="AA182" s="3">
        <f>((M182*AB182)*D2)</f>
        <v>0</v>
      </c>
      <c r="AB182" s="3">
        <f>AE182/AE323</f>
        <v>1.0633342159491767E-3</v>
      </c>
      <c r="AC182" s="3">
        <f>AF182/AF323</f>
        <v>1.0534548092981512E-3</v>
      </c>
      <c r="AD182" s="5">
        <f t="shared" si="27"/>
        <v>37920759299.099998</v>
      </c>
      <c r="AE182" s="5">
        <f t="shared" si="28"/>
        <v>37920759299.099998</v>
      </c>
      <c r="AF182" s="5">
        <f t="shared" si="29"/>
        <v>37920759299.099998</v>
      </c>
      <c r="AG182">
        <f t="shared" si="30"/>
        <v>0</v>
      </c>
      <c r="AH182">
        <f t="shared" si="31"/>
        <v>0</v>
      </c>
      <c r="AI182">
        <f t="shared" si="32"/>
        <v>0</v>
      </c>
      <c r="AJ182">
        <f t="shared" si="33"/>
        <v>0</v>
      </c>
      <c r="AK182" t="str">
        <f>IF(Q182&lt;55,"down",IF(Q182=55,55,IF(Q182&gt;55,"up")))</f>
        <v>up</v>
      </c>
    </row>
    <row r="183" spans="1:37" x14ac:dyDescent="0.25">
      <c r="A183">
        <f>IF(X183=2889,2889,"Error")</f>
        <v>2889</v>
      </c>
      <c r="B183" t="str">
        <f>IF(K183&lt;11.75,"down",IF(K183=11.75,"low",IF(K183=11.85,"high",IF(AND(K183&gt;11.75,K183&lt;11.85),"normal","up"))))</f>
        <v>up</v>
      </c>
      <c r="C183" t="str">
        <f>IF(K183&lt;11.75,"down",IF(K183=11.75,"low",IF(K183=11.85,"high",IF(AND(K183&gt;11.75,K183&lt;11.85),"normal","up"))))</f>
        <v>up</v>
      </c>
      <c r="D183" t="str">
        <f>IF(K183&lt;11.75,"down",IF(K183=11.75,"low",IF(K183=11.85,"high",IF(AND(K183&gt;11.75,K183&lt;11.85),"normal","up"))))</f>
        <v>up</v>
      </c>
      <c r="E183" t="str">
        <f>IF(K183&lt;11.35,"down",IF(K183=11.35,"low",IF(K183=11.85,"high",IF(AND(K183&gt;11.35,K183&lt;11.85),"normal","up"))))</f>
        <v>up</v>
      </c>
      <c r="F183" t="str">
        <f>IF(P183&lt;11.8,"PVP-down",IF(P183=11.8,11.8,IF(P183&gt;11.8,"PVP-up")))</f>
        <v>PVP-up</v>
      </c>
      <c r="G183" t="str">
        <f>IF(R183&lt;4452,"PVV-down",IF(R183=4452,4452,IF(R183&gt;4452,"PVV-up")))</f>
        <v>PVV-up</v>
      </c>
      <c r="H183" s="3">
        <f t="shared" si="23"/>
        <v>2.6586475639051835E-3</v>
      </c>
      <c r="I183">
        <f>[1]!'2889.PreviousPrice'</f>
        <v>11.8</v>
      </c>
      <c r="J183">
        <f>[1]!'2889.PreOpenPrice'</f>
        <v>11.9</v>
      </c>
      <c r="K183">
        <f>[1]!'2889.Open'</f>
        <v>11.9</v>
      </c>
      <c r="L183">
        <f>[1]!'2889.Change'</f>
        <v>0.1</v>
      </c>
      <c r="M183">
        <f>[1]!'2889.ChangePercent'</f>
        <v>8.5000000000000006E-3</v>
      </c>
      <c r="N183">
        <f>[1]!'2889.BidPrice'</f>
        <v>11.85</v>
      </c>
      <c r="O183">
        <f>[1]!'2889.AskPrice'</f>
        <v>11.9</v>
      </c>
      <c r="P183">
        <f>[1]!'2889.Price'</f>
        <v>11.9</v>
      </c>
      <c r="Q183">
        <f>[1]!'2889.Volume'</f>
        <v>1948</v>
      </c>
      <c r="R183">
        <f>[1]!'2889.CumulativeVolume'</f>
        <v>7572</v>
      </c>
      <c r="S183">
        <f>[1]!'2889.PreviousVolume'</f>
        <v>6889</v>
      </c>
      <c r="T183" s="3">
        <f t="shared" si="24"/>
        <v>0</v>
      </c>
      <c r="U183" s="3">
        <f>((T183*AB183)*D4)</f>
        <v>0</v>
      </c>
      <c r="V183" s="5">
        <f t="shared" si="25"/>
        <v>0</v>
      </c>
      <c r="W183" s="5">
        <f t="shared" si="26"/>
        <v>23181200</v>
      </c>
      <c r="X183">
        <v>2889</v>
      </c>
      <c r="Y183" s="5">
        <v>28480645960</v>
      </c>
      <c r="Z183" s="3">
        <f>((D2*AB183)/P183)/10</f>
        <v>0.10297463591239134</v>
      </c>
      <c r="AA183" s="3">
        <f>((M183*AB183)*D2)</f>
        <v>0.10415884422538385</v>
      </c>
      <c r="AB183" s="3">
        <f>AE183/AE323</f>
        <v>9.5036308931088634E-4</v>
      </c>
      <c r="AC183" s="3">
        <f>AF183/AF323</f>
        <v>9.3362124955780111E-4</v>
      </c>
      <c r="AD183" s="5">
        <f t="shared" si="27"/>
        <v>33891968692.400002</v>
      </c>
      <c r="AE183" s="5">
        <f t="shared" si="28"/>
        <v>33891968692.400002</v>
      </c>
      <c r="AF183" s="5">
        <f t="shared" si="29"/>
        <v>33607162232.799999</v>
      </c>
      <c r="AG183">
        <f t="shared" si="30"/>
        <v>0</v>
      </c>
      <c r="AH183">
        <f t="shared" si="31"/>
        <v>0</v>
      </c>
      <c r="AI183" t="str">
        <f t="shared" si="32"/>
        <v>UAM200</v>
      </c>
      <c r="AJ183">
        <f t="shared" si="33"/>
        <v>0</v>
      </c>
      <c r="AK183" t="str">
        <f>IF(Q183&lt;312,"down",IF(Q183=312,312,IF(Q183&gt;312,"up")))</f>
        <v>up</v>
      </c>
    </row>
    <row r="184" spans="1:37" x14ac:dyDescent="0.25">
      <c r="A184">
        <f>IF(X184=2838,2838,"Error")</f>
        <v>2838</v>
      </c>
      <c r="B184" t="str">
        <f>IF(K184&lt;10.35,"down",IF(K184=10.35,"low",IF(K184=10.45,"high",IF(AND(K184&gt;10.35,K184&lt;10.45),"normal","up"))))</f>
        <v>high</v>
      </c>
      <c r="C184" t="str">
        <f>IF(K184&lt;10.35,"down",IF(K184=10.35,"low",IF(K184=10.45,"high",IF(AND(K184&gt;10.35,K184&lt;10.45),"normal","up"))))</f>
        <v>high</v>
      </c>
      <c r="D184" t="str">
        <f>IF(K184&lt;10.35,"down",IF(K184=10.35,"low",IF(K184=10.45,"high",IF(AND(K184&gt;10.35,K184&lt;10.45),"normal","up"))))</f>
        <v>high</v>
      </c>
      <c r="E184" t="str">
        <f>IF(K184&lt;10.25,"down",IF(K184=10.25,"low",IF(K184=10.45,"high",IF(AND(K184&gt;10.25,K184&lt;10.45),"normal","up"))))</f>
        <v>high</v>
      </c>
      <c r="F184" t="str">
        <f>IF(P184&lt;10.45,"PVP-down",IF(P184=10.45,10.45,IF(P184&gt;10.45,"PVP-up")))</f>
        <v>PVP-down</v>
      </c>
      <c r="G184" t="str">
        <f>IF(R184&lt;448,"PVV-down",IF(R184=448,448,IF(R184&gt;448,"PVV-up")))</f>
        <v>PVV-up</v>
      </c>
      <c r="H184" s="3">
        <f t="shared" si="23"/>
        <v>4.4156905225131726E-4</v>
      </c>
      <c r="I184">
        <f>[1]!'2838.PreviousPrice'</f>
        <v>10.45</v>
      </c>
      <c r="J184">
        <f>[1]!'2838.PreOpenPrice'</f>
        <v>10.35</v>
      </c>
      <c r="K184">
        <f>[1]!'2838.Open'</f>
        <v>10.45</v>
      </c>
      <c r="L184">
        <f>[1]!'2838.Change'</f>
        <v>-0.1</v>
      </c>
      <c r="M184">
        <f>[1]!'2838.ChangePercent'</f>
        <v>-9.5999999999999992E-3</v>
      </c>
      <c r="N184">
        <f>[1]!'2838.BidPrice'</f>
        <v>10.35</v>
      </c>
      <c r="O184">
        <f>[1]!'2838.AskPrice'</f>
        <v>10.4</v>
      </c>
      <c r="P184">
        <f>[1]!'2838.Price'</f>
        <v>10.35</v>
      </c>
      <c r="Q184">
        <f>[1]!'2838.Volume'</f>
        <v>60</v>
      </c>
      <c r="R184">
        <f>[1]!'2838.CumulativeVolume'</f>
        <v>1362</v>
      </c>
      <c r="S184">
        <f>[1]!'2838.PreviousVolume'</f>
        <v>834</v>
      </c>
      <c r="T184" s="3">
        <f t="shared" si="24"/>
        <v>-9.5693779904305887E-3</v>
      </c>
      <c r="U184" s="3">
        <f>((T184*AB184)*D4)</f>
        <v>-0.10947945165628099</v>
      </c>
      <c r="V184" s="5">
        <f t="shared" si="25"/>
        <v>621000</v>
      </c>
      <c r="W184" s="5">
        <f t="shared" si="26"/>
        <v>0</v>
      </c>
      <c r="X184">
        <v>2838</v>
      </c>
      <c r="Y184" s="5">
        <v>30844552920</v>
      </c>
      <c r="Z184" s="3">
        <f>((D2*AB184)/P184)/10</f>
        <v>0.11152157894446461</v>
      </c>
      <c r="AA184" s="3">
        <f>((M184*AB184)*D2)</f>
        <v>-0.11080784083922002</v>
      </c>
      <c r="AB184" s="3">
        <f>AE184/AE323</f>
        <v>8.9518252061052323E-4</v>
      </c>
      <c r="AC184" s="3">
        <f>AF184/AF323</f>
        <v>8.9543415425944177E-4</v>
      </c>
      <c r="AD184" s="5">
        <f t="shared" si="27"/>
        <v>31924112272.200001</v>
      </c>
      <c r="AE184" s="5">
        <f t="shared" si="28"/>
        <v>31924112272.200001</v>
      </c>
      <c r="AF184" s="5">
        <f t="shared" si="29"/>
        <v>32232557801.400002</v>
      </c>
      <c r="AG184" t="str">
        <f t="shared" si="30"/>
        <v>DBM50</v>
      </c>
      <c r="AH184">
        <f t="shared" si="31"/>
        <v>0</v>
      </c>
      <c r="AI184">
        <f t="shared" si="32"/>
        <v>0</v>
      </c>
      <c r="AJ184">
        <f t="shared" si="33"/>
        <v>0</v>
      </c>
      <c r="AK184" t="str">
        <f>IF(Q184&lt;0,"down",IF(Q184=0,0,IF(Q184&gt;0,"up")))</f>
        <v>up</v>
      </c>
    </row>
    <row r="185" spans="1:37" x14ac:dyDescent="0.25">
      <c r="A185">
        <f>IF(X185=6005,6005,"Error")</f>
        <v>6005</v>
      </c>
      <c r="B185" t="str">
        <f>IF(K185&lt;11.75,"down",IF(K185=11.75,"low",IF(K185=11.95,"high",IF(AND(K185&gt;11.75,K185&lt;11.95),"normal","up"))))</f>
        <v>normal</v>
      </c>
      <c r="C185" t="str">
        <f>IF(K185&lt;11.75,"down",IF(K185=11.75,"low",IF(K185=11.95,"high",IF(AND(K185&gt;11.75,K185&lt;11.95),"normal","up"))))</f>
        <v>normal</v>
      </c>
      <c r="D185" t="str">
        <f>IF(K185&lt;11.75,"down",IF(K185=11.75,"low",IF(K185=11.95,"high",IF(AND(K185&gt;11.75,K185&lt;11.95),"normal","up"))))</f>
        <v>normal</v>
      </c>
      <c r="E185" t="str">
        <f>IF(K185&lt;11.6,"down",IF(K185=11.6,"low",IF(K185=11.95,"high",IF(AND(K185&gt;11.6,K185&lt;11.95),"normal","up"))))</f>
        <v>normal</v>
      </c>
      <c r="F185" t="str">
        <f>IF(P185&lt;11.9,"PVP-down",IF(P185=11.9,11.9,IF(P185&gt;11.9,"PVP-up")))</f>
        <v>PVP-down</v>
      </c>
      <c r="G185" t="str">
        <f>IF(R185&lt;7501,"PVV-down",IF(R185=7501,7501,IF(R185&gt;7501,"PVV-up")))</f>
        <v>PVV-up</v>
      </c>
      <c r="H185" s="3">
        <f t="shared" si="23"/>
        <v>7.0546514710429029E-3</v>
      </c>
      <c r="I185">
        <f>[1]!'6005.PreviousPrice'</f>
        <v>11.85</v>
      </c>
      <c r="J185">
        <f>[1]!'6005.PreOpenPrice'</f>
        <v>11.8</v>
      </c>
      <c r="K185">
        <f>[1]!'6005.Open'</f>
        <v>11.85</v>
      </c>
      <c r="L185">
        <f>[1]!'6005.Change'</f>
        <v>-0.05</v>
      </c>
      <c r="M185">
        <f>[1]!'6005.ChangePercent'</f>
        <v>-4.1999999999999997E-3</v>
      </c>
      <c r="N185">
        <f>[1]!'6005.BidPrice'</f>
        <v>11.75</v>
      </c>
      <c r="O185">
        <f>[1]!'6005.AskPrice'</f>
        <v>11.8</v>
      </c>
      <c r="P185">
        <f>[1]!'6005.Price'</f>
        <v>11.8</v>
      </c>
      <c r="Q185">
        <f>[1]!'6005.Volume'</f>
        <v>474</v>
      </c>
      <c r="R185">
        <f>[1]!'6005.CumulativeVolume'</f>
        <v>15315</v>
      </c>
      <c r="S185">
        <f>[1]!'6005.PreviousVolume'</f>
        <v>20240</v>
      </c>
      <c r="T185" s="3">
        <f t="shared" si="24"/>
        <v>-4.2194092827003322E-3</v>
      </c>
      <c r="U185" s="3">
        <f>((T185*AB185)*D4)</f>
        <v>-3.8735143948286602E-2</v>
      </c>
      <c r="V185" s="5">
        <f t="shared" si="25"/>
        <v>0</v>
      </c>
      <c r="W185" s="5">
        <f t="shared" si="26"/>
        <v>5593200.0000000009</v>
      </c>
      <c r="X185">
        <v>6005</v>
      </c>
      <c r="Y185" s="5">
        <v>21709080970</v>
      </c>
      <c r="Z185" s="3">
        <f>((D2*AB185)/P185)/10</f>
        <v>7.8491362591214683E-2</v>
      </c>
      <c r="AA185" s="3">
        <f>((M185*AB185)*D2)</f>
        <v>-3.8900319300205995E-2</v>
      </c>
      <c r="AB185" s="3">
        <f>AE185/AE323</f>
        <v>7.1831710762861273E-4</v>
      </c>
      <c r="AC185" s="3">
        <f>AF185/AF323</f>
        <v>7.1465868217177855E-4</v>
      </c>
      <c r="AD185" s="5">
        <f t="shared" si="27"/>
        <v>25616715544.600002</v>
      </c>
      <c r="AE185" s="5">
        <f t="shared" si="28"/>
        <v>25616715544.600002</v>
      </c>
      <c r="AF185" s="5">
        <f t="shared" si="29"/>
        <v>25725260949.450001</v>
      </c>
      <c r="AG185">
        <f t="shared" si="30"/>
        <v>0</v>
      </c>
      <c r="AH185" t="str">
        <f t="shared" si="31"/>
        <v>DAM200</v>
      </c>
      <c r="AI185">
        <f t="shared" si="32"/>
        <v>0</v>
      </c>
      <c r="AJ185">
        <f t="shared" si="33"/>
        <v>0</v>
      </c>
      <c r="AK185" t="str">
        <f>IF(Q185&lt;4027,"down",IF(Q185=4027,4027,IF(Q185&gt;4027,"up")))</f>
        <v>down</v>
      </c>
    </row>
    <row r="186" spans="1:37" x14ac:dyDescent="0.25">
      <c r="A186">
        <f>IF(X186=2855,2855,"Error")</f>
        <v>2855</v>
      </c>
      <c r="B186" t="str">
        <f>IF(K186&lt;15.95,"down",IF(K186=15.95,"low",IF(K186=16.3,"high",IF(AND(K186&gt;15.95,K186&lt;16.3),"normal","up"))))</f>
        <v>normal</v>
      </c>
      <c r="C186" t="str">
        <f>IF(K186&lt;15.95,"down",IF(K186=15.95,"low",IF(K186=16.3,"high",IF(AND(K186&gt;15.95,K186&lt;16.3),"normal","up"))))</f>
        <v>normal</v>
      </c>
      <c r="D186" t="str">
        <f>IF(K186&lt;15.95,"down",IF(K186=15.95,"low",IF(K186=16.3,"high",IF(AND(K186&gt;15.95,K186&lt;16.3),"normal","up"))))</f>
        <v>normal</v>
      </c>
      <c r="E186" t="str">
        <f>IF(K186&lt;14.95,"down",IF(K186=14.95,"low",IF(K186=16.5,"high",IF(AND(K186&gt;14.95,K186&lt;16.5),"normal","up"))))</f>
        <v>normal</v>
      </c>
      <c r="F186" t="str">
        <f>IF(P186&lt;16.05,"PVP-down",IF(P186=16.05,16.05,IF(P186&gt;16.05,"PVP-up")))</f>
        <v>PVP-down</v>
      </c>
      <c r="G186" t="str">
        <f>IF(R186&lt;2832,"PVV-down",IF(R186=2832,2832,IF(R186&gt;2832,"PVV-up")))</f>
        <v>PVV-up</v>
      </c>
      <c r="H186" s="3">
        <f t="shared" si="23"/>
        <v>5.1851149125370938E-3</v>
      </c>
      <c r="I186">
        <f>[1]!'2855.PreviousPrice'</f>
        <v>16.05</v>
      </c>
      <c r="J186">
        <f>[1]!'2855.PreOpenPrice'</f>
        <v>15.85</v>
      </c>
      <c r="K186">
        <f>[1]!'2855.Open'</f>
        <v>16.25</v>
      </c>
      <c r="L186">
        <f>[1]!'2855.Change'</f>
        <v>-0.2</v>
      </c>
      <c r="M186">
        <f>[1]!'2855.ChangePercent'</f>
        <v>-1.2500000000000001E-2</v>
      </c>
      <c r="N186">
        <f>[1]!'2855.BidPrice'</f>
        <v>15.8</v>
      </c>
      <c r="O186">
        <f>[1]!'2855.AskPrice'</f>
        <v>15.9</v>
      </c>
      <c r="P186">
        <f>[1]!'2855.Price'</f>
        <v>15.85</v>
      </c>
      <c r="Q186">
        <f>[1]!'2855.Volume'</f>
        <v>135</v>
      </c>
      <c r="R186">
        <f>[1]!'2855.CumulativeVolume'</f>
        <v>7116</v>
      </c>
      <c r="S186">
        <f>[1]!'2855.PreviousVolume'</f>
        <v>13065</v>
      </c>
      <c r="T186" s="3">
        <f t="shared" si="24"/>
        <v>-2.4615384615384636E-2</v>
      </c>
      <c r="U186" s="3">
        <f>((T186*AB186)*D4)</f>
        <v>-0.19188610207108864</v>
      </c>
      <c r="V186" s="5">
        <f t="shared" si="25"/>
        <v>0</v>
      </c>
      <c r="W186" s="5">
        <f t="shared" si="26"/>
        <v>0</v>
      </c>
      <c r="X186">
        <v>2855</v>
      </c>
      <c r="Y186" s="5">
        <v>13723900280</v>
      </c>
      <c r="Z186" s="3">
        <f>((D2*AB186)/P186)/10</f>
        <v>4.9620139817607052E-2</v>
      </c>
      <c r="AA186" s="3">
        <f>((M186*AB186)*D2)</f>
        <v>-9.8309902013633974E-2</v>
      </c>
      <c r="AB186" s="3">
        <f>AE186/AE323</f>
        <v>6.0995751210568615E-4</v>
      </c>
      <c r="AC186" s="3">
        <f>AF186/AF323</f>
        <v>6.1191553060444611E-4</v>
      </c>
      <c r="AD186" s="5">
        <f t="shared" si="27"/>
        <v>21752381943.799999</v>
      </c>
      <c r="AE186" s="5">
        <f t="shared" si="28"/>
        <v>21752381943.799999</v>
      </c>
      <c r="AF186" s="5">
        <f t="shared" si="29"/>
        <v>22026859949.400002</v>
      </c>
      <c r="AG186">
        <f t="shared" si="30"/>
        <v>0</v>
      </c>
      <c r="AH186">
        <f t="shared" si="31"/>
        <v>0</v>
      </c>
      <c r="AI186">
        <f t="shared" si="32"/>
        <v>0</v>
      </c>
      <c r="AJ186">
        <f t="shared" si="33"/>
        <v>0</v>
      </c>
      <c r="AK186" t="str">
        <f>IF(Q186&lt;953,"down",IF(Q186=953,953,IF(Q186&gt;953,"up")))</f>
        <v>down</v>
      </c>
    </row>
    <row r="187" spans="1:37" x14ac:dyDescent="0.25">
      <c r="A187">
        <f>IF(X187=2867,2867,"Error")</f>
        <v>2867</v>
      </c>
      <c r="B187" t="str">
        <f>IF(K187&lt;9.51,"down",IF(K187=9.51,"low",IF(K187=9.66,"high",IF(AND(K187&gt;9.51,K187&lt;9.66),"normal","up"))))</f>
        <v>normal</v>
      </c>
      <c r="C187" t="str">
        <f>IF(K187&lt;9.51,"down",IF(K187=9.51,"low",IF(K187=9.66,"high",IF(AND(K187&gt;9.51,K187&lt;9.66),"normal","up"))))</f>
        <v>normal</v>
      </c>
      <c r="D187" t="str">
        <f>IF(K187&lt;9.51,"down",IF(K187=9.51,"low",IF(K187=9.66,"high",IF(AND(K187&gt;9.51,K187&lt;9.66),"normal","up"))))</f>
        <v>normal</v>
      </c>
      <c r="E187" t="str">
        <f>IF(K187&lt;9.31,"down",IF(K187=9.31,"low",IF(K187=9.66,"high",IF(AND(K187&gt;9.31,K187&lt;9.66),"normal","up"))))</f>
        <v>normal</v>
      </c>
      <c r="F187" t="str">
        <f>IF(P187&lt;9.64,"PVP-down",IF(P187=9.64,9.64,IF(P187&gt;9.64,"PVP-up")))</f>
        <v>PVP-up</v>
      </c>
      <c r="G187" t="str">
        <f>IF(R187&lt;400,"PVV-down",IF(R187=400,400,IF(R187&gt;400,"PVV-up")))</f>
        <v>PVV-up</v>
      </c>
      <c r="H187" s="3">
        <f t="shared" si="23"/>
        <v>1.0295233437063545E-3</v>
      </c>
      <c r="I187">
        <f>[1]!'2867.PreviousPrice'</f>
        <v>9.64</v>
      </c>
      <c r="J187">
        <f>[1]!'2867.PreOpenPrice'</f>
        <v>9.74</v>
      </c>
      <c r="K187">
        <f>[1]!'2867.Open'</f>
        <v>9.65</v>
      </c>
      <c r="L187">
        <f>[1]!'2867.Change'</f>
        <v>0.1</v>
      </c>
      <c r="M187">
        <f>[1]!'2867.ChangePercent'</f>
        <v>1.04E-2</v>
      </c>
      <c r="N187">
        <f>[1]!'2867.BidPrice'</f>
        <v>9.74</v>
      </c>
      <c r="O187">
        <f>[1]!'2867.AskPrice'</f>
        <v>9.75</v>
      </c>
      <c r="P187">
        <f>[1]!'2867.Price'</f>
        <v>9.74</v>
      </c>
      <c r="Q187">
        <f>[1]!'2867.Volume'</f>
        <v>58</v>
      </c>
      <c r="R187">
        <f>[1]!'2867.CumulativeVolume'</f>
        <v>2442</v>
      </c>
      <c r="S187">
        <f>[1]!'2867.PreviousVolume'</f>
        <v>1770</v>
      </c>
      <c r="T187" s="3">
        <f t="shared" si="24"/>
        <v>9.3264248704663065E-3</v>
      </c>
      <c r="U187" s="3">
        <f>((T187*AB187)*D4)</f>
        <v>7.7217135851667382E-2</v>
      </c>
      <c r="V187" s="5">
        <f t="shared" si="25"/>
        <v>564920</v>
      </c>
      <c r="W187" s="5">
        <f t="shared" si="26"/>
        <v>0</v>
      </c>
      <c r="X187">
        <v>2867</v>
      </c>
      <c r="Y187" s="5">
        <v>23719714710</v>
      </c>
      <c r="Z187" s="3">
        <f>((D2*AB187)/P187)/10</f>
        <v>8.5761010815501984E-2</v>
      </c>
      <c r="AA187" s="3">
        <f>((M187*AB187)*D2)</f>
        <v>8.68724735156709E-2</v>
      </c>
      <c r="AB187" s="3">
        <f>AE187/AE323</f>
        <v>6.4783018872575568E-4</v>
      </c>
      <c r="AC187" s="3">
        <f>AF187/AF323</f>
        <v>6.3522178011055379E-4</v>
      </c>
      <c r="AD187" s="5">
        <f t="shared" si="27"/>
        <v>23103002127.540001</v>
      </c>
      <c r="AE187" s="5">
        <f t="shared" si="28"/>
        <v>23103002127.540001</v>
      </c>
      <c r="AF187" s="5">
        <f t="shared" si="29"/>
        <v>22865804980.440002</v>
      </c>
      <c r="AG187">
        <f t="shared" si="30"/>
        <v>0</v>
      </c>
      <c r="AH187">
        <f t="shared" si="31"/>
        <v>0</v>
      </c>
      <c r="AI187">
        <f t="shared" si="32"/>
        <v>0</v>
      </c>
      <c r="AJ187" t="str">
        <f t="shared" si="33"/>
        <v>UBM50</v>
      </c>
      <c r="AK187" t="str">
        <f>IF(Q187&lt;10,"down",IF(Q187=10,10,IF(Q187&gt;10,"up")))</f>
        <v>up</v>
      </c>
    </row>
    <row r="188" spans="1:37" x14ac:dyDescent="0.25">
      <c r="A188">
        <f>IF(X188=2849,2849,"Error")</f>
        <v>2849</v>
      </c>
      <c r="B188" t="str">
        <f>IF(K188&lt;13.85,"down",IF(K188=13.85,"low",IF(K188=14.05,"high",IF(AND(K188&gt;13.85,K188&lt;14.05),"normal","up"))))</f>
        <v>normal</v>
      </c>
      <c r="C188" t="str">
        <f>IF(K188&lt;13.85,"down",IF(K188=13.85,"low",IF(K188=14.05,"high",IF(AND(K188&gt;13.85,K188&lt;14.05),"normal","up"))))</f>
        <v>normal</v>
      </c>
      <c r="D188" t="str">
        <f>IF(K188&lt;13.85,"down",IF(K188=13.85,"low",IF(K188=14.05,"high",IF(AND(K188&gt;13.85,K188&lt;14.05),"normal","up"))))</f>
        <v>normal</v>
      </c>
      <c r="E188" t="str">
        <f>IF(K188&lt;13.7,"down",IF(K188=13.7,"low",IF(K188=14.15,"high",IF(AND(K188&gt;13.7,K188&lt;14.15),"normal","up"))))</f>
        <v>normal</v>
      </c>
      <c r="F188" t="str">
        <f>IF(P188&lt;14,"PVP-down",IF(P188=14,14,IF(P188&gt;14,"PVP-up")))</f>
        <v>PVP-down</v>
      </c>
      <c r="G188" t="str">
        <f>IF(R188&lt;22,"PVV-down",IF(R188=22,22,IF(R188&gt;22,"PVV-up")))</f>
        <v>PVV-down</v>
      </c>
      <c r="H188" s="3">
        <f t="shared" si="23"/>
        <v>7.1504817087996454E-6</v>
      </c>
      <c r="I188">
        <f>[1]!'2849.PreviousPrice'</f>
        <v>13.95</v>
      </c>
      <c r="J188">
        <f>[1]!'2849.PreOpenPrice'</f>
        <v>13.95</v>
      </c>
      <c r="K188">
        <f>[1]!'2849.Open'</f>
        <v>14</v>
      </c>
      <c r="L188">
        <f>[1]!'2849.Change'</f>
        <v>0</v>
      </c>
      <c r="M188">
        <f>[1]!'2849.ChangePercent'</f>
        <v>0</v>
      </c>
      <c r="N188">
        <f>[1]!'2849.BidPrice'</f>
        <v>13.9</v>
      </c>
      <c r="O188">
        <f>[1]!'2849.AskPrice'</f>
        <v>13.95</v>
      </c>
      <c r="P188">
        <f>[1]!'2849.Price'</f>
        <v>13.95</v>
      </c>
      <c r="Q188">
        <f>[1]!'2849.Volume'</f>
        <v>1</v>
      </c>
      <c r="R188">
        <f>[1]!'2849.CumulativeVolume'</f>
        <v>14</v>
      </c>
      <c r="S188">
        <f>[1]!'2849.PreviousVolume'</f>
        <v>39</v>
      </c>
      <c r="T188" s="3">
        <f t="shared" si="24"/>
        <v>-3.5714285714286221E-3</v>
      </c>
      <c r="U188" s="3">
        <f>((T188*AB188)*D4)</f>
        <v>-3.4957388924899045E-2</v>
      </c>
      <c r="V188" s="5">
        <f t="shared" si="25"/>
        <v>0</v>
      </c>
      <c r="W188" s="5">
        <f t="shared" si="26"/>
        <v>13950</v>
      </c>
      <c r="X188">
        <v>2849</v>
      </c>
      <c r="Y188" s="5">
        <v>19579100500</v>
      </c>
      <c r="Z188" s="3">
        <f>((D2*AB188)/P188)/10</f>
        <v>7.0790204278064039E-2</v>
      </c>
      <c r="AA188" s="3">
        <f>((M188*AB188)*D2)</f>
        <v>0</v>
      </c>
      <c r="AB188" s="3">
        <f>AE188/AE323</f>
        <v>7.658781989134429E-4</v>
      </c>
      <c r="AC188" s="3">
        <f>AF188/AF323</f>
        <v>7.5876244729111133E-4</v>
      </c>
      <c r="AD188" s="5">
        <f t="shared" si="27"/>
        <v>27312845197.5</v>
      </c>
      <c r="AE188" s="5">
        <f t="shared" si="28"/>
        <v>27312845197.5</v>
      </c>
      <c r="AF188" s="5">
        <f t="shared" si="29"/>
        <v>27312845197.5</v>
      </c>
      <c r="AG188">
        <f t="shared" si="30"/>
        <v>0</v>
      </c>
      <c r="AH188">
        <f t="shared" si="31"/>
        <v>0</v>
      </c>
      <c r="AI188">
        <f t="shared" si="32"/>
        <v>0</v>
      </c>
      <c r="AJ188">
        <f t="shared" si="33"/>
        <v>0</v>
      </c>
      <c r="AK188">
        <f>IF(Q188&lt;1,"down",IF(Q188=1,1,IF(Q188&gt;1,"up")))</f>
        <v>1</v>
      </c>
    </row>
    <row r="189" spans="1:37" x14ac:dyDescent="0.25">
      <c r="A189">
        <f>IF(X189=2820,2820,"Error")</f>
        <v>2820</v>
      </c>
      <c r="B189" t="str">
        <f>IF(K189&lt;14.7,"down",IF(K189=14.7,"low",IF(K189=14.8,"high",IF(AND(K189&gt;14.7,K189&lt;14.8),"normal","up"))))</f>
        <v>high</v>
      </c>
      <c r="C189" t="str">
        <f>IF(K189&lt;14.7,"down",IF(K189=14.7,"low",IF(K189=14.8,"high",IF(AND(K189&gt;14.7,K189&lt;14.8),"normal","up"))))</f>
        <v>high</v>
      </c>
      <c r="D189" t="str">
        <f>IF(K189&lt;14.7,"down",IF(K189=14.7,"low",IF(K189=14.8,"high",IF(AND(K189&gt;14.7,K189&lt;14.8),"normal","up"))))</f>
        <v>high</v>
      </c>
      <c r="E189" t="str">
        <f>IF(K189&lt;14.55,"down",IF(K189=14.55,"low",IF(K189=14.85,"high",IF(AND(K189&gt;14.55,K189&lt;14.85),"normal","up"))))</f>
        <v>normal</v>
      </c>
      <c r="F189" t="str">
        <f>IF(P189&lt;14.75,"PVP-down",IF(P189=14.75,14.75,IF(P189&gt;14.75,"PVP-up")))</f>
        <v>PVP-up</v>
      </c>
      <c r="G189" t="str">
        <f>IF(R189&lt;240,"PVV-down",IF(R189=240,240,IF(R189&gt;240,"PVV-up")))</f>
        <v>PVV-up</v>
      </c>
      <c r="H189" s="3">
        <f t="shared" si="23"/>
        <v>7.1632811103830346E-4</v>
      </c>
      <c r="I189">
        <f>[1]!'2820.PreviousPrice'</f>
        <v>14.8</v>
      </c>
      <c r="J189">
        <f>[1]!'2820.PreOpenPrice'</f>
        <v>14.85</v>
      </c>
      <c r="K189">
        <f>[1]!'2820.Open'</f>
        <v>14.8</v>
      </c>
      <c r="L189">
        <f>[1]!'2820.Change'</f>
        <v>0.05</v>
      </c>
      <c r="M189">
        <f>[1]!'2820.ChangePercent'</f>
        <v>3.3999999999999998E-3</v>
      </c>
      <c r="N189">
        <f>[1]!'2820.BidPrice'</f>
        <v>14.8</v>
      </c>
      <c r="O189">
        <f>[1]!'2820.AskPrice'</f>
        <v>14.85</v>
      </c>
      <c r="P189">
        <f>[1]!'2820.Price'</f>
        <v>14.85</v>
      </c>
      <c r="Q189">
        <f>[1]!'2820.Volume'</f>
        <v>25</v>
      </c>
      <c r="R189">
        <f>[1]!'2820.CumulativeVolume'</f>
        <v>962</v>
      </c>
      <c r="S189">
        <f>[1]!'2820.PreviousVolume'</f>
        <v>452</v>
      </c>
      <c r="T189" s="3">
        <f t="shared" si="24"/>
        <v>3.3783783783783061E-3</v>
      </c>
      <c r="U189" s="3">
        <f>((T189*AB189)*D4)</f>
        <v>2.4145038069682496E-2</v>
      </c>
      <c r="V189" s="5">
        <f t="shared" si="25"/>
        <v>0</v>
      </c>
      <c r="W189" s="5">
        <f t="shared" si="26"/>
        <v>371250</v>
      </c>
      <c r="X189">
        <v>2820</v>
      </c>
      <c r="Y189" s="5">
        <v>13429600000</v>
      </c>
      <c r="Z189" s="3">
        <f>((D2*AB189)/P189)/10</f>
        <v>4.8556067597318307E-2</v>
      </c>
      <c r="AA189" s="3">
        <f>((M189*AB189)*D2)</f>
        <v>2.4515958529886011E-2</v>
      </c>
      <c r="AB189" s="3">
        <f>AE189/AE323</f>
        <v>5.5921948489233507E-4</v>
      </c>
      <c r="AC189" s="3">
        <f>AF189/AF323</f>
        <v>5.521583932730906E-4</v>
      </c>
      <c r="AD189" s="5">
        <f t="shared" si="27"/>
        <v>19942956000</v>
      </c>
      <c r="AE189" s="5">
        <f t="shared" si="28"/>
        <v>19942956000</v>
      </c>
      <c r="AF189" s="5">
        <f t="shared" si="29"/>
        <v>19875808000</v>
      </c>
      <c r="AG189">
        <f t="shared" si="30"/>
        <v>0</v>
      </c>
      <c r="AH189">
        <f t="shared" si="31"/>
        <v>0</v>
      </c>
      <c r="AI189" t="str">
        <f t="shared" si="32"/>
        <v>UAM10-50</v>
      </c>
      <c r="AJ189">
        <f t="shared" si="33"/>
        <v>0</v>
      </c>
      <c r="AK189" t="str">
        <f>IF(Q189&lt;8,"down",IF(Q189=8,8,IF(Q189&gt;8,"up")))</f>
        <v>up</v>
      </c>
    </row>
    <row r="190" spans="1:37" x14ac:dyDescent="0.25">
      <c r="A190">
        <f>IF(X190=2897,2897,"Error")</f>
        <v>2897</v>
      </c>
      <c r="B190" t="str">
        <f>IF(K190&lt;6.68,"down",IF(K190=6.68,"low",IF(K190=6.77,"high",IF(AND(K190&gt;6.68,K190&lt;6.77),"normal","up"))))</f>
        <v>normal</v>
      </c>
      <c r="C190" t="str">
        <f>IF(K190&lt;6.68,"down",IF(K190=6.68,"low",IF(K190=6.77,"high",IF(AND(K190&gt;6.68,K190&lt;6.77),"normal","up"))))</f>
        <v>normal</v>
      </c>
      <c r="D190" t="str">
        <f>IF(K190&lt;6.68,"down",IF(K190=6.68,"low",IF(K190=6.77,"high",IF(AND(K190&gt;6.68,K190&lt;6.77),"normal","up"))))</f>
        <v>normal</v>
      </c>
      <c r="E190" t="str">
        <f>IF(K190&lt;6.64,"down",IF(K190=6.64,"low",IF(K190=6.92,"high",IF(AND(K190&gt;6.64,K190&lt;6.92),"normal","up"))))</f>
        <v>normal</v>
      </c>
      <c r="F190" t="str">
        <f>IF(P190&lt;6.75,"PVP-down",IF(P190=6.75,6.75,IF(P190&gt;6.75,"PVP-up")))</f>
        <v>PVP-up</v>
      </c>
      <c r="G190" t="str">
        <f>IF(R190&lt;644,"PVV-down",IF(R190=644,644,IF(R190&gt;644,"PVV-up")))</f>
        <v>PVV-up</v>
      </c>
      <c r="H190" s="3">
        <f t="shared" si="23"/>
        <v>8.5808868160089098E-4</v>
      </c>
      <c r="I190">
        <f>[1]!'2897.PreviousPrice'</f>
        <v>6.76</v>
      </c>
      <c r="J190">
        <f>[1]!'2897.PreOpenPrice'</f>
        <v>6.83</v>
      </c>
      <c r="K190">
        <f>[1]!'2897.Open'</f>
        <v>6.76</v>
      </c>
      <c r="L190">
        <f>[1]!'2897.Change'</f>
        <v>7.0000000000000007E-2</v>
      </c>
      <c r="M190">
        <f>[1]!'2897.ChangePercent'</f>
        <v>1.04E-2</v>
      </c>
      <c r="N190">
        <f>[1]!'2897.BidPrice'</f>
        <v>6.82</v>
      </c>
      <c r="O190">
        <f>[1]!'2897.AskPrice'</f>
        <v>6.83</v>
      </c>
      <c r="P190">
        <f>[1]!'2897.Price'</f>
        <v>6.83</v>
      </c>
      <c r="Q190">
        <f>[1]!'2897.Volume'</f>
        <v>13</v>
      </c>
      <c r="R190">
        <f>[1]!'2897.CumulativeVolume'</f>
        <v>2328</v>
      </c>
      <c r="S190">
        <f>[1]!'2897.PreviousVolume'</f>
        <v>1718</v>
      </c>
      <c r="T190" s="3">
        <f t="shared" si="24"/>
        <v>1.0355029585798859E-2</v>
      </c>
      <c r="U190" s="3">
        <f>((T190*AB190)*D4)</f>
        <v>6.8762700557620196E-2</v>
      </c>
      <c r="V190" s="5">
        <f t="shared" si="25"/>
        <v>0</v>
      </c>
      <c r="W190" s="5">
        <f t="shared" si="26"/>
        <v>88790</v>
      </c>
      <c r="X190">
        <v>2897</v>
      </c>
      <c r="Y190" s="5">
        <v>27130063010</v>
      </c>
      <c r="Z190" s="3">
        <f>((D2*AB190)/P190)/10</f>
        <v>9.8091467611326089E-2</v>
      </c>
      <c r="AA190" s="3">
        <f>((M190*AB190)*D2)</f>
        <v>6.9676331273677145E-2</v>
      </c>
      <c r="AB190" s="3">
        <f>AE190/AE323</f>
        <v>5.1959417076574937E-4</v>
      </c>
      <c r="AC190" s="3">
        <f>AF190/AF323</f>
        <v>5.0949084397854593E-4</v>
      </c>
      <c r="AD190" s="5">
        <f t="shared" si="27"/>
        <v>18529833035.829998</v>
      </c>
      <c r="AE190" s="5">
        <f t="shared" si="28"/>
        <v>18529833035.829998</v>
      </c>
      <c r="AF190" s="5">
        <f t="shared" si="29"/>
        <v>18339922594.760002</v>
      </c>
      <c r="AG190">
        <f t="shared" si="30"/>
        <v>0</v>
      </c>
      <c r="AH190">
        <f t="shared" si="31"/>
        <v>0</v>
      </c>
      <c r="AI190" t="str">
        <f t="shared" si="32"/>
        <v>UAM10-50</v>
      </c>
      <c r="AJ190">
        <f t="shared" si="33"/>
        <v>0</v>
      </c>
      <c r="AK190" t="str">
        <f>IF(Q190&lt;9,"down",IF(Q190=9,9,IF(Q190&gt;9,"up")))</f>
        <v>up</v>
      </c>
    </row>
    <row r="191" spans="1:37" x14ac:dyDescent="0.25">
      <c r="A191">
        <f>IF(X191=2851,2851,"Error")</f>
        <v>2851</v>
      </c>
      <c r="B191" t="str">
        <f>IF(K191&lt;18.75,"down",IF(K191=18.75,"low",IF(K191=19.1,"high",IF(AND(K191&gt;18.75,K191&lt;19.1),"normal","up"))))</f>
        <v>high</v>
      </c>
      <c r="C191" t="str">
        <f>IF(K191&lt;18.75,"down",IF(K191=18.75,"low",IF(K191=19.1,"high",IF(AND(K191&gt;18.75,K191&lt;19.1),"normal","up"))))</f>
        <v>high</v>
      </c>
      <c r="D191" t="str">
        <f>IF(K191&lt;18.75,"down",IF(K191=18.75,"low",IF(K191=19.1,"high",IF(AND(K191&gt;18.75,K191&lt;19.1),"normal","up"))))</f>
        <v>high</v>
      </c>
      <c r="E191" t="str">
        <f>IF(K191&lt;18.4,"down",IF(K191=18.4,"low",IF(K191=19.1,"high",IF(AND(K191&gt;18.4,K191&lt;19.1),"normal","up"))))</f>
        <v>high</v>
      </c>
      <c r="F191">
        <f>IF(P191&lt;19,"PVP-down",IF(P191=19,19,IF(P191&gt;19,"PVP-up")))</f>
        <v>19</v>
      </c>
      <c r="G191" t="str">
        <f>IF(R191&lt;199,"PVV-down",IF(R191=199,199,IF(R191&gt;199,"PVV-up")))</f>
        <v>PVV-down</v>
      </c>
      <c r="H191" s="3">
        <f t="shared" si="23"/>
        <v>2.0664350396243153E-4</v>
      </c>
      <c r="I191">
        <f>[1]!'2851.PreviousPrice'</f>
        <v>19.05</v>
      </c>
      <c r="J191">
        <f>[1]!'2851.PreOpenPrice'</f>
        <v>19</v>
      </c>
      <c r="K191">
        <f>[1]!'2851.Open'</f>
        <v>19.100000000000001</v>
      </c>
      <c r="L191">
        <f>[1]!'2851.Change'</f>
        <v>-0.05</v>
      </c>
      <c r="M191">
        <f>[1]!'2851.ChangePercent'</f>
        <v>-2.5999999999999999E-3</v>
      </c>
      <c r="N191">
        <f>[1]!'2851.BidPrice'</f>
        <v>19</v>
      </c>
      <c r="O191">
        <f>[1]!'2851.AskPrice'</f>
        <v>19.05</v>
      </c>
      <c r="P191">
        <f>[1]!'2851.Price'</f>
        <v>19</v>
      </c>
      <c r="Q191">
        <f>[1]!'2851.Volume'</f>
        <v>8</v>
      </c>
      <c r="R191">
        <f>[1]!'2851.CumulativeVolume'</f>
        <v>122</v>
      </c>
      <c r="S191">
        <f>[1]!'2851.PreviousVolume'</f>
        <v>704</v>
      </c>
      <c r="T191" s="3">
        <f t="shared" si="24"/>
        <v>-5.2356020942409117E-3</v>
      </c>
      <c r="U191" s="3">
        <f>((T191*AB191)*D4)</f>
        <v>-2.1046911819268776E-2</v>
      </c>
      <c r="V191" s="5">
        <f t="shared" si="25"/>
        <v>152000</v>
      </c>
      <c r="W191" s="5">
        <f t="shared" si="26"/>
        <v>0</v>
      </c>
      <c r="X191">
        <v>2851</v>
      </c>
      <c r="Y191" s="5">
        <v>5903887500</v>
      </c>
      <c r="Z191" s="3">
        <f>((D2*AB191)/P191)/10</f>
        <v>2.1346098211187423E-2</v>
      </c>
      <c r="AA191" s="3">
        <f>((M191*AB191)*D2)</f>
        <v>-1.0544972516326585E-2</v>
      </c>
      <c r="AB191" s="3">
        <f>AE191/AE323</f>
        <v>3.1454619669036839E-4</v>
      </c>
      <c r="AC191" s="3">
        <f>AF191/AF323</f>
        <v>3.1244381982880822E-4</v>
      </c>
      <c r="AD191" s="5">
        <f t="shared" si="27"/>
        <v>11217386250</v>
      </c>
      <c r="AE191" s="5">
        <f t="shared" si="28"/>
        <v>11217386250</v>
      </c>
      <c r="AF191" s="5">
        <f t="shared" si="29"/>
        <v>11246905687.5</v>
      </c>
      <c r="AG191" t="str">
        <f t="shared" si="30"/>
        <v>DBL10</v>
      </c>
      <c r="AH191">
        <f t="shared" si="31"/>
        <v>0</v>
      </c>
      <c r="AI191">
        <f t="shared" si="32"/>
        <v>0</v>
      </c>
      <c r="AJ191">
        <f t="shared" si="33"/>
        <v>0</v>
      </c>
      <c r="AK191" t="str">
        <f>IF(Q191&lt;3,"down",IF(Q191=3,3,IF(Q191&gt;3,"up")))</f>
        <v>up</v>
      </c>
    </row>
    <row r="192" spans="1:37" x14ac:dyDescent="0.25">
      <c r="A192">
        <f>IF(X192=2850,2850,"Error")</f>
        <v>2850</v>
      </c>
      <c r="B192" t="str">
        <f>IF(K192&lt;34.05,"down",IF(K192=34.05,"low",IF(K192=34.35,"high",IF(AND(K192&gt;34.05,K192&lt;34.35),"normal","up"))))</f>
        <v>normal</v>
      </c>
      <c r="C192" t="str">
        <f>IF(K192&lt;34.05,"down",IF(K192=34.05,"low",IF(K192=34.35,"high",IF(AND(K192&gt;34.05,K192&lt;34.35),"normal","up"))))</f>
        <v>normal</v>
      </c>
      <c r="D192" t="str">
        <f>IF(K192&lt;34.05,"down",IF(K192=34.05,"low",IF(K192=34.35,"high",IF(AND(K192&gt;34.05,K192&lt;34.35),"normal","up"))))</f>
        <v>normal</v>
      </c>
      <c r="E192" t="str">
        <f>IF(K192&lt;33.85,"down",IF(K192=33.85,"low",IF(K192=34.35,"high",IF(AND(K192&gt;33.85,K192&lt;34.35),"normal","up"))))</f>
        <v>normal</v>
      </c>
      <c r="F192" t="str">
        <f>IF(P192&lt;34.25,"PVP-down",IF(P192=34.25,34.25,IF(P192&gt;34.25,"PVP-up")))</f>
        <v>PVP-down</v>
      </c>
      <c r="G192" t="str">
        <f>IF(R192&lt;27,"PVV-down",IF(R192=27,27,IF(R192&gt;27,"PVV-up")))</f>
        <v>PVV-up</v>
      </c>
      <c r="H192" s="3">
        <f t="shared" si="23"/>
        <v>2.7218350992029772E-4</v>
      </c>
      <c r="I192">
        <f>[1]!'2850.PreviousPrice'</f>
        <v>34.25</v>
      </c>
      <c r="J192">
        <f>[1]!'2850.PreOpenPrice'</f>
        <v>34.200000000000003</v>
      </c>
      <c r="K192">
        <f>[1]!'2850.Open'</f>
        <v>34.299999999999997</v>
      </c>
      <c r="L192">
        <f>[1]!'2850.Change'</f>
        <v>-0.05</v>
      </c>
      <c r="M192">
        <f>[1]!'2850.ChangePercent'</f>
        <v>-1.5E-3</v>
      </c>
      <c r="N192">
        <f>[1]!'2850.BidPrice'</f>
        <v>34.200000000000003</v>
      </c>
      <c r="O192">
        <f>[1]!'2850.AskPrice'</f>
        <v>34.35</v>
      </c>
      <c r="P192">
        <f>[1]!'2850.Price'</f>
        <v>34.200000000000003</v>
      </c>
      <c r="Q192">
        <f>[1]!'2850.Volume'</f>
        <v>2</v>
      </c>
      <c r="R192">
        <f>[1]!'2850.CumulativeVolume'</f>
        <v>86</v>
      </c>
      <c r="S192">
        <f>[1]!'2850.PreviousVolume'</f>
        <v>116</v>
      </c>
      <c r="T192" s="3">
        <f t="shared" si="24"/>
        <v>-2.9154518950435665E-3</v>
      </c>
      <c r="U192" s="3">
        <f>((T192*AB192)*D4)</f>
        <v>-1.1290123732744338E-2</v>
      </c>
      <c r="V192" s="5">
        <f t="shared" si="25"/>
        <v>68400</v>
      </c>
      <c r="W192" s="5">
        <f t="shared" si="26"/>
        <v>0</v>
      </c>
      <c r="X192">
        <v>2850</v>
      </c>
      <c r="Y192" s="5">
        <v>3159633000</v>
      </c>
      <c r="Z192" s="3">
        <f>((D2*AB192)/P192)/10</f>
        <v>1.142397044816805E-2</v>
      </c>
      <c r="AA192" s="3">
        <f>((M192*AB192)*D2)</f>
        <v>-5.8604968399102106E-3</v>
      </c>
      <c r="AB192" s="3">
        <f>AE192/AE323</f>
        <v>3.0300898815522519E-4</v>
      </c>
      <c r="AC192" s="3">
        <f>AF192/AF323</f>
        <v>3.0063262037439059E-4</v>
      </c>
      <c r="AD192" s="5">
        <f t="shared" si="27"/>
        <v>10805944860.000002</v>
      </c>
      <c r="AE192" s="5">
        <f t="shared" si="28"/>
        <v>10805944860.000002</v>
      </c>
      <c r="AF192" s="5">
        <f t="shared" si="29"/>
        <v>10821743025</v>
      </c>
      <c r="AG192" t="str">
        <f t="shared" si="30"/>
        <v>DBL10</v>
      </c>
      <c r="AH192">
        <f t="shared" si="31"/>
        <v>0</v>
      </c>
      <c r="AI192">
        <f t="shared" si="32"/>
        <v>0</v>
      </c>
      <c r="AJ192">
        <f t="shared" si="33"/>
        <v>0</v>
      </c>
      <c r="AK192" t="str">
        <f>IF(Q192&lt;1,"down",IF(Q192=1,1,IF(Q192&gt;1,"up")))</f>
        <v>up</v>
      </c>
    </row>
    <row r="193" spans="1:37" x14ac:dyDescent="0.25">
      <c r="A193">
        <f>IF(X193=2836,2836,"Error")</f>
        <v>2836</v>
      </c>
      <c r="B193" t="str">
        <f>IF(K193&lt;9.84,"down",IF(K193=9.84,"low",IF(K193=9.98,"high",IF(AND(K193&gt;9.84,K193&lt;9.98),"normal","up"))))</f>
        <v>high</v>
      </c>
      <c r="C193" t="str">
        <f>IF(K193&lt;9.84,"down",IF(K193=9.84,"low",IF(K193=9.98,"high",IF(AND(K193&gt;9.84,K193&lt;9.98),"normal","up"))))</f>
        <v>high</v>
      </c>
      <c r="D193" t="str">
        <f>IF(K193&lt;9.84,"down",IF(K193=9.84,"low",IF(K193=9.98,"high",IF(AND(K193&gt;9.84,K193&lt;9.98),"normal","up"))))</f>
        <v>high</v>
      </c>
      <c r="E193" t="str">
        <f>IF(K193&lt;9.79,"down",IF(K193=9.79,"low",IF(K193=9.98,"high",IF(AND(K193&gt;9.79,K193&lt;9.98),"normal","up"))))</f>
        <v>high</v>
      </c>
      <c r="F193" t="str">
        <f>IF(P193&lt;9.97,"PVP-down",IF(P193=9.97,9.97,IF(P193&gt;9.97,"PVP-up")))</f>
        <v>PVP-up</v>
      </c>
      <c r="G193" t="str">
        <f>IF(R193&lt;148,"PVV-down",IF(R193=148,148,IF(R193&gt;148,"PVV-up")))</f>
        <v>PVV-up</v>
      </c>
      <c r="H193" s="3">
        <f t="shared" si="23"/>
        <v>1.0222806426878756E-3</v>
      </c>
      <c r="I193">
        <f>[1]!'2836.PreviousPrice'</f>
        <v>9.9499999999999993</v>
      </c>
      <c r="J193">
        <f>[1]!'2836.PreOpenPrice'</f>
        <v>10</v>
      </c>
      <c r="K193">
        <f>[1]!'2836.Open'</f>
        <v>9.98</v>
      </c>
      <c r="L193">
        <f>[1]!'2836.Change'</f>
        <v>0.05</v>
      </c>
      <c r="M193">
        <f>[1]!'2836.ChangePercent'</f>
        <v>5.0000000000000001E-3</v>
      </c>
      <c r="N193">
        <f>[1]!'2836.BidPrice'</f>
        <v>10</v>
      </c>
      <c r="O193">
        <f>[1]!'2836.AskPrice'</f>
        <v>10.050000000000001</v>
      </c>
      <c r="P193">
        <f>[1]!'2836.Price'</f>
        <v>10</v>
      </c>
      <c r="Q193">
        <f>[1]!'2836.Volume'</f>
        <v>45</v>
      </c>
      <c r="R193">
        <f>[1]!'2836.CumulativeVolume'</f>
        <v>1105</v>
      </c>
      <c r="S193">
        <f>[1]!'2836.PreviousVolume'</f>
        <v>817</v>
      </c>
      <c r="T193" s="3">
        <f t="shared" si="24"/>
        <v>2.0040080160320215E-3</v>
      </c>
      <c r="U193" s="3">
        <f>((T193*AB193)*D4)</f>
        <v>7.7628584920921076E-3</v>
      </c>
      <c r="V193" s="5">
        <f t="shared" si="25"/>
        <v>450000</v>
      </c>
      <c r="W193" s="5">
        <f t="shared" si="26"/>
        <v>0</v>
      </c>
      <c r="X193">
        <v>2836</v>
      </c>
      <c r="Y193" s="5">
        <v>10809164860</v>
      </c>
      <c r="Z193" s="3">
        <f>((D2*AB193)/P193)/10</f>
        <v>3.9081621166134339E-2</v>
      </c>
      <c r="AA193" s="3">
        <f>((M193*AB193)*D2)</f>
        <v>1.954081058306717E-2</v>
      </c>
      <c r="AB193" s="3">
        <f>AE193/AE323</f>
        <v>3.030992800227574E-4</v>
      </c>
      <c r="AC193" s="3">
        <f>AF193/AF323</f>
        <v>2.9878177763706224E-4</v>
      </c>
      <c r="AD193" s="5">
        <f t="shared" si="27"/>
        <v>10809164860</v>
      </c>
      <c r="AE193" s="5">
        <f t="shared" si="28"/>
        <v>10809164860</v>
      </c>
      <c r="AF193" s="5">
        <f t="shared" si="29"/>
        <v>10755119035.699999</v>
      </c>
      <c r="AG193">
        <f t="shared" si="30"/>
        <v>0</v>
      </c>
      <c r="AH193">
        <f t="shared" si="31"/>
        <v>0</v>
      </c>
      <c r="AI193">
        <f t="shared" si="32"/>
        <v>0</v>
      </c>
      <c r="AJ193" t="str">
        <f t="shared" si="33"/>
        <v>UBM10-50</v>
      </c>
      <c r="AK193" t="str">
        <f>IF(Q193&lt;40,"down",IF(Q193=40,40,IF(Q193&gt;40,"up")))</f>
        <v>up</v>
      </c>
    </row>
    <row r="194" spans="1:37" x14ac:dyDescent="0.25">
      <c r="A194">
        <f>IF(X194=6024,6024,"Error")</f>
        <v>6024</v>
      </c>
      <c r="B194" t="str">
        <f>IF(K194&lt;38.55,"down",IF(K194=38.55,"low",IF(K194=39.15,"high",IF(AND(K194&gt;38.55,K194&lt;39.15),"normal","up"))))</f>
        <v>normal</v>
      </c>
      <c r="C194" t="str">
        <f>IF(K194&lt;38.55,"down",IF(K194=38.55,"low",IF(K194=39.15,"high",IF(AND(K194&gt;38.55,K194&lt;39.15),"normal","up"))))</f>
        <v>normal</v>
      </c>
      <c r="D194" t="str">
        <f>IF(K194&lt;38.55,"down",IF(K194=38.55,"low",IF(K194=39.15,"high",IF(AND(K194&gt;38.55,K194&lt;39.15),"normal","up"))))</f>
        <v>normal</v>
      </c>
      <c r="E194" t="str">
        <f>IF(K194&lt;37.35,"down",IF(K194=37.35,"low",IF(K194=39.15,"high",IF(AND(K194&gt;37.35,K194&lt;39.15),"normal","up"))))</f>
        <v>normal</v>
      </c>
      <c r="F194" t="str">
        <f>IF(P194&lt;39,"PVP-down",IF(P194=39,39,IF(P194&gt;39,"PVP-up")))</f>
        <v>PVP-down</v>
      </c>
      <c r="G194" t="str">
        <f>IF(R194&lt;145,"PVV-down",IF(R194=145,145,IF(R194&gt;145,"PVV-up")))</f>
        <v>PVV-up</v>
      </c>
      <c r="H194" s="3">
        <f t="shared" si="23"/>
        <v>8.2684849679703605E-4</v>
      </c>
      <c r="I194">
        <f>[1]!'6024.PreviousPrice'</f>
        <v>39</v>
      </c>
      <c r="J194">
        <f>[1]!'6024.PreOpenPrice'</f>
        <v>38.75</v>
      </c>
      <c r="K194">
        <f>[1]!'6024.Open'</f>
        <v>39</v>
      </c>
      <c r="L194">
        <f>[1]!'6024.Change'</f>
        <v>-0.25</v>
      </c>
      <c r="M194">
        <f>[1]!'6024.ChangePercent'</f>
        <v>-6.4000000000000003E-3</v>
      </c>
      <c r="N194">
        <f>[1]!'6024.BidPrice'</f>
        <v>38.700000000000003</v>
      </c>
      <c r="O194">
        <f>[1]!'6024.AskPrice'</f>
        <v>38.75</v>
      </c>
      <c r="P194">
        <f>[1]!'6024.Price'</f>
        <v>38.75</v>
      </c>
      <c r="Q194">
        <f>[1]!'6024.Volume'</f>
        <v>4</v>
      </c>
      <c r="R194">
        <f>[1]!'6024.CumulativeVolume'</f>
        <v>174</v>
      </c>
      <c r="S194">
        <f>[1]!'6024.PreviousVolume'</f>
        <v>683</v>
      </c>
      <c r="T194" s="3">
        <f t="shared" si="24"/>
        <v>-6.41025641025641E-3</v>
      </c>
      <c r="U194" s="3">
        <f>((T194*AB194)*D4)</f>
        <v>-1.8732704831255022E-2</v>
      </c>
      <c r="V194" s="5">
        <f t="shared" si="25"/>
        <v>0</v>
      </c>
      <c r="W194" s="5">
        <f t="shared" si="26"/>
        <v>155000</v>
      </c>
      <c r="X194">
        <v>6024</v>
      </c>
      <c r="Y194" s="5">
        <v>2104375840</v>
      </c>
      <c r="Z194" s="3">
        <f>((D2*AB194)/P194)/10</f>
        <v>7.6085822017933156E-3</v>
      </c>
      <c r="AA194" s="3">
        <f>((M194*AB194)*D2)</f>
        <v>-1.8869283860447422E-2</v>
      </c>
      <c r="AB194" s="3">
        <f>AE194/AE323</f>
        <v>2.2865872523614934E-4</v>
      </c>
      <c r="AC194" s="3">
        <f>AF194/AF323</f>
        <v>2.2799577518371736E-4</v>
      </c>
      <c r="AD194" s="5">
        <f t="shared" si="27"/>
        <v>8154456380</v>
      </c>
      <c r="AE194" s="5">
        <f t="shared" si="28"/>
        <v>8154456380</v>
      </c>
      <c r="AF194" s="5">
        <f t="shared" si="29"/>
        <v>8207065776</v>
      </c>
      <c r="AG194">
        <f t="shared" si="30"/>
        <v>0</v>
      </c>
      <c r="AH194" t="str">
        <f t="shared" si="31"/>
        <v>DAL10</v>
      </c>
      <c r="AI194">
        <f t="shared" si="32"/>
        <v>0</v>
      </c>
      <c r="AJ194">
        <f t="shared" si="33"/>
        <v>0</v>
      </c>
      <c r="AK194" t="str">
        <f>IF(Q194&lt;26,"down",IF(Q194=26,26,IF(Q194&gt;26,"up")))</f>
        <v>down</v>
      </c>
    </row>
    <row r="195" spans="1:37" x14ac:dyDescent="0.25">
      <c r="A195">
        <f>IF(X195=2832,2832,"Error")</f>
        <v>2832</v>
      </c>
      <c r="B195" t="str">
        <f>IF(K195&lt;19.7,"down",IF(K195=19.7,"low",IF(K195=19.85,"high",IF(AND(K195&gt;19.7,K195&lt;19.85),"normal","up"))))</f>
        <v>high</v>
      </c>
      <c r="C195" t="str">
        <f>IF(K195&lt;19.7,"down",IF(K195=19.7,"low",IF(K195=19.85,"high",IF(AND(K195&gt;19.7,K195&lt;19.85),"normal","up"))))</f>
        <v>high</v>
      </c>
      <c r="D195" t="str">
        <f>IF(K195&lt;19.7,"down",IF(K195=19.7,"low",IF(K195=19.85,"high",IF(AND(K195&gt;19.7,K195&lt;19.85),"normal","up"))))</f>
        <v>high</v>
      </c>
      <c r="E195" t="str">
        <f>IF(K195&lt;19.5,"down",IF(K195=19.5,"low",IF(K195=19.85,"high",IF(AND(K195&gt;19.5,K195&lt;19.85),"normal","up"))))</f>
        <v>high</v>
      </c>
      <c r="F195">
        <f>IF(P195&lt;19.8,"PVP-down",IF(P195=19.8,19.8,IF(P195&gt;19.8,"PVP-up")))</f>
        <v>19.8</v>
      </c>
      <c r="G195" t="str">
        <f>IF(R195&lt;140,"PVV-down",IF(R195=140,140,IF(R195&gt;140,"PVV-up")))</f>
        <v>PVV-down</v>
      </c>
      <c r="H195" s="3">
        <f t="shared" si="23"/>
        <v>3.1198198566318531E-4</v>
      </c>
      <c r="I195">
        <f>[1]!'2832.PreviousPrice'</f>
        <v>19.8</v>
      </c>
      <c r="J195">
        <f>[1]!'2832.PreOpenPrice'</f>
        <v>19.850000000000001</v>
      </c>
      <c r="K195">
        <f>[1]!'2832.Open'</f>
        <v>19.850000000000001</v>
      </c>
      <c r="L195">
        <f>[1]!'2832.Change'</f>
        <v>0</v>
      </c>
      <c r="M195">
        <f>[1]!'2832.ChangePercent'</f>
        <v>0</v>
      </c>
      <c r="N195">
        <f>[1]!'2832.BidPrice'</f>
        <v>19.8</v>
      </c>
      <c r="O195">
        <f>[1]!'2832.AskPrice'</f>
        <v>19.850000000000001</v>
      </c>
      <c r="P195">
        <f>[1]!'2832.Price'</f>
        <v>19.8</v>
      </c>
      <c r="Q195">
        <f>[1]!'2832.Volume'</f>
        <v>8</v>
      </c>
      <c r="R195">
        <f>[1]!'2832.CumulativeVolume'</f>
        <v>113</v>
      </c>
      <c r="S195">
        <f>[1]!'2832.PreviousVolume'</f>
        <v>251</v>
      </c>
      <c r="T195" s="3">
        <f t="shared" si="24"/>
        <v>-2.5188916876574662E-3</v>
      </c>
      <c r="U195" s="3">
        <f>((T195*AB195)*D4)</f>
        <v>-6.4737166030752772E-3</v>
      </c>
      <c r="V195" s="5">
        <f t="shared" si="25"/>
        <v>158400</v>
      </c>
      <c r="W195" s="5">
        <f t="shared" si="26"/>
        <v>0</v>
      </c>
      <c r="X195">
        <v>2832</v>
      </c>
      <c r="Y195" s="5">
        <v>3622004000</v>
      </c>
      <c r="Z195" s="3">
        <f>((D2*AB195)/P195)/10</f>
        <v>1.3095719236742517E-2</v>
      </c>
      <c r="AA195" s="3">
        <f>((M195*AB195)*D2)</f>
        <v>0</v>
      </c>
      <c r="AB195" s="3">
        <f>AE195/AE323</f>
        <v>2.0109759646928948E-4</v>
      </c>
      <c r="AC195" s="3">
        <f>AF195/AF323</f>
        <v>1.9922920466710286E-4</v>
      </c>
      <c r="AD195" s="5">
        <f t="shared" si="27"/>
        <v>7189677940</v>
      </c>
      <c r="AE195" s="5">
        <f t="shared" si="28"/>
        <v>7171567920</v>
      </c>
      <c r="AF195" s="5">
        <f t="shared" si="29"/>
        <v>7171567920</v>
      </c>
      <c r="AG195">
        <f t="shared" si="30"/>
        <v>0</v>
      </c>
      <c r="AH195">
        <f t="shared" si="31"/>
        <v>0</v>
      </c>
      <c r="AI195">
        <f t="shared" si="32"/>
        <v>0</v>
      </c>
      <c r="AJ195">
        <f t="shared" si="33"/>
        <v>0</v>
      </c>
      <c r="AK195" t="str">
        <f>IF(Q195&lt;0,"down",IF(Q195=0,0,IF(Q195&gt;0,"up")))</f>
        <v>up</v>
      </c>
    </row>
    <row r="196" spans="1:37" x14ac:dyDescent="0.25">
      <c r="A196">
        <f>IF(X196=2852,2852,"Error")</f>
        <v>2852</v>
      </c>
      <c r="B196" t="str">
        <f>IF(K196&lt;12.85,"down",IF(K196=12.85,"low",IF(K196=13.05,"high",IF(AND(K196&gt;12.85,K196&lt;13.05),"normal","up"))))</f>
        <v>normal</v>
      </c>
      <c r="C196" t="str">
        <f>IF(K196&lt;12.85,"down",IF(K196=12.85,"low",IF(K196=13.05,"high",IF(AND(K196&gt;12.85,K196&lt;13.05),"normal","up"))))</f>
        <v>normal</v>
      </c>
      <c r="D196" t="str">
        <f>IF(K196&lt;12.85,"down",IF(K196=12.85,"low",IF(K196=13.05,"high",IF(AND(K196&gt;12.85,K196&lt;13.05),"normal","up"))))</f>
        <v>normal</v>
      </c>
      <c r="E196" t="str">
        <f>IF(K196&lt;12.8,"down",IF(K196=12.8,"low",IF(K196=13.1,"high",IF(AND(K196&gt;12.8,K196&lt;13.1),"normal","up"))))</f>
        <v>normal</v>
      </c>
      <c r="F196" t="str">
        <f>IF(P196&lt;12.9,"PVP-down",IF(P196=12.9,12.9,IF(P196&gt;12.9,"PVP-up")))</f>
        <v>PVP-up</v>
      </c>
      <c r="G196" t="str">
        <f>IF(R196&lt;132,"PVV-down",IF(R196=132,132,IF(R196&gt;132,"PVV-up")))</f>
        <v>PVV-up</v>
      </c>
      <c r="H196" s="3">
        <f t="shared" si="23"/>
        <v>5.4787464086319222E-4</v>
      </c>
      <c r="I196">
        <f>[1]!'2852.PreviousPrice'</f>
        <v>12.95</v>
      </c>
      <c r="J196">
        <f>[1]!'2852.PreOpenPrice'</f>
        <v>13</v>
      </c>
      <c r="K196">
        <f>[1]!'2852.Open'</f>
        <v>13</v>
      </c>
      <c r="L196">
        <f>[1]!'2852.Change'</f>
        <v>0.05</v>
      </c>
      <c r="M196">
        <f>[1]!'2852.ChangePercent'</f>
        <v>3.8999999999999998E-3</v>
      </c>
      <c r="N196">
        <f>[1]!'2852.BidPrice'</f>
        <v>12.95</v>
      </c>
      <c r="O196">
        <f>[1]!'2852.AskPrice'</f>
        <v>13</v>
      </c>
      <c r="P196">
        <f>[1]!'2852.Price'</f>
        <v>13</v>
      </c>
      <c r="Q196">
        <f>[1]!'2852.Volume'</f>
        <v>10</v>
      </c>
      <c r="R196">
        <f>[1]!'2852.CumulativeVolume'</f>
        <v>165</v>
      </c>
      <c r="S196">
        <f>[1]!'2852.PreviousVolume'</f>
        <v>295</v>
      </c>
      <c r="T196" s="3">
        <f t="shared" si="24"/>
        <v>0</v>
      </c>
      <c r="U196" s="3">
        <f>((T196*AB196)*D4)</f>
        <v>0</v>
      </c>
      <c r="V196" s="5">
        <f t="shared" si="25"/>
        <v>0</v>
      </c>
      <c r="W196" s="5">
        <f t="shared" si="26"/>
        <v>130000</v>
      </c>
      <c r="X196">
        <v>2852</v>
      </c>
      <c r="Y196" s="5">
        <v>3011637840</v>
      </c>
      <c r="Z196" s="3">
        <f>((D2*AB196)/P196)/10</f>
        <v>1.0888879083344381E-2</v>
      </c>
      <c r="AA196" s="3">
        <f>((M196*AB196)*D2)</f>
        <v>5.520661695255601E-3</v>
      </c>
      <c r="AB196" s="3">
        <f>AE196/AE323</f>
        <v>1.0978395229058241E-4</v>
      </c>
      <c r="AC196" s="3">
        <f>AF196/AF323</f>
        <v>1.0834562995159842E-4</v>
      </c>
      <c r="AD196" s="5">
        <f t="shared" si="27"/>
        <v>3915129192</v>
      </c>
      <c r="AE196" s="5">
        <f t="shared" si="28"/>
        <v>3915129192</v>
      </c>
      <c r="AF196" s="5">
        <f t="shared" si="29"/>
        <v>3900071002.8000002</v>
      </c>
      <c r="AG196">
        <f t="shared" si="30"/>
        <v>0</v>
      </c>
      <c r="AH196">
        <f t="shared" si="31"/>
        <v>0</v>
      </c>
      <c r="AI196" t="str">
        <f t="shared" si="32"/>
        <v>UAM10-50</v>
      </c>
      <c r="AJ196">
        <f t="shared" si="33"/>
        <v>0</v>
      </c>
      <c r="AK196" t="str">
        <f>IF(Q196&lt;0,"down",IF(Q196=0,0,IF(Q196&gt;0,"up")))</f>
        <v>up</v>
      </c>
    </row>
    <row r="197" spans="1:37" x14ac:dyDescent="0.25">
      <c r="A197">
        <f>IF(X197=2816,2816,"Error")</f>
        <v>2816</v>
      </c>
      <c r="B197" t="str">
        <f>IF(K197&lt;17.8,"down",IF(K197=17.8,"low",IF(K197=18.15,"high",IF(AND(K197&gt;17.8,K197&lt;18.15),"normal","up"))))</f>
        <v>normal</v>
      </c>
      <c r="C197" t="str">
        <f>IF(K197&lt;17.8,"down",IF(K197=17.8,"low",IF(K197=18.15,"high",IF(AND(K197&gt;17.8,K197&lt;18.15),"normal","up"))))</f>
        <v>normal</v>
      </c>
      <c r="D197" t="str">
        <f>IF(K197&lt;17.8,"down",IF(K197=17.8,"low",IF(K197=18.15,"high",IF(AND(K197&gt;17.8,K197&lt;18.15),"normal","up"))))</f>
        <v>normal</v>
      </c>
      <c r="E197" t="str">
        <f>IF(K197&lt;17.65,"down",IF(K197=17.65,"low",IF(K197=18.15,"high",IF(AND(K197&gt;17.65,K197&lt;18.15),"normal","up"))))</f>
        <v>normal</v>
      </c>
      <c r="F197" t="str">
        <f>IF(P197&lt;18.05,"PVP-down",IF(P197=18.05,18.05,IF(P197&gt;18.05,"PVP-up")))</f>
        <v>PVP-down</v>
      </c>
      <c r="G197" t="str">
        <f>IF(R197&lt;86,"PVV-down",IF(R197=86,86,IF(R197&gt;86,"PVV-up")))</f>
        <v>PVV-up</v>
      </c>
      <c r="H197" s="3">
        <f t="shared" si="23"/>
        <v>7.6540195341848237E-4</v>
      </c>
      <c r="I197">
        <f>[1]!'2816.PreviousPrice'</f>
        <v>18.05</v>
      </c>
      <c r="J197">
        <f>[1]!'2816.PreOpenPrice'</f>
        <v>18</v>
      </c>
      <c r="K197">
        <f>[1]!'2816.Open'</f>
        <v>18.100000000000001</v>
      </c>
      <c r="L197">
        <f>[1]!'2816.Change'</f>
        <v>-0.2</v>
      </c>
      <c r="M197">
        <f>[1]!'2816.ChangePercent'</f>
        <v>-1.11E-2</v>
      </c>
      <c r="N197">
        <f>[1]!'2816.BidPrice'</f>
        <v>17.850000000000001</v>
      </c>
      <c r="O197">
        <f>[1]!'2816.AskPrice'</f>
        <v>17.95</v>
      </c>
      <c r="P197">
        <f>[1]!'2816.Price'</f>
        <v>17.850000000000001</v>
      </c>
      <c r="Q197">
        <f>[1]!'2816.Volume'</f>
        <v>1</v>
      </c>
      <c r="R197">
        <f>[1]!'2816.CumulativeVolume'</f>
        <v>163</v>
      </c>
      <c r="S197">
        <f>[1]!'2816.PreviousVolume'</f>
        <v>211</v>
      </c>
      <c r="T197" s="3">
        <f t="shared" si="24"/>
        <v>-1.3812154696132596E-2</v>
      </c>
      <c r="U197" s="3">
        <f>((T197*AB197)*D4)</f>
        <v>-1.8816020036432402E-2</v>
      </c>
      <c r="V197" s="5">
        <f t="shared" si="25"/>
        <v>17850</v>
      </c>
      <c r="W197" s="5">
        <f t="shared" si="26"/>
        <v>0</v>
      </c>
      <c r="X197">
        <v>2816</v>
      </c>
      <c r="Y197" s="5">
        <v>2129600000</v>
      </c>
      <c r="Z197" s="3">
        <f>((D2*AB197)/P197)/10</f>
        <v>7.6997826856532638E-3</v>
      </c>
      <c r="AA197" s="3">
        <f>((M197*AB197)*D2)</f>
        <v>-1.5255964424219096E-2</v>
      </c>
      <c r="AB197" s="3">
        <f>AE197/AE323</f>
        <v>1.0659308278184486E-4</v>
      </c>
      <c r="AC197" s="3">
        <f>AF197/AF323</f>
        <v>1.0678595347356166E-4</v>
      </c>
      <c r="AD197" s="5">
        <f t="shared" si="27"/>
        <v>3833280000</v>
      </c>
      <c r="AE197" s="5">
        <f t="shared" si="28"/>
        <v>3801336000</v>
      </c>
      <c r="AF197" s="5">
        <f t="shared" si="29"/>
        <v>3843928000</v>
      </c>
      <c r="AG197" t="str">
        <f t="shared" si="30"/>
        <v>DBL10</v>
      </c>
      <c r="AH197">
        <f t="shared" si="31"/>
        <v>0</v>
      </c>
      <c r="AI197">
        <f t="shared" si="32"/>
        <v>0</v>
      </c>
      <c r="AJ197">
        <f t="shared" si="33"/>
        <v>0</v>
      </c>
      <c r="AK197" t="str">
        <f>IF(Q197&lt;3,"down",IF(Q197=3,3,IF(Q197&gt;3,"up")))</f>
        <v>down</v>
      </c>
    </row>
    <row r="198" spans="1:37" x14ac:dyDescent="0.25">
      <c r="A198">
        <f>IF(X198=6505,6505,"Error")</f>
        <v>6505</v>
      </c>
      <c r="B198" t="str">
        <f>IF(K198&lt;82.1,"down",IF(K198=82.1,"low",IF(K198=84.4,"high",IF(AND(K198&gt;82.1,K198&lt;84.4),"normal","up"))))</f>
        <v>up</v>
      </c>
      <c r="C198" t="str">
        <f>IF(K198&lt;82.1,"down",IF(K198=82.1,"low",IF(K198=84.4,"high",IF(AND(K198&gt;82.1,K198&lt;84.4),"normal","up"))))</f>
        <v>up</v>
      </c>
      <c r="D198" t="str">
        <f>IF(K198&lt;82.1,"down",IF(K198=82.1,"low",IF(K198=84.4,"high",IF(AND(K198&gt;82.1,K198&lt;84.4),"normal","up"))))</f>
        <v>up</v>
      </c>
      <c r="E198" t="str">
        <f>IF(K198&lt;80,"down",IF(K198=80,"low",IF(K198=84.4,"high",IF(AND(K198&gt;80,K198&lt;84.4),"normal","up"))))</f>
        <v>up</v>
      </c>
      <c r="F198" t="str">
        <f>IF(P198&lt;84.2,"PVP-down",IF(P198=84.2,84.2,IF(P198&gt;84.2,"PVP-up")))</f>
        <v>PVP-down</v>
      </c>
      <c r="G198" t="str">
        <f>IF(R198&lt;381,"PVV-down",IF(R198=381,381,IF(R198&gt;381,"PVV-up")))</f>
        <v>PVV-up</v>
      </c>
      <c r="H198" s="3">
        <f t="shared" si="23"/>
        <v>2.0659335876851138E-4</v>
      </c>
      <c r="I198">
        <f>[1]!'6505.PreviousPrice'</f>
        <v>84.2</v>
      </c>
      <c r="J198">
        <f>[1]!'6505.PreOpenPrice'</f>
        <v>83.7</v>
      </c>
      <c r="K198">
        <f>[1]!'6505.Open'</f>
        <v>84.5</v>
      </c>
      <c r="L198">
        <f>[1]!'6505.Change'</f>
        <v>-0.5</v>
      </c>
      <c r="M198">
        <f>[1]!'6505.ChangePercent'</f>
        <v>-5.8999999999999999E-3</v>
      </c>
      <c r="N198">
        <f>[1]!'6505.BidPrice'</f>
        <v>83.7</v>
      </c>
      <c r="O198">
        <f>[1]!'6505.AskPrice'</f>
        <v>83.8</v>
      </c>
      <c r="P198">
        <f>[1]!'6505.Price'</f>
        <v>83.7</v>
      </c>
      <c r="Q198">
        <f>[1]!'6505.Volume'</f>
        <v>161</v>
      </c>
      <c r="R198">
        <f>[1]!'6505.CumulativeVolume'</f>
        <v>1968</v>
      </c>
      <c r="S198">
        <f>[1]!'6505.PreviousVolume'</f>
        <v>2247</v>
      </c>
      <c r="T198" s="3">
        <f t="shared" si="24"/>
        <v>-9.4674556213017423E-3</v>
      </c>
      <c r="U198" s="3">
        <f>((T198*AB198)*D4)</f>
        <v>-2.7051885976049634</v>
      </c>
      <c r="V198" s="5">
        <f t="shared" si="25"/>
        <v>13475700</v>
      </c>
      <c r="W198" s="5">
        <f t="shared" si="26"/>
        <v>0</v>
      </c>
      <c r="X198">
        <v>6505</v>
      </c>
      <c r="Y198" s="5">
        <v>95259596520</v>
      </c>
      <c r="Z198" s="3">
        <f>((D2*AB198)/P198)/10</f>
        <v>0.34442063858330763</v>
      </c>
      <c r="AA198" s="3">
        <f>((M198*AB198)*D2)</f>
        <v>-1.7008524395159481</v>
      </c>
      <c r="AB198" s="3">
        <f>AE198/AE323</f>
        <v>2.2357691522741467E-2</v>
      </c>
      <c r="AC198" s="3">
        <f>AF198/AF323</f>
        <v>2.2282284477949561E-2</v>
      </c>
      <c r="AD198" s="5">
        <f t="shared" si="27"/>
        <v>797322822872.40002</v>
      </c>
      <c r="AE198" s="5">
        <f t="shared" si="28"/>
        <v>797322822872.40002</v>
      </c>
      <c r="AF198" s="5">
        <f t="shared" si="29"/>
        <v>802085802698.40002</v>
      </c>
      <c r="AG198" t="str">
        <f t="shared" si="30"/>
        <v>DBM150</v>
      </c>
      <c r="AH198">
        <f t="shared" si="31"/>
        <v>0</v>
      </c>
      <c r="AI198">
        <f t="shared" si="32"/>
        <v>0</v>
      </c>
      <c r="AJ198">
        <f t="shared" si="33"/>
        <v>0</v>
      </c>
      <c r="AK198" t="str">
        <f>IF(Q198&lt;11,"down",IF(Q198=11,11,IF(Q198&gt;11,"up")))</f>
        <v>up</v>
      </c>
    </row>
    <row r="199" spans="1:37" x14ac:dyDescent="0.25">
      <c r="A199">
        <f>IF(X199=1301,1301,"Error")</f>
        <v>1301</v>
      </c>
      <c r="B199" t="str">
        <f>IF(K199&lt;79.7,"down",IF(K199=79.7,"low",IF(K199=81.1,"high",IF(AND(K199&gt;79.7,K199&lt;81.1),"normal","up"))))</f>
        <v>up</v>
      </c>
      <c r="C199" t="str">
        <f>IF(K199&lt;79.7,"down",IF(K199=79.7,"low",IF(K199=81.1,"high",IF(AND(K199&gt;79.7,K199&lt;81.1),"normal","up"))))</f>
        <v>up</v>
      </c>
      <c r="D199" t="str">
        <f>IF(K199&lt;79.7,"down",IF(K199=79.7,"low",IF(K199=81.1,"high",IF(AND(K199&gt;79.7,K199&lt;81.1),"normal","up"))))</f>
        <v>up</v>
      </c>
      <c r="E199" t="str">
        <f>IF(K199&lt;77.3,"down",IF(K199=77.3,"low",IF(K199=81.1,"high",IF(AND(K199&gt;77.3,K199&lt;81.1),"normal","up"))))</f>
        <v>up</v>
      </c>
      <c r="F199" t="str">
        <f>IF(P199&lt;80.9,"PVP-down",IF(P199=80.9,80.9,IF(P199&gt;80.9,"PVP-up")))</f>
        <v>PVP-up</v>
      </c>
      <c r="G199" t="str">
        <f>IF(R199&lt;863,"PVV-down",IF(R199=863,863,IF(R199&gt;863,"PVV-up")))</f>
        <v>PVV-up</v>
      </c>
      <c r="H199" s="3">
        <f t="shared" si="23"/>
        <v>1.3055825371975666E-3</v>
      </c>
      <c r="I199">
        <f>[1]!'1301.PreviousPrice'</f>
        <v>81.099999999999994</v>
      </c>
      <c r="J199">
        <f>[1]!'1301.PreOpenPrice'</f>
        <v>81.5</v>
      </c>
      <c r="K199">
        <f>[1]!'1301.Open'</f>
        <v>81.5</v>
      </c>
      <c r="L199">
        <f>[1]!'1301.Change'</f>
        <v>0.4</v>
      </c>
      <c r="M199">
        <f>[1]!'1301.ChangePercent'</f>
        <v>4.8999999999999998E-3</v>
      </c>
      <c r="N199">
        <f>[1]!'1301.BidPrice'</f>
        <v>81.5</v>
      </c>
      <c r="O199">
        <f>[1]!'1301.AskPrice'</f>
        <v>81.599999999999994</v>
      </c>
      <c r="P199">
        <f>[1]!'1301.Price'</f>
        <v>81.5</v>
      </c>
      <c r="Q199">
        <f>[1]!'1301.Volume'</f>
        <v>663</v>
      </c>
      <c r="R199">
        <f>[1]!'1301.CumulativeVolume'</f>
        <v>8311</v>
      </c>
      <c r="S199">
        <f>[1]!'1301.PreviousVolume'</f>
        <v>6031</v>
      </c>
      <c r="T199" s="3">
        <f t="shared" si="24"/>
        <v>0</v>
      </c>
      <c r="U199" s="3">
        <f>((T199*AB199)*D4)</f>
        <v>0</v>
      </c>
      <c r="V199" s="5">
        <f t="shared" si="25"/>
        <v>54034500</v>
      </c>
      <c r="W199" s="5">
        <f t="shared" si="26"/>
        <v>0</v>
      </c>
      <c r="X199">
        <v>1301</v>
      </c>
      <c r="Y199" s="5">
        <v>63657407810</v>
      </c>
      <c r="Z199" s="3">
        <f>((D2*AB199)/P199)/10</f>
        <v>0.23015975134720459</v>
      </c>
      <c r="AA199" s="3">
        <f>((M199*AB199)*D2)</f>
        <v>0.91914296700506137</v>
      </c>
      <c r="AB199" s="3">
        <f>AE199/AE323</f>
        <v>1.454786701938667E-2</v>
      </c>
      <c r="AC199" s="3">
        <f>AF199/AF323</f>
        <v>1.4341966024837272E-2</v>
      </c>
      <c r="AD199" s="5">
        <f t="shared" si="27"/>
        <v>518807873651.5</v>
      </c>
      <c r="AE199" s="5">
        <f t="shared" si="28"/>
        <v>518807873651.5</v>
      </c>
      <c r="AF199" s="5">
        <f t="shared" si="29"/>
        <v>516261577339.09998</v>
      </c>
      <c r="AG199">
        <f t="shared" si="30"/>
        <v>0</v>
      </c>
      <c r="AH199">
        <f t="shared" si="31"/>
        <v>0</v>
      </c>
      <c r="AI199">
        <f t="shared" si="32"/>
        <v>0</v>
      </c>
      <c r="AJ199" t="str">
        <f t="shared" si="33"/>
        <v>UBM200</v>
      </c>
      <c r="AK199" t="str">
        <f>IF(Q199&lt;138,"down",IF(Q199=138,138,IF(Q199&gt;138,"up")))</f>
        <v>up</v>
      </c>
    </row>
    <row r="200" spans="1:37" x14ac:dyDescent="0.25">
      <c r="A200">
        <f>IF(X200=1303,1303,"Error")</f>
        <v>1303</v>
      </c>
      <c r="B200" t="str">
        <f>IF(K200&lt;61,"down",IF(K200=61,"low",IF(K200=63.5,"high",IF(AND(K200&gt;61,K200&lt;63.5),"normal","up"))))</f>
        <v>normal</v>
      </c>
      <c r="C200" t="str">
        <f>IF(K200&lt;61,"down",IF(K200=61,"low",IF(K200=63.5,"high",IF(AND(K200&gt;61,K200&lt;63.5),"normal","up"))))</f>
        <v>normal</v>
      </c>
      <c r="D200" t="str">
        <f>IF(K200&lt;61,"down",IF(K200=61,"low",IF(K200=63.5,"high",IF(AND(K200&gt;61,K200&lt;63.5),"normal","up"))))</f>
        <v>normal</v>
      </c>
      <c r="E200" t="str">
        <f>IF(K200&lt;60,"down",IF(K200=60,"low",IF(K200=63.5,"high",IF(AND(K200&gt;60,K200&lt;63.5),"normal","up"))))</f>
        <v>normal</v>
      </c>
      <c r="F200" t="str">
        <f>IF(P200&lt;63.2,"PVP-down",IF(P200=63.2,63.2,IF(P200&gt;63.2,"PVP-up")))</f>
        <v>PVP-down</v>
      </c>
      <c r="G200" t="str">
        <f>IF(R200&lt;697,"PVV-down",IF(R200=697,697,IF(R200&gt;697,"PVV-up")))</f>
        <v>PVV-up</v>
      </c>
      <c r="H200" s="3">
        <f t="shared" si="23"/>
        <v>6.3965630080951754E-4</v>
      </c>
      <c r="I200">
        <f>[1]!'1303.PreviousPrice'</f>
        <v>63.2</v>
      </c>
      <c r="J200">
        <f>[1]!'1303.PreOpenPrice'</f>
        <v>62.8</v>
      </c>
      <c r="K200">
        <f>[1]!'1303.Open'</f>
        <v>63.1</v>
      </c>
      <c r="L200">
        <f>[1]!'1303.Change'</f>
        <v>-0.4</v>
      </c>
      <c r="M200">
        <f>[1]!'1303.ChangePercent'</f>
        <v>-6.3E-3</v>
      </c>
      <c r="N200">
        <f>[1]!'1303.BidPrice'</f>
        <v>62.8</v>
      </c>
      <c r="O200">
        <f>[1]!'1303.AskPrice'</f>
        <v>63</v>
      </c>
      <c r="P200">
        <f>[1]!'1303.Price'</f>
        <v>62.8</v>
      </c>
      <c r="Q200">
        <f>[1]!'1303.Volume'</f>
        <v>710</v>
      </c>
      <c r="R200">
        <f>[1]!'1303.CumulativeVolume'</f>
        <v>5073</v>
      </c>
      <c r="S200">
        <f>[1]!'1303.PreviousVolume'</f>
        <v>6100</v>
      </c>
      <c r="T200" s="3">
        <f t="shared" si="24"/>
        <v>-4.7543581616482453E-3</v>
      </c>
      <c r="U200" s="3">
        <f>((T200*AB200)*D4)</f>
        <v>-0.84859368165478777</v>
      </c>
      <c r="V200" s="5">
        <f t="shared" si="25"/>
        <v>44588000</v>
      </c>
      <c r="W200" s="5">
        <f t="shared" si="26"/>
        <v>0</v>
      </c>
      <c r="X200">
        <v>1303</v>
      </c>
      <c r="Y200" s="5">
        <v>79308215890</v>
      </c>
      <c r="Z200" s="3">
        <f>((D2*AB200)/P200)/10</f>
        <v>0.2867468198440426</v>
      </c>
      <c r="AA200" s="3">
        <f>((M200*AB200)*D2)</f>
        <v>-1.1344851180309701</v>
      </c>
      <c r="AB200" s="3">
        <f>AE200/AE323</f>
        <v>1.3965953378475162E-2</v>
      </c>
      <c r="AC200" s="3">
        <f>AF200/AF323</f>
        <v>1.3924324757715694E-2</v>
      </c>
      <c r="AD200" s="5">
        <f t="shared" si="27"/>
        <v>498055595789.20001</v>
      </c>
      <c r="AE200" s="5">
        <f t="shared" si="28"/>
        <v>498055595789.20001</v>
      </c>
      <c r="AF200" s="5">
        <f t="shared" si="29"/>
        <v>501227924424.79999</v>
      </c>
      <c r="AG200" t="str">
        <f t="shared" si="30"/>
        <v>DBM200</v>
      </c>
      <c r="AH200">
        <f t="shared" si="31"/>
        <v>0</v>
      </c>
      <c r="AI200">
        <f t="shared" si="32"/>
        <v>0</v>
      </c>
      <c r="AJ200">
        <f t="shared" si="33"/>
        <v>0</v>
      </c>
      <c r="AK200" t="str">
        <f>IF(Q200&lt;24,"down",IF(Q200=24,24,IF(Q200&gt;24,"up")))</f>
        <v>up</v>
      </c>
    </row>
    <row r="201" spans="1:37" x14ac:dyDescent="0.25">
      <c r="A201">
        <f>IF(X201=1216,1216,"Error")</f>
        <v>1216</v>
      </c>
      <c r="B201" t="str">
        <f>IF(K201&lt;68.7,"down",IF(K201=68.7,"low",IF(K201=69.3,"high",IF(AND(K201&gt;68.7,K201&lt;69.3),"normal","up"))))</f>
        <v>normal</v>
      </c>
      <c r="C201" t="str">
        <f>IF(K201&lt;68.7,"down",IF(K201=68.7,"low",IF(K201=69.3,"high",IF(AND(K201&gt;68.7,K201&lt;69.3),"normal","up"))))</f>
        <v>normal</v>
      </c>
      <c r="D201" t="str">
        <f>IF(K201&lt;68.7,"down",IF(K201=68.7,"low",IF(K201=69.3,"high",IF(AND(K201&gt;68.7,K201&lt;69.3),"normal","up"))))</f>
        <v>normal</v>
      </c>
      <c r="E201" t="str">
        <f>IF(K201&lt;68.7,"down",IF(K201=68.7,"low",IF(K201=71.4,"high",IF(AND(K201&gt;68.7,K201&lt;71.4),"normal","up"))))</f>
        <v>normal</v>
      </c>
      <c r="F201" t="str">
        <f>IF(P201&lt;68.9,"PVP-down",IF(P201=68.9,68.9,IF(P201&gt;68.9,"PVP-up")))</f>
        <v>PVP-down</v>
      </c>
      <c r="G201" t="str">
        <f>IF(R201&lt;2106,"PVV-down",IF(R201=2106,2106,IF(R201&gt;2106,"PVV-up")))</f>
        <v>PVV-up</v>
      </c>
      <c r="H201" s="3">
        <f t="shared" si="23"/>
        <v>1.4248465377405036E-3</v>
      </c>
      <c r="I201">
        <f>[1]!'1216.PreviousPrice'</f>
        <v>69</v>
      </c>
      <c r="J201">
        <f>[1]!'1216.PreOpenPrice'</f>
        <v>68.599999999999994</v>
      </c>
      <c r="K201">
        <f>[1]!'1216.Open'</f>
        <v>69.099999999999994</v>
      </c>
      <c r="L201">
        <f>[1]!'1216.Change'</f>
        <v>-0.4</v>
      </c>
      <c r="M201">
        <f>[1]!'1216.ChangePercent'</f>
        <v>-5.7999999999999996E-3</v>
      </c>
      <c r="N201">
        <f>[1]!'1216.BidPrice'</f>
        <v>68.599999999999994</v>
      </c>
      <c r="O201">
        <f>[1]!'1216.AskPrice'</f>
        <v>68.8</v>
      </c>
      <c r="P201">
        <f>[1]!'1216.Price'</f>
        <v>68.599999999999994</v>
      </c>
      <c r="Q201">
        <f>[1]!'1216.Volume'</f>
        <v>1287</v>
      </c>
      <c r="R201">
        <f>[1]!'1216.CumulativeVolume'</f>
        <v>8096</v>
      </c>
      <c r="S201">
        <f>[1]!'1216.PreviousVolume'</f>
        <v>7478</v>
      </c>
      <c r="T201" s="3">
        <f t="shared" si="24"/>
        <v>-7.2358900144717806E-3</v>
      </c>
      <c r="U201" s="3">
        <f>((T201*AB201)*D4)</f>
        <v>-1.0107611833973746</v>
      </c>
      <c r="V201" s="5">
        <f t="shared" si="25"/>
        <v>88288200</v>
      </c>
      <c r="W201" s="5">
        <f t="shared" si="26"/>
        <v>0</v>
      </c>
      <c r="X201">
        <v>1216</v>
      </c>
      <c r="Y201" s="5">
        <v>56820154210</v>
      </c>
      <c r="Z201" s="3">
        <f>((D2*AB201)/P201)/10</f>
        <v>0.20543897425915966</v>
      </c>
      <c r="AA201" s="3">
        <f>((M201*AB201)*D2)</f>
        <v>-0.81740059078234428</v>
      </c>
      <c r="AB201" s="3">
        <f>AE201/AE323</f>
        <v>1.0929978000758764E-2</v>
      </c>
      <c r="AC201" s="3">
        <f>AF201/AF323</f>
        <v>1.0891567420728132E-2</v>
      </c>
      <c r="AD201" s="5">
        <f t="shared" si="27"/>
        <v>389786257880.59998</v>
      </c>
      <c r="AE201" s="5">
        <f t="shared" si="28"/>
        <v>389786257880.59998</v>
      </c>
      <c r="AF201" s="5">
        <f t="shared" si="29"/>
        <v>392059064049</v>
      </c>
      <c r="AG201" t="str">
        <f t="shared" si="30"/>
        <v>DBM200</v>
      </c>
      <c r="AH201">
        <f t="shared" si="31"/>
        <v>0</v>
      </c>
      <c r="AI201">
        <f t="shared" si="32"/>
        <v>0</v>
      </c>
      <c r="AJ201">
        <f t="shared" si="33"/>
        <v>0</v>
      </c>
      <c r="AK201" t="str">
        <f>IF(Q201&lt;91,"down",IF(Q201=91,91,IF(Q201&gt;91,"up")))</f>
        <v>up</v>
      </c>
    </row>
    <row r="202" spans="1:37" x14ac:dyDescent="0.25">
      <c r="A202">
        <f>IF(X202=1326,1326,"Error")</f>
        <v>1326</v>
      </c>
      <c r="B202" t="str">
        <f>IF(K202&lt;69.1,"down",IF(K202=69.1,"low",IF(K202=70.8,"high",IF(AND(K202&gt;69.1,K202&lt;70.8),"normal","up"))))</f>
        <v>up</v>
      </c>
      <c r="C202" t="str">
        <f>IF(K202&lt;69.1,"down",IF(K202=69.1,"low",IF(K202=70.8,"high",IF(AND(K202&gt;69.1,K202&lt;70.8),"normal","up"))))</f>
        <v>up</v>
      </c>
      <c r="D202" t="str">
        <f>IF(K202&lt;69.1,"down",IF(K202=69.1,"low",IF(K202=70.8,"high",IF(AND(K202&gt;69.1,K202&lt;70.8),"normal","up"))))</f>
        <v>up</v>
      </c>
      <c r="E202" t="str">
        <f>IF(K202&lt;66.5,"down",IF(K202=66.5,"low",IF(K202=70.8,"high",IF(AND(K202&gt;66.5,K202&lt;70.8),"normal","up"))))</f>
        <v>up</v>
      </c>
      <c r="F202" t="str">
        <f>IF(P202&lt;70.7,"PVP-down",IF(P202=70.7,70.7,IF(P202&gt;70.7,"PVP-up")))</f>
        <v>PVP-up</v>
      </c>
      <c r="G202" t="str">
        <f>IF(R202&lt;750,"PVV-down",IF(R202=750,750,IF(R202&gt;750,"PVV-up")))</f>
        <v>PVV-up</v>
      </c>
      <c r="H202" s="3">
        <f t="shared" si="23"/>
        <v>1.0653133495497013E-3</v>
      </c>
      <c r="I202">
        <f>[1]!'1326.PreviousPrice'</f>
        <v>70.7</v>
      </c>
      <c r="J202">
        <f>[1]!'1326.PreOpenPrice'</f>
        <v>71</v>
      </c>
      <c r="K202">
        <f>[1]!'1326.Open'</f>
        <v>71.099999999999994</v>
      </c>
      <c r="L202">
        <f>[1]!'1326.Change'</f>
        <v>0.3</v>
      </c>
      <c r="M202">
        <f>[1]!'1326.ChangePercent'</f>
        <v>4.1999999999999997E-3</v>
      </c>
      <c r="N202">
        <f>[1]!'1326.BidPrice'</f>
        <v>71</v>
      </c>
      <c r="O202">
        <f>[1]!'1326.AskPrice'</f>
        <v>71.099999999999994</v>
      </c>
      <c r="P202">
        <f>[1]!'1326.Price'</f>
        <v>71</v>
      </c>
      <c r="Q202">
        <f>[1]!'1326.Volume'</f>
        <v>591</v>
      </c>
      <c r="R202">
        <f>[1]!'1326.CumulativeVolume'</f>
        <v>6244</v>
      </c>
      <c r="S202">
        <f>[1]!'1326.PreviousVolume'</f>
        <v>4718</v>
      </c>
      <c r="T202" s="3">
        <f t="shared" si="24"/>
        <v>-1.4064697609000609E-3</v>
      </c>
      <c r="U202" s="3">
        <f>((T202*AB202)*D4)</f>
        <v>-0.20975114855372418</v>
      </c>
      <c r="V202" s="5">
        <f t="shared" si="25"/>
        <v>41961000</v>
      </c>
      <c r="W202" s="5">
        <f t="shared" si="26"/>
        <v>0</v>
      </c>
      <c r="X202">
        <v>1326</v>
      </c>
      <c r="Y202" s="5">
        <v>58611862910</v>
      </c>
      <c r="Z202" s="3">
        <f>((D2*AB202)/P202)/10</f>
        <v>0.21191707701366486</v>
      </c>
      <c r="AA202" s="3">
        <f>((M202*AB202)*D2)</f>
        <v>0.63193672365474862</v>
      </c>
      <c r="AB202" s="3">
        <f>AE202/AE323</f>
        <v>1.1669080555273931E-2</v>
      </c>
      <c r="AC202" s="3">
        <f>AF202/AF323</f>
        <v>1.1511815600224995E-2</v>
      </c>
      <c r="AD202" s="5">
        <f t="shared" si="27"/>
        <v>416144226661</v>
      </c>
      <c r="AE202" s="5">
        <f t="shared" si="28"/>
        <v>416144226661</v>
      </c>
      <c r="AF202" s="5">
        <f t="shared" si="29"/>
        <v>414385870773.70001</v>
      </c>
      <c r="AG202">
        <f t="shared" si="30"/>
        <v>0</v>
      </c>
      <c r="AH202">
        <f t="shared" si="31"/>
        <v>0</v>
      </c>
      <c r="AI202">
        <f t="shared" si="32"/>
        <v>0</v>
      </c>
      <c r="AJ202" t="str">
        <f t="shared" si="33"/>
        <v>UBM200</v>
      </c>
      <c r="AK202" t="str">
        <f>IF(Q202&lt;74,"down",IF(Q202=74,74,IF(Q202&gt;74,"up")))</f>
        <v>up</v>
      </c>
    </row>
    <row r="203" spans="1:37" x14ac:dyDescent="0.25">
      <c r="A203">
        <f>IF(X203=2207,2207,"Error")</f>
        <v>2207</v>
      </c>
      <c r="B203" t="str">
        <f>IF(K203&lt;651,"down",IF(K203=651,"low",IF(K203=668,"high",IF(AND(K203&gt;651,K203&lt;668),"normal","up"))))</f>
        <v>high</v>
      </c>
      <c r="C203" t="str">
        <f>IF(K203&lt;651,"down",IF(K203=651,"low",IF(K203=668,"high",IF(AND(K203&gt;651,K203&lt;668),"normal","up"))))</f>
        <v>high</v>
      </c>
      <c r="D203" t="str">
        <f>IF(K203&lt;651,"down",IF(K203=651,"low",IF(K203=668,"high",IF(AND(K203&gt;651,K203&lt;668),"normal","up"))))</f>
        <v>high</v>
      </c>
      <c r="E203" t="str">
        <f>IF(K203&lt;645,"down",IF(K203=645,"low",IF(K203=675,"high",IF(AND(K203&gt;645,K203&lt;675),"normal","up"))))</f>
        <v>normal</v>
      </c>
      <c r="F203" t="str">
        <f>IF(P203&lt;667,"PVP-down",IF(P203=667,667,IF(P203&gt;667,"PVP-up")))</f>
        <v>PVP-down</v>
      </c>
      <c r="G203" t="str">
        <f>IF(R203&lt;41,"PVV-down",IF(R203=41,41,IF(R203&gt;41,"PVV-up")))</f>
        <v>PVV-up</v>
      </c>
      <c r="H203" s="3">
        <f t="shared" si="23"/>
        <v>4.7786515423114333E-4</v>
      </c>
      <c r="I203">
        <f>[1]!'2207.PreviousPrice'</f>
        <v>668</v>
      </c>
      <c r="J203">
        <f>[1]!'2207.PreOpenPrice'</f>
        <v>652</v>
      </c>
      <c r="K203">
        <f>[1]!'2207.Open'</f>
        <v>668</v>
      </c>
      <c r="L203">
        <f>[1]!'2207.Change'</f>
        <v>-16</v>
      </c>
      <c r="M203">
        <f>[1]!'2207.ChangePercent'</f>
        <v>-2.4E-2</v>
      </c>
      <c r="N203">
        <f>[1]!'2207.BidPrice'</f>
        <v>652</v>
      </c>
      <c r="O203">
        <f>[1]!'2207.AskPrice'</f>
        <v>655</v>
      </c>
      <c r="P203">
        <f>[1]!'2207.Price'</f>
        <v>652</v>
      </c>
      <c r="Q203">
        <f>[1]!'2207.Volume'</f>
        <v>54</v>
      </c>
      <c r="R203">
        <f>[1]!'2207.CumulativeVolume'</f>
        <v>261</v>
      </c>
      <c r="S203">
        <f>[1]!'2207.PreviousVolume'</f>
        <v>273</v>
      </c>
      <c r="T203" s="3">
        <f t="shared" si="24"/>
        <v>-2.3952095808383235E-2</v>
      </c>
      <c r="U203" s="3">
        <f>((T203*AB203)*D4)</f>
        <v>-3.056724758786133</v>
      </c>
      <c r="V203" s="5">
        <f t="shared" si="25"/>
        <v>35208000</v>
      </c>
      <c r="W203" s="5">
        <f t="shared" si="26"/>
        <v>0</v>
      </c>
      <c r="X203">
        <v>2207</v>
      </c>
      <c r="Y203" s="5">
        <v>5461791840</v>
      </c>
      <c r="Z203" s="3">
        <f>((D2*AB203)/P203)/10</f>
        <v>1.9747656950729848E-2</v>
      </c>
      <c r="AA203" s="3">
        <f>((M203*AB203)*D2)</f>
        <v>-3.0901133596502066</v>
      </c>
      <c r="AB203" s="3">
        <f>AE203/AE323</f>
        <v>9.9856307832137895E-3</v>
      </c>
      <c r="AC203" s="3">
        <f>AF203/AF323</f>
        <v>1.0135624021524091E-2</v>
      </c>
      <c r="AD203" s="5">
        <f t="shared" si="27"/>
        <v>356108827968</v>
      </c>
      <c r="AE203" s="5">
        <f t="shared" si="28"/>
        <v>356108827968</v>
      </c>
      <c r="AF203" s="5">
        <f t="shared" si="29"/>
        <v>364847694912</v>
      </c>
      <c r="AG203" t="str">
        <f t="shared" si="30"/>
        <v>DBM50</v>
      </c>
      <c r="AH203">
        <f t="shared" si="31"/>
        <v>0</v>
      </c>
      <c r="AI203">
        <f t="shared" si="32"/>
        <v>0</v>
      </c>
      <c r="AJ203">
        <f t="shared" si="33"/>
        <v>0</v>
      </c>
      <c r="AK203" t="str">
        <f>IF(Q203&lt;4,"down",IF(Q203=4,4,IF(Q203&gt;4,"up")))</f>
        <v>up</v>
      </c>
    </row>
    <row r="204" spans="1:37" x14ac:dyDescent="0.25">
      <c r="A204">
        <f>IF(X204=2002,2002,"Error")</f>
        <v>2002</v>
      </c>
      <c r="B204" t="str">
        <f>IF(K204&lt;19.95,"down",IF(K204=19.95,"low",IF(K204=20.1,"high",IF(AND(K204&gt;19.95,K204&lt;20.1),"normal","up"))))</f>
        <v>high</v>
      </c>
      <c r="C204" t="str">
        <f>IF(K204&lt;19.95,"down",IF(K204=19.95,"low",IF(K204=20.1,"high",IF(AND(K204&gt;19.95,K204&lt;20.1),"normal","up"))))</f>
        <v>high</v>
      </c>
      <c r="D204" t="str">
        <f>IF(K204&lt;19.95,"down",IF(K204=19.95,"low",IF(K204=20.1,"high",IF(AND(K204&gt;19.95,K204&lt;20.1),"normal","up"))))</f>
        <v>high</v>
      </c>
      <c r="E204" t="str">
        <f>IF(K204&lt;19.6,"down",IF(K204=19.6,"low",IF(K204=20.1,"high",IF(AND(K204&gt;19.6,K204&lt;20.1),"normal","up"))))</f>
        <v>high</v>
      </c>
      <c r="F204" t="str">
        <f>IF(P204&lt;20.05,"PVP-down",IF(P204=20.05,20.05,IF(P204&gt;20.05,"PVP-up")))</f>
        <v>PVP-up</v>
      </c>
      <c r="G204" t="str">
        <f>IF(R204&lt;3589,"PVV-down",IF(R204=3589,3589,IF(R204&gt;3589,"PVV-up")))</f>
        <v>PVV-up</v>
      </c>
      <c r="H204" s="3">
        <f t="shared" si="23"/>
        <v>9.0178683022291571E-4</v>
      </c>
      <c r="I204">
        <f>[1]!'2002.PreviousPrice'</f>
        <v>20.100000000000001</v>
      </c>
      <c r="J204">
        <f>[1]!'2002.PreOpenPrice'</f>
        <v>20.2</v>
      </c>
      <c r="K204">
        <f>[1]!'2002.Open'</f>
        <v>20.100000000000001</v>
      </c>
      <c r="L204">
        <f>[1]!'2002.Change'</f>
        <v>0.1</v>
      </c>
      <c r="M204">
        <f>[1]!'2002.ChangePercent'</f>
        <v>5.0000000000000001E-3</v>
      </c>
      <c r="N204">
        <f>[1]!'2002.BidPrice'</f>
        <v>20.149999999999999</v>
      </c>
      <c r="O204">
        <f>[1]!'2002.AskPrice'</f>
        <v>20.2</v>
      </c>
      <c r="P204">
        <f>[1]!'2002.Price'</f>
        <v>20.2</v>
      </c>
      <c r="Q204">
        <f>[1]!'2002.Volume'</f>
        <v>1939</v>
      </c>
      <c r="R204">
        <f>[1]!'2002.CumulativeVolume'</f>
        <v>14224</v>
      </c>
      <c r="S204">
        <f>[1]!'2002.PreviousVolume'</f>
        <v>8581</v>
      </c>
      <c r="T204" s="3">
        <f t="shared" si="24"/>
        <v>4.975124378109346E-3</v>
      </c>
      <c r="U204" s="3">
        <f>((T204*AB204)*D4)</f>
        <v>0.56807181419880604</v>
      </c>
      <c r="V204" s="5">
        <f t="shared" si="25"/>
        <v>0</v>
      </c>
      <c r="W204" s="5">
        <f t="shared" si="26"/>
        <v>39167799.999999993</v>
      </c>
      <c r="X204">
        <v>2002</v>
      </c>
      <c r="Y204" s="5">
        <v>157731289960</v>
      </c>
      <c r="Z204" s="3">
        <f>((D2*AB204)/P204)/10</f>
        <v>0.57029332053895687</v>
      </c>
      <c r="AA204" s="3">
        <f>((M204*AB204)*D2)</f>
        <v>0.57599625374434638</v>
      </c>
      <c r="AB204" s="3">
        <f>AE204/AE323</f>
        <v>8.934329978972335E-3</v>
      </c>
      <c r="AC204" s="3">
        <f>AF204/AF323</f>
        <v>8.8075029615270577E-3</v>
      </c>
      <c r="AD204" s="5">
        <f t="shared" si="27"/>
        <v>318617205719.20001</v>
      </c>
      <c r="AE204" s="5">
        <f t="shared" si="28"/>
        <v>318617205719.20001</v>
      </c>
      <c r="AF204" s="5">
        <f t="shared" si="29"/>
        <v>317039892819.59998</v>
      </c>
      <c r="AG204">
        <f t="shared" si="30"/>
        <v>0</v>
      </c>
      <c r="AH204">
        <f t="shared" si="31"/>
        <v>0</v>
      </c>
      <c r="AI204" t="str">
        <f t="shared" si="32"/>
        <v>UAM200</v>
      </c>
      <c r="AJ204">
        <f t="shared" si="33"/>
        <v>0</v>
      </c>
      <c r="AK204" t="str">
        <f>IF(Q204&lt;167,"down",IF(Q204=167,167,IF(Q204&gt;167,"up")))</f>
        <v>up</v>
      </c>
    </row>
    <row r="205" spans="1:37" x14ac:dyDescent="0.25">
      <c r="A205">
        <f>IF(X205=2912,2912,"Error")</f>
        <v>2912</v>
      </c>
      <c r="B205" t="str">
        <f>IF(K205&lt;273,"down",IF(K205=273,"low",IF(K205=276,"high",IF(AND(K205&gt;273,K205&lt;276),"normal","up"))))</f>
        <v>high</v>
      </c>
      <c r="C205" t="str">
        <f>IF(K205&lt;273,"down",IF(K205=273,"low",IF(K205=276,"high",IF(AND(K205&gt;273,K205&lt;276),"normal","up"))))</f>
        <v>high</v>
      </c>
      <c r="D205" t="str">
        <f>IF(K205&lt;273,"down",IF(K205=273,"low",IF(K205=276,"high",IF(AND(K205&gt;273,K205&lt;276),"normal","up"))))</f>
        <v>high</v>
      </c>
      <c r="E205" t="str">
        <f>IF(K205&lt;270,"down",IF(K205=270,"low",IF(K205=280,"high",IF(AND(K205&gt;270,K205&lt;280),"normal","up"))))</f>
        <v>normal</v>
      </c>
      <c r="F205" t="str">
        <f>IF(P205&lt;275,"PVP-down",IF(P205=275,275,IF(P205&gt;275,"PVP-up")))</f>
        <v>PVP-up</v>
      </c>
      <c r="G205" t="str">
        <f>IF(R205&lt;296,"PVV-down",IF(R205=296,296,IF(R205&gt;296,"PVV-up")))</f>
        <v>PVV-up</v>
      </c>
      <c r="H205" s="3">
        <f t="shared" si="23"/>
        <v>1.4553362942389108E-3</v>
      </c>
      <c r="I205">
        <f>[1]!'2912.PreviousPrice'</f>
        <v>275</v>
      </c>
      <c r="J205">
        <f>[1]!'2912.PreOpenPrice'</f>
        <v>276</v>
      </c>
      <c r="K205">
        <f>[1]!'2912.Open'</f>
        <v>276</v>
      </c>
      <c r="L205">
        <f>[1]!'2912.Change'</f>
        <v>1</v>
      </c>
      <c r="M205">
        <f>[1]!'2912.ChangePercent'</f>
        <v>3.5999999999999999E-3</v>
      </c>
      <c r="N205">
        <f>[1]!'2912.BidPrice'</f>
        <v>276</v>
      </c>
      <c r="O205">
        <f>[1]!'2912.AskPrice'</f>
        <v>277</v>
      </c>
      <c r="P205">
        <f>[1]!'2912.Price'</f>
        <v>276</v>
      </c>
      <c r="Q205">
        <f>[1]!'2912.Volume'</f>
        <v>189</v>
      </c>
      <c r="R205">
        <f>[1]!'2912.CumulativeVolume'</f>
        <v>1513</v>
      </c>
      <c r="S205">
        <f>[1]!'2912.PreviousVolume'</f>
        <v>755</v>
      </c>
      <c r="T205" s="3">
        <f t="shared" si="24"/>
        <v>0</v>
      </c>
      <c r="U205" s="3">
        <f>((T205*AB205)*D4)</f>
        <v>0</v>
      </c>
      <c r="V205" s="5">
        <f t="shared" si="25"/>
        <v>52164000</v>
      </c>
      <c r="W205" s="5">
        <f t="shared" si="26"/>
        <v>0</v>
      </c>
      <c r="X205">
        <v>2912</v>
      </c>
      <c r="Y205" s="5">
        <v>10396222550</v>
      </c>
      <c r="Z205" s="3">
        <f>((D2*AB205)/P205)/10</f>
        <v>3.758858677060857E-2</v>
      </c>
      <c r="AA205" s="3">
        <f>((M205*AB205)*D2)</f>
        <v>0.37348019815276678</v>
      </c>
      <c r="AB205" s="3">
        <f>AE205/AE323</f>
        <v>8.0459515656025795E-3</v>
      </c>
      <c r="AC205" s="3">
        <f>AF205/AF323</f>
        <v>7.9423157202580391E-3</v>
      </c>
      <c r="AD205" s="5">
        <f t="shared" si="27"/>
        <v>286935742380</v>
      </c>
      <c r="AE205" s="5">
        <f t="shared" si="28"/>
        <v>286935742380</v>
      </c>
      <c r="AF205" s="5">
        <f t="shared" si="29"/>
        <v>285896120125</v>
      </c>
      <c r="AG205">
        <f t="shared" si="30"/>
        <v>0</v>
      </c>
      <c r="AH205">
        <f t="shared" si="31"/>
        <v>0</v>
      </c>
      <c r="AI205">
        <f t="shared" si="32"/>
        <v>0</v>
      </c>
      <c r="AJ205" t="str">
        <f t="shared" si="33"/>
        <v>UBM150</v>
      </c>
      <c r="AK205" t="str">
        <f>IF(Q205&lt;20,"down",IF(Q205=20,20,IF(Q205&gt;20,"up")))</f>
        <v>up</v>
      </c>
    </row>
    <row r="206" spans="1:37" x14ac:dyDescent="0.25">
      <c r="A206">
        <f>IF(X206=1101,1101,"Error")</f>
        <v>1101</v>
      </c>
      <c r="B206" t="str">
        <f>IF(K206&lt;46.5,"down",IF(K206=46.5,"low",IF(K206=47,"high",IF(AND(K206&gt;46.5,K206&lt;47),"normal","up"))))</f>
        <v>normal</v>
      </c>
      <c r="C206" t="str">
        <f>IF(K206&lt;46.5,"down",IF(K206=46.5,"low",IF(K206=47,"high",IF(AND(K206&gt;46.5,K206&lt;47),"normal","up"))))</f>
        <v>normal</v>
      </c>
      <c r="D206" t="str">
        <f>IF(K206&lt;46.5,"down",IF(K206=46.5,"low",IF(K206=47,"high",IF(AND(K206&gt;46.5,K206&lt;47),"normal","up"))))</f>
        <v>normal</v>
      </c>
      <c r="E206" t="str">
        <f>IF(K206&lt;44.7,"down",IF(K206=44.7,"low",IF(K206=47.55,"high",IF(AND(K206&gt;44.7,K206&lt;47.55),"normal","up"))))</f>
        <v>normal</v>
      </c>
      <c r="F206" t="str">
        <f>IF(P206&lt;46.9,"PVP-down",IF(P206=46.9,46.9,IF(P206&gt;46.9,"PVP-up")))</f>
        <v>PVP-down</v>
      </c>
      <c r="G206" t="str">
        <f>IF(R206&lt;7182,"PVV-down",IF(R206=7182,7182,IF(R206&gt;7182,"PVV-up")))</f>
        <v>PVV-up</v>
      </c>
      <c r="H206" s="3">
        <f t="shared" si="23"/>
        <v>5.6541039640263125E-3</v>
      </c>
      <c r="I206">
        <f>[1]!'1101.PreviousPrice'</f>
        <v>46.6</v>
      </c>
      <c r="J206">
        <f>[1]!'1101.PreOpenPrice'</f>
        <v>46.5</v>
      </c>
      <c r="K206">
        <f>[1]!'1101.Open'</f>
        <v>46.55</v>
      </c>
      <c r="L206">
        <f>[1]!'1101.Change'</f>
        <v>-0.1</v>
      </c>
      <c r="M206">
        <f>[1]!'1101.ChangePercent'</f>
        <v>-2.0999999999999999E-3</v>
      </c>
      <c r="N206">
        <f>[1]!'1101.BidPrice'</f>
        <v>46.5</v>
      </c>
      <c r="O206">
        <f>[1]!'1101.AskPrice'</f>
        <v>46.55</v>
      </c>
      <c r="P206">
        <f>[1]!'1101.Price'</f>
        <v>46.5</v>
      </c>
      <c r="Q206">
        <f>[1]!'1101.Volume'</f>
        <v>1800</v>
      </c>
      <c r="R206">
        <f>[1]!'1101.CumulativeVolume'</f>
        <v>32034</v>
      </c>
      <c r="S206">
        <f>[1]!'1101.PreviousVolume'</f>
        <v>27017</v>
      </c>
      <c r="T206" s="3">
        <f t="shared" si="24"/>
        <v>-1.0741138560686823E-3</v>
      </c>
      <c r="U206" s="3">
        <f>((T206*AB206)*D4)</f>
        <v>-0.10140998719391335</v>
      </c>
      <c r="V206" s="5">
        <f t="shared" si="25"/>
        <v>83700000</v>
      </c>
      <c r="W206" s="5">
        <f t="shared" si="26"/>
        <v>0</v>
      </c>
      <c r="X206">
        <v>1101</v>
      </c>
      <c r="Y206" s="5">
        <v>56656192040</v>
      </c>
      <c r="Z206" s="3">
        <f>((D2*AB206)/P206)/10</f>
        <v>0.20484615256603975</v>
      </c>
      <c r="AA206" s="3">
        <f>((M206*AB206)*D2)</f>
        <v>-0.20003226798073781</v>
      </c>
      <c r="AB206" s="3">
        <f>AE206/AE323</f>
        <v>7.3874252321396378E-3</v>
      </c>
      <c r="AC206" s="3">
        <f>AF206/AF323</f>
        <v>7.3345282144265927E-3</v>
      </c>
      <c r="AD206" s="5">
        <f t="shared" si="27"/>
        <v>263451292986</v>
      </c>
      <c r="AE206" s="5">
        <f t="shared" si="28"/>
        <v>263451292986</v>
      </c>
      <c r="AF206" s="5">
        <f t="shared" si="29"/>
        <v>264017854906.39999</v>
      </c>
      <c r="AG206" t="str">
        <f t="shared" si="30"/>
        <v>DBM200</v>
      </c>
      <c r="AH206">
        <f t="shared" si="31"/>
        <v>0</v>
      </c>
      <c r="AI206">
        <f t="shared" si="32"/>
        <v>0</v>
      </c>
      <c r="AJ206">
        <f t="shared" si="33"/>
        <v>0</v>
      </c>
      <c r="AK206" t="str">
        <f>IF(Q206&lt;6349,"down",IF(Q206=6349,6349,IF(Q206&gt;6349,"up")))</f>
        <v>down</v>
      </c>
    </row>
    <row r="207" spans="1:37" x14ac:dyDescent="0.25">
      <c r="A207">
        <f>IF(X207=5871,5871,"Error")</f>
        <v>5871</v>
      </c>
      <c r="B207" t="str">
        <f>IF(K207&lt;123.5,"down",IF(K207=123.5,"low",IF(K207=126,"high",IF(AND(K207&gt;123.5,K207&lt;126),"normal","up"))))</f>
        <v>normal</v>
      </c>
      <c r="C207" t="str">
        <f>IF(K207&lt;123.5,"down",IF(K207=123.5,"low",IF(K207=126,"high",IF(AND(K207&gt;123.5,K207&lt;126),"normal","up"))))</f>
        <v>normal</v>
      </c>
      <c r="D207" t="str">
        <f>IF(K207&lt;123.5,"down",IF(K207=123.5,"low",IF(K207=126,"high",IF(AND(K207&gt;123.5,K207&lt;126),"normal","up"))))</f>
        <v>normal</v>
      </c>
      <c r="E207" t="str">
        <f>IF(K207&lt;120.5,"down",IF(K207=120.5,"low",IF(K207=127,"high",IF(AND(K207&gt;120.5,K207&lt;127),"normal","up"))))</f>
        <v>normal</v>
      </c>
      <c r="F207" t="str">
        <f>IF(P207&lt;125,"PVP-down",IF(P207=125,125,IF(P207&gt;125,"PVP-up")))</f>
        <v>PVP-down</v>
      </c>
      <c r="G207" t="str">
        <f>IF(R207&lt;1222,"PVV-down",IF(R207=1222,1222,IF(R207&gt;1222,"PVV-up")))</f>
        <v>PVV-up</v>
      </c>
      <c r="H207" s="3">
        <f t="shared" si="23"/>
        <v>1.8648720232913307E-3</v>
      </c>
      <c r="I207">
        <f>[1]!'5871.PreviousPrice'</f>
        <v>124</v>
      </c>
      <c r="J207">
        <f>[1]!'5871.PreOpenPrice'</f>
        <v>124</v>
      </c>
      <c r="K207">
        <f>[1]!'5871.Open'</f>
        <v>124.5</v>
      </c>
      <c r="L207">
        <f>[1]!'5871.Change'</f>
        <v>0</v>
      </c>
      <c r="M207">
        <f>[1]!'5871.ChangePercent'</f>
        <v>0</v>
      </c>
      <c r="N207">
        <f>[1]!'5871.BidPrice'</f>
        <v>124</v>
      </c>
      <c r="O207">
        <f>[1]!'5871.AskPrice'</f>
        <v>124.5</v>
      </c>
      <c r="P207">
        <f>[1]!'5871.Price'</f>
        <v>124</v>
      </c>
      <c r="Q207">
        <f>[1]!'5871.Volume'</f>
        <v>392</v>
      </c>
      <c r="R207">
        <f>[1]!'5871.CumulativeVolume'</f>
        <v>2576</v>
      </c>
      <c r="S207">
        <f>[1]!'5871.PreviousVolume'</f>
        <v>2437</v>
      </c>
      <c r="T207" s="3">
        <f t="shared" si="24"/>
        <v>-4.0160642570281121E-3</v>
      </c>
      <c r="U207" s="3">
        <f>((T207*AB207)*D4)</f>
        <v>-0.24651834162723854</v>
      </c>
      <c r="V207" s="5">
        <f t="shared" si="25"/>
        <v>48608000</v>
      </c>
      <c r="W207" s="5">
        <f t="shared" si="26"/>
        <v>0</v>
      </c>
      <c r="X207">
        <v>5871</v>
      </c>
      <c r="Y207" s="5">
        <v>13813280310</v>
      </c>
      <c r="Z207" s="3">
        <f>((D2*AB207)/P207)/10</f>
        <v>4.994330229292504E-2</v>
      </c>
      <c r="AA207" s="3">
        <f>((M207*AB207)*D2)</f>
        <v>0</v>
      </c>
      <c r="AB207" s="3">
        <f>AE207/AE323</f>
        <v>4.8029854849718509E-3</v>
      </c>
      <c r="AC207" s="3">
        <f>AF207/AF323</f>
        <v>4.758361089336605E-3</v>
      </c>
      <c r="AD207" s="5">
        <f t="shared" si="27"/>
        <v>171284675844</v>
      </c>
      <c r="AE207" s="5">
        <f t="shared" si="28"/>
        <v>171284675844</v>
      </c>
      <c r="AF207" s="5">
        <f t="shared" si="29"/>
        <v>171284675844</v>
      </c>
      <c r="AG207">
        <f t="shared" si="30"/>
        <v>0</v>
      </c>
      <c r="AH207">
        <f t="shared" si="31"/>
        <v>0</v>
      </c>
      <c r="AI207">
        <f t="shared" si="32"/>
        <v>0</v>
      </c>
      <c r="AJ207">
        <f t="shared" si="33"/>
        <v>0</v>
      </c>
      <c r="AK207" t="str">
        <f>IF(Q207&lt;87,"down",IF(Q207=87,87,IF(Q207&gt;87,"up")))</f>
        <v>up</v>
      </c>
    </row>
    <row r="208" spans="1:37" x14ac:dyDescent="0.25">
      <c r="A208">
        <f>IF(X208=1402,1402,"Error")</f>
        <v>1402</v>
      </c>
      <c r="B208" t="str">
        <f>IF(K208&lt;26.3,"down",IF(K208=26.3,"low",IF(K208=26.5,"high",IF(AND(K208&gt;26.3,K208&lt;26.5),"normal","up"))))</f>
        <v>normal</v>
      </c>
      <c r="C208" t="str">
        <f>IF(K208&lt;26.3,"down",IF(K208=26.3,"low",IF(K208=26.5,"high",IF(AND(K208&gt;26.3,K208&lt;26.5),"normal","up"))))</f>
        <v>normal</v>
      </c>
      <c r="D208" t="str">
        <f>IF(K208&lt;26.3,"down",IF(K208=26.3,"low",IF(K208=26.5,"high",IF(AND(K208&gt;26.3,K208&lt;26.5),"normal","up"))))</f>
        <v>normal</v>
      </c>
      <c r="E208" t="str">
        <f>IF(K208&lt;25.3,"down",IF(K208=25.3,"low",IF(K208=26.6,"high",IF(AND(K208&gt;25.3,K208&lt;26.6),"normal","up"))))</f>
        <v>normal</v>
      </c>
      <c r="F208" t="str">
        <f>IF(P208&lt;26.35,"PVP-down",IF(P208=26.35,26.35,IF(P208&gt;26.35,"PVP-up")))</f>
        <v>PVP-down</v>
      </c>
      <c r="G208" t="str">
        <f>IF(R208&lt;1829,"PVV-down",IF(R208=1829,1829,IF(R208&gt;1829,"PVV-up")))</f>
        <v>PVV-up</v>
      </c>
      <c r="H208" s="3">
        <f t="shared" si="23"/>
        <v>1.0784858146666455E-3</v>
      </c>
      <c r="I208">
        <f>[1]!'1402.PreviousPrice'</f>
        <v>26.45</v>
      </c>
      <c r="J208">
        <f>[1]!'1402.PreOpenPrice'</f>
        <v>26.05</v>
      </c>
      <c r="K208">
        <f>[1]!'1402.Open'</f>
        <v>26.4</v>
      </c>
      <c r="L208">
        <f>[1]!'1402.Change'</f>
        <v>-0.4</v>
      </c>
      <c r="M208">
        <f>[1]!'1402.ChangePercent'</f>
        <v>-1.5100000000000001E-2</v>
      </c>
      <c r="N208">
        <f>[1]!'1402.BidPrice'</f>
        <v>26.05</v>
      </c>
      <c r="O208">
        <f>[1]!'1402.AskPrice'</f>
        <v>26.2</v>
      </c>
      <c r="P208">
        <f>[1]!'1402.Price'</f>
        <v>26.05</v>
      </c>
      <c r="Q208">
        <f>[1]!'1402.Volume'</f>
        <v>503</v>
      </c>
      <c r="R208">
        <f>[1]!'1402.CumulativeVolume'</f>
        <v>5773</v>
      </c>
      <c r="S208">
        <f>[1]!'1402.PreviousVolume'</f>
        <v>5184</v>
      </c>
      <c r="T208" s="3">
        <f t="shared" si="24"/>
        <v>-1.3257575757575678E-2</v>
      </c>
      <c r="U208" s="3">
        <f>((T208*AB208)*D4)</f>
        <v>-0.66250481633979741</v>
      </c>
      <c r="V208" s="5">
        <f t="shared" si="25"/>
        <v>13103150</v>
      </c>
      <c r="W208" s="5">
        <f t="shared" si="26"/>
        <v>0</v>
      </c>
      <c r="X208">
        <v>1402</v>
      </c>
      <c r="Y208" s="5">
        <v>53528752270</v>
      </c>
      <c r="Z208" s="3">
        <f>((D2*AB208)/P208)/10</f>
        <v>0.19353857997425286</v>
      </c>
      <c r="AA208" s="3">
        <f>((M208*AB208)*D2)</f>
        <v>-0.76129368125772234</v>
      </c>
      <c r="AB208" s="3">
        <f>AE208/AE323</f>
        <v>3.910097726329523E-3</v>
      </c>
      <c r="AC208" s="3">
        <f>AF208/AF323</f>
        <v>3.9332511838588973E-3</v>
      </c>
      <c r="AD208" s="5">
        <f t="shared" si="27"/>
        <v>139442399663.35001</v>
      </c>
      <c r="AE208" s="5">
        <f t="shared" si="28"/>
        <v>139442399663.35001</v>
      </c>
      <c r="AF208" s="5">
        <f t="shared" si="29"/>
        <v>141583549754.14999</v>
      </c>
      <c r="AG208" t="str">
        <f t="shared" si="30"/>
        <v>DBM200</v>
      </c>
      <c r="AH208">
        <f t="shared" si="31"/>
        <v>0</v>
      </c>
      <c r="AI208">
        <f t="shared" si="32"/>
        <v>0</v>
      </c>
      <c r="AJ208">
        <f t="shared" si="33"/>
        <v>0</v>
      </c>
      <c r="AK208" t="str">
        <f>IF(Q208&lt;62,"down",IF(Q208=62,62,IF(Q208&gt;62,"up")))</f>
        <v>up</v>
      </c>
    </row>
    <row r="209" spans="1:37" x14ac:dyDescent="0.25">
      <c r="A209">
        <f>IF(X209=1102,1102,"Error")</f>
        <v>1102</v>
      </c>
      <c r="B209" t="str">
        <f>IF(K209&lt;41,"down",IF(K209=41,"low",IF(K209=41.35,"high",IF(AND(K209&gt;41,K209&lt;41.35),"normal","up"))))</f>
        <v>normal</v>
      </c>
      <c r="C209" t="str">
        <f>IF(K209&lt;41,"down",IF(K209=41,"low",IF(K209=41.35,"high",IF(AND(K209&gt;41,K209&lt;41.35),"normal","up"))))</f>
        <v>normal</v>
      </c>
      <c r="D209" t="str">
        <f>IF(K209&lt;41,"down",IF(K209=41,"low",IF(K209=41.35,"high",IF(AND(K209&gt;41,K209&lt;41.35),"normal","up"))))</f>
        <v>normal</v>
      </c>
      <c r="E209" t="str">
        <f>IF(K209&lt;39.95,"down",IF(K209=39.95,"low",IF(K209=41.45,"high",IF(AND(K209&gt;39.95,K209&lt;41.45),"normal","up"))))</f>
        <v>normal</v>
      </c>
      <c r="F209" t="str">
        <f>IF(P209&lt;41.1,"PVP-down",IF(P209=41.1,41.1,IF(P209&gt;41.1,"PVP-up")))</f>
        <v>PVP-down</v>
      </c>
      <c r="G209" t="str">
        <f>IF(R209&lt;1704,"PVV-down",IF(R209=1704,1704,IF(R209&gt;1704,"PVV-up")))</f>
        <v>PVV-up</v>
      </c>
      <c r="H209" s="3">
        <f t="shared" si="23"/>
        <v>1.2905155858408341E-3</v>
      </c>
      <c r="I209">
        <f>[1]!'1102.PreviousPrice'</f>
        <v>41.2</v>
      </c>
      <c r="J209">
        <f>[1]!'1102.PreOpenPrice'</f>
        <v>40.950000000000003</v>
      </c>
      <c r="K209">
        <f>[1]!'1102.Open'</f>
        <v>41.2</v>
      </c>
      <c r="L209">
        <f>[1]!'1102.Change'</f>
        <v>-0.25</v>
      </c>
      <c r="M209">
        <f>[1]!'1102.ChangePercent'</f>
        <v>-6.1000000000000004E-3</v>
      </c>
      <c r="N209">
        <f>[1]!'1102.BidPrice'</f>
        <v>40.950000000000003</v>
      </c>
      <c r="O209">
        <f>[1]!'1102.AskPrice'</f>
        <v>41</v>
      </c>
      <c r="P209">
        <f>[1]!'1102.Price'</f>
        <v>40.950000000000003</v>
      </c>
      <c r="Q209">
        <f>[1]!'1102.Volume'</f>
        <v>551</v>
      </c>
      <c r="R209">
        <f>[1]!'1102.CumulativeVolume'</f>
        <v>4338</v>
      </c>
      <c r="S209">
        <f>[1]!'1102.PreviousVolume'</f>
        <v>5731</v>
      </c>
      <c r="T209" s="3">
        <f t="shared" si="24"/>
        <v>-6.0679611650485436E-3</v>
      </c>
      <c r="U209" s="3">
        <f>((T209*AB209)*D4)</f>
        <v>-0.29933194449068745</v>
      </c>
      <c r="V209" s="5">
        <f t="shared" si="25"/>
        <v>22563450</v>
      </c>
      <c r="W209" s="5">
        <f t="shared" si="26"/>
        <v>0</v>
      </c>
      <c r="X209">
        <v>1102</v>
      </c>
      <c r="Y209" s="5">
        <v>33614471980</v>
      </c>
      <c r="Z209" s="3">
        <f>((D2*AB209)/P209)/10</f>
        <v>0.12153649950177534</v>
      </c>
      <c r="AA209" s="3">
        <f>((M209*AB209)*D2)</f>
        <v>-0.3035920989304598</v>
      </c>
      <c r="AB209" s="3">
        <f>AE209/AE323</f>
        <v>3.8598725411801618E-3</v>
      </c>
      <c r="AC209" s="3">
        <f>AF209/AF323</f>
        <v>3.8473561878593575E-3</v>
      </c>
      <c r="AD209" s="5">
        <f t="shared" si="27"/>
        <v>137651262758.10001</v>
      </c>
      <c r="AE209" s="5">
        <f t="shared" si="28"/>
        <v>137651262758.10001</v>
      </c>
      <c r="AF209" s="5">
        <f t="shared" si="29"/>
        <v>138491624557.60001</v>
      </c>
      <c r="AG209" t="str">
        <f t="shared" si="30"/>
        <v>DBM200</v>
      </c>
      <c r="AH209">
        <f t="shared" si="31"/>
        <v>0</v>
      </c>
      <c r="AI209">
        <f t="shared" si="32"/>
        <v>0</v>
      </c>
      <c r="AJ209">
        <f t="shared" si="33"/>
        <v>0</v>
      </c>
      <c r="AK209" t="str">
        <f>IF(Q209&lt;12,"down",IF(Q209=12,12,IF(Q209&gt;12,"up")))</f>
        <v>up</v>
      </c>
    </row>
    <row r="210" spans="1:37" x14ac:dyDescent="0.25">
      <c r="A210">
        <f>IF(X210=9910,9910,"Error")</f>
        <v>9910</v>
      </c>
      <c r="B210" t="str">
        <f>IF(K210&lt;188,"down",IF(K210=188,"low",IF(K210=191.5,"high",IF(AND(K210&gt;188,K210&lt;191.5),"normal","up"))))</f>
        <v>low</v>
      </c>
      <c r="C210" t="str">
        <f>IF(K210&lt;188,"down",IF(K210=188,"low",IF(K210=191.5,"high",IF(AND(K210&gt;188,K210&lt;191.5),"normal","up"))))</f>
        <v>low</v>
      </c>
      <c r="D210" t="str">
        <f>IF(K210&lt;188,"down",IF(K210=188,"low",IF(K210=191.5,"high",IF(AND(K210&gt;188,K210&lt;191.5),"normal","up"))))</f>
        <v>low</v>
      </c>
      <c r="E210" t="str">
        <f>IF(K210&lt;176.5,"down",IF(K210=176.5,"low",IF(K210=196,"high",IF(AND(K210&gt;176.5,K210&lt;196),"normal","up"))))</f>
        <v>normal</v>
      </c>
      <c r="F210" t="str">
        <f>IF(P210&lt;190.5,"PVP-down",IF(P210=190.5,190.5,IF(P210&gt;190.5,"PVP-up")))</f>
        <v>PVP-down</v>
      </c>
      <c r="G210" t="str">
        <f>IF(R210&lt;202,"PVV-down",IF(R210=202,202,IF(R210&gt;202,"PVV-up")))</f>
        <v>PVV-up</v>
      </c>
      <c r="H210" s="3">
        <f t="shared" si="23"/>
        <v>2.0252220473255768E-3</v>
      </c>
      <c r="I210">
        <f>[1]!'9910.PreviousPrice'</f>
        <v>188.5</v>
      </c>
      <c r="J210">
        <f>[1]!'9910.PreOpenPrice'</f>
        <v>189.5</v>
      </c>
      <c r="K210">
        <f>[1]!'9910.Open'</f>
        <v>188</v>
      </c>
      <c r="L210">
        <f>[1]!'9910.Change'</f>
        <v>1</v>
      </c>
      <c r="M210">
        <f>[1]!'9910.ChangePercent'</f>
        <v>5.3E-3</v>
      </c>
      <c r="N210">
        <f>[1]!'9910.BidPrice'</f>
        <v>189.5</v>
      </c>
      <c r="O210">
        <f>[1]!'9910.AskPrice'</f>
        <v>190</v>
      </c>
      <c r="P210">
        <f>[1]!'9910.Price'</f>
        <v>189.5</v>
      </c>
      <c r="Q210">
        <f>[1]!'9910.Volume'</f>
        <v>113</v>
      </c>
      <c r="R210">
        <f>[1]!'9910.CumulativeVolume'</f>
        <v>1488</v>
      </c>
      <c r="S210">
        <f>[1]!'9910.PreviousVolume'</f>
        <v>1015</v>
      </c>
      <c r="T210" s="3">
        <f t="shared" si="24"/>
        <v>7.9787234042553185E-3</v>
      </c>
      <c r="U210" s="3">
        <f>((T210*AB210)*D4)</f>
        <v>0.39810990514438871</v>
      </c>
      <c r="V210" s="5">
        <f t="shared" si="25"/>
        <v>21413500</v>
      </c>
      <c r="W210" s="5">
        <f t="shared" si="26"/>
        <v>0</v>
      </c>
      <c r="X210">
        <v>9910</v>
      </c>
      <c r="Y210" s="5">
        <v>7347342490</v>
      </c>
      <c r="Z210" s="3">
        <f>((D2*AB210)/P210)/10</f>
        <v>2.6565054700444467E-2</v>
      </c>
      <c r="AA210" s="3">
        <f>((M210*AB210)*D2)</f>
        <v>0.26680612688391403</v>
      </c>
      <c r="AB210" s="3">
        <f>AE210/AE323</f>
        <v>3.9042018502669666E-3</v>
      </c>
      <c r="AC210" s="3">
        <f>AF210/AF323</f>
        <v>3.8475167970222317E-3</v>
      </c>
      <c r="AD210" s="5">
        <f t="shared" si="27"/>
        <v>139232140185.5</v>
      </c>
      <c r="AE210" s="5">
        <f t="shared" si="28"/>
        <v>139232140185.5</v>
      </c>
      <c r="AF210" s="5">
        <f t="shared" si="29"/>
        <v>138497405936.5</v>
      </c>
      <c r="AG210">
        <f t="shared" si="30"/>
        <v>0</v>
      </c>
      <c r="AH210">
        <f t="shared" si="31"/>
        <v>0</v>
      </c>
      <c r="AI210">
        <f t="shared" si="32"/>
        <v>0</v>
      </c>
      <c r="AJ210" t="str">
        <f t="shared" si="33"/>
        <v>UBM100</v>
      </c>
      <c r="AK210" t="str">
        <f>IF(Q210&lt;15,"down",IF(Q210=15,15,IF(Q210&gt;15,"up")))</f>
        <v>up</v>
      </c>
    </row>
    <row r="211" spans="1:37" x14ac:dyDescent="0.25">
      <c r="A211">
        <f>IF(X211=1590,1590,"Error")</f>
        <v>1590</v>
      </c>
      <c r="B211" t="str">
        <f>IF(K211&lt;642,"down",IF(K211=642,"low",IF(K211=665,"high",IF(AND(K211&gt;642,K211&lt;665),"normal","up"))))</f>
        <v>down</v>
      </c>
      <c r="C211" t="str">
        <f>IF(K211&lt;642,"down",IF(K211=642,"low",IF(K211=665,"high",IF(AND(K211&gt;642,K211&lt;665),"normal","up"))))</f>
        <v>down</v>
      </c>
      <c r="D211" t="str">
        <f>IF(K211&lt;642,"down",IF(K211=642,"low",IF(K211=665,"high",IF(AND(K211&gt;642,K211&lt;665),"normal","up"))))</f>
        <v>down</v>
      </c>
      <c r="E211" t="str">
        <f>IF(K211&lt;601,"down",IF(K211=601,"low",IF(K211=682,"high",IF(AND(K211&gt;601,K211&lt;682),"normal","up"))))</f>
        <v>normal</v>
      </c>
      <c r="F211" t="str">
        <f>IF(P211&lt;643,"PVP-down",IF(P211=643,643,IF(P211&gt;643,"PVP-up")))</f>
        <v>PVP-up</v>
      </c>
      <c r="G211" t="str">
        <f>IF(R211&lt;155,"PVV-down",IF(R211=155,155,IF(R211&gt;155,"PVV-up")))</f>
        <v>PVV-up</v>
      </c>
      <c r="H211" s="3">
        <f t="shared" si="23"/>
        <v>6.6023013527554703E-3</v>
      </c>
      <c r="I211">
        <f>[1]!'1590.PreviousPrice'</f>
        <v>643</v>
      </c>
      <c r="J211">
        <f>[1]!'1590.PreOpenPrice'</f>
        <v>667</v>
      </c>
      <c r="K211">
        <f>[1]!'1590.Open'</f>
        <v>639</v>
      </c>
      <c r="L211">
        <f>[1]!'1590.Change'</f>
        <v>22</v>
      </c>
      <c r="M211">
        <f>[1]!'1590.ChangePercent'</f>
        <v>3.4200000000000001E-2</v>
      </c>
      <c r="N211">
        <f>[1]!'1590.BidPrice'</f>
        <v>664</v>
      </c>
      <c r="O211">
        <f>[1]!'1590.AskPrice'</f>
        <v>665</v>
      </c>
      <c r="P211">
        <f>[1]!'1590.Price'</f>
        <v>665</v>
      </c>
      <c r="Q211">
        <f>[1]!'1590.Volume'</f>
        <v>101</v>
      </c>
      <c r="R211">
        <f>[1]!'1590.CumulativeVolume'</f>
        <v>1248</v>
      </c>
      <c r="S211">
        <f>[1]!'1590.PreviousVolume'</f>
        <v>1207</v>
      </c>
      <c r="T211" s="3">
        <f t="shared" si="24"/>
        <v>4.0688575899843503E-2</v>
      </c>
      <c r="U211" s="3">
        <f>((T211*AB211)*D4)</f>
        <v>1.8329197537866386</v>
      </c>
      <c r="V211" s="5">
        <f t="shared" si="25"/>
        <v>0</v>
      </c>
      <c r="W211" s="5">
        <f t="shared" si="26"/>
        <v>67165000</v>
      </c>
      <c r="X211">
        <v>1590</v>
      </c>
      <c r="Y211" s="5">
        <v>1890249980</v>
      </c>
      <c r="Z211" s="3">
        <f>((D2*AB211)/P211)/10</f>
        <v>6.8343886493052357E-3</v>
      </c>
      <c r="AA211" s="3">
        <f>((M211*AB211)*D2)</f>
        <v>1.5543450105114898</v>
      </c>
      <c r="AB211" s="3">
        <f>AE211/AE323</f>
        <v>3.5247932773289758E-3</v>
      </c>
      <c r="AC211" s="3">
        <f>AF211/AF323</f>
        <v>3.3765182424480584E-3</v>
      </c>
      <c r="AD211" s="5">
        <f t="shared" si="27"/>
        <v>126079673666</v>
      </c>
      <c r="AE211" s="5">
        <f t="shared" si="28"/>
        <v>125701623670</v>
      </c>
      <c r="AF211" s="5">
        <f t="shared" si="29"/>
        <v>121543073714</v>
      </c>
      <c r="AG211">
        <f t="shared" si="30"/>
        <v>0</v>
      </c>
      <c r="AH211">
        <f t="shared" si="31"/>
        <v>0</v>
      </c>
      <c r="AI211" t="str">
        <f t="shared" si="32"/>
        <v>UAM100</v>
      </c>
      <c r="AJ211">
        <f t="shared" si="33"/>
        <v>0</v>
      </c>
      <c r="AK211" t="str">
        <f>IF(Q211&lt;17,"down",IF(Q211=17,17,IF(Q211&gt;17,"up")))</f>
        <v>up</v>
      </c>
    </row>
    <row r="212" spans="1:37" x14ac:dyDescent="0.25">
      <c r="A212">
        <f>IF(X212=9921,9921,"Error")</f>
        <v>9921</v>
      </c>
      <c r="B212" t="str">
        <f>IF(K212&lt;303.5,"down",IF(K212=303.5,"low",IF(K212=313,"high",IF(AND(K212&gt;303.5,K212&lt;313),"normal","up"))))</f>
        <v>low</v>
      </c>
      <c r="C212" t="str">
        <f>IF(K212&lt;303.5,"down",IF(K212=303.5,"low",IF(K212=313,"high",IF(AND(K212&gt;303.5,K212&lt;313),"normal","up"))))</f>
        <v>low</v>
      </c>
      <c r="D212" t="str">
        <f>IF(K212&lt;303.5,"down",IF(K212=303.5,"low",IF(K212=313,"high",IF(AND(K212&gt;303.5,K212&lt;313),"normal","up"))))</f>
        <v>low</v>
      </c>
      <c r="E212" t="str">
        <f>IF(K212&lt;303.5,"down",IF(K212=303.5,"low",IF(K212=328,"high",IF(AND(K212&gt;303.5,K212&lt;328),"normal","up"))))</f>
        <v>low</v>
      </c>
      <c r="F212" t="str">
        <f>IF(P212&lt;308,"PVP-down",IF(P212=308,308,IF(P212&gt;308,"PVP-up")))</f>
        <v>PVP-down</v>
      </c>
      <c r="G212" t="str">
        <f>IF(R212&lt;379,"PVV-down",IF(R212=379,379,IF(R212&gt;379,"PVV-up")))</f>
        <v>PVV-up</v>
      </c>
      <c r="H212" s="3">
        <f t="shared" si="23"/>
        <v>5.9829689190683639E-3</v>
      </c>
      <c r="I212">
        <f>[1]!'9921.PreviousPrice'</f>
        <v>308.5</v>
      </c>
      <c r="J212">
        <f>[1]!'9921.PreOpenPrice'</f>
        <v>301</v>
      </c>
      <c r="K212">
        <f>[1]!'9921.Open'</f>
        <v>303.5</v>
      </c>
      <c r="L212">
        <f>[1]!'9921.Change'</f>
        <v>-7.5</v>
      </c>
      <c r="M212">
        <f>[1]!'9921.ChangePercent'</f>
        <v>-2.4299999999999999E-2</v>
      </c>
      <c r="N212">
        <f>[1]!'9921.BidPrice'</f>
        <v>301</v>
      </c>
      <c r="O212">
        <f>[1]!'9921.AskPrice'</f>
        <v>301.5</v>
      </c>
      <c r="P212">
        <f>[1]!'9921.Price'</f>
        <v>301</v>
      </c>
      <c r="Q212">
        <f>[1]!'9921.Volume'</f>
        <v>121</v>
      </c>
      <c r="R212">
        <f>[1]!'9921.CumulativeVolume'</f>
        <v>2244</v>
      </c>
      <c r="S212">
        <f>[1]!'9921.PreviousVolume'</f>
        <v>1929</v>
      </c>
      <c r="T212" s="3">
        <f t="shared" si="24"/>
        <v>-8.2372322899505763E-3</v>
      </c>
      <c r="U212" s="3">
        <f>((T212*AB212)*D4)</f>
        <v>-0.33326061327613232</v>
      </c>
      <c r="V212" s="5">
        <f t="shared" si="25"/>
        <v>36421000</v>
      </c>
      <c r="W212" s="5">
        <f t="shared" si="26"/>
        <v>0</v>
      </c>
      <c r="X212">
        <v>9921</v>
      </c>
      <c r="Y212" s="5">
        <v>3750646260</v>
      </c>
      <c r="Z212" s="3">
        <f>((D2*AB212)/P212)/10</f>
        <v>1.3560838247914242E-2</v>
      </c>
      <c r="AA212" s="3">
        <f>((M212*AB212)*D2)</f>
        <v>-0.99188039196719124</v>
      </c>
      <c r="AB212" s="3">
        <f>AE212/AE323</f>
        <v>3.1656679948985473E-3</v>
      </c>
      <c r="AC212" s="3">
        <f>AF212/AF323</f>
        <v>3.2144017778033742E-3</v>
      </c>
      <c r="AD212" s="5">
        <f t="shared" si="27"/>
        <v>112894452426</v>
      </c>
      <c r="AE212" s="5">
        <f t="shared" si="28"/>
        <v>112894452426</v>
      </c>
      <c r="AF212" s="5">
        <f t="shared" si="29"/>
        <v>115707437121</v>
      </c>
      <c r="AG212" t="str">
        <f t="shared" si="30"/>
        <v>DBM100</v>
      </c>
      <c r="AH212">
        <f t="shared" si="31"/>
        <v>0</v>
      </c>
      <c r="AI212">
        <f t="shared" si="32"/>
        <v>0</v>
      </c>
      <c r="AJ212">
        <f t="shared" si="33"/>
        <v>0</v>
      </c>
      <c r="AK212" t="str">
        <f>IF(Q212&lt;10,"down",IF(Q212=10,10,IF(Q212&gt;10,"up")))</f>
        <v>up</v>
      </c>
    </row>
    <row r="213" spans="1:37" x14ac:dyDescent="0.25">
      <c r="A213">
        <f>IF(X213=2105,2105,"Error")</f>
        <v>2105</v>
      </c>
      <c r="B213" t="str">
        <f>IF(K213&lt;35.25,"down",IF(K213=35.25,"low",IF(K213=35.85,"high",IF(AND(K213&gt;35.25,K213&lt;35.85),"normal","up"))))</f>
        <v>normal</v>
      </c>
      <c r="C213" t="str">
        <f>IF(K213&lt;35.25,"down",IF(K213=35.25,"low",IF(K213=35.85,"high",IF(AND(K213&gt;35.25,K213&lt;35.85),"normal","up"))))</f>
        <v>normal</v>
      </c>
      <c r="D213" t="str">
        <f>IF(K213&lt;35.25,"down",IF(K213=35.25,"low",IF(K213=35.85,"high",IF(AND(K213&gt;35.25,K213&lt;35.85),"normal","up"))))</f>
        <v>normal</v>
      </c>
      <c r="E213" t="str">
        <f>IF(K213&lt;33.6,"down",IF(K213=33.6,"low",IF(K213=36.95,"high",IF(AND(K213&gt;33.6,K213&lt;36.95),"normal","up"))))</f>
        <v>normal</v>
      </c>
      <c r="F213" t="str">
        <f>IF(P213&lt;35.45,"PVP-down",IF(P213=35.45,35.45,IF(P213&gt;35.45,"PVP-up")))</f>
        <v>PVP-up</v>
      </c>
      <c r="G213" t="str">
        <f>IF(R213&lt;407,"PVV-down",IF(R213=407,407,IF(R213&gt;407,"PVV-up")))</f>
        <v>PVV-up</v>
      </c>
      <c r="H213" s="3">
        <f t="shared" si="23"/>
        <v>4.1136348770804436E-3</v>
      </c>
      <c r="I213">
        <f>[1]!'2105.PreviousPrice'</f>
        <v>35.4</v>
      </c>
      <c r="J213">
        <f>[1]!'2105.PreOpenPrice'</f>
        <v>36.65</v>
      </c>
      <c r="K213">
        <f>[1]!'2105.Open'</f>
        <v>35.700000000000003</v>
      </c>
      <c r="L213">
        <f>[1]!'2105.Change'</f>
        <v>1.25</v>
      </c>
      <c r="M213">
        <f>[1]!'2105.ChangePercent'</f>
        <v>3.5299999999999998E-2</v>
      </c>
      <c r="N213">
        <f>[1]!'2105.BidPrice'</f>
        <v>36.6</v>
      </c>
      <c r="O213">
        <f>[1]!'2105.AskPrice'</f>
        <v>36.65</v>
      </c>
      <c r="P213">
        <f>[1]!'2105.Price'</f>
        <v>36.65</v>
      </c>
      <c r="Q213">
        <f>[1]!'2105.Volume'</f>
        <v>683</v>
      </c>
      <c r="R213">
        <f>[1]!'2105.CumulativeVolume'</f>
        <v>13334</v>
      </c>
      <c r="S213">
        <f>[1]!'2105.PreviousVolume'</f>
        <v>2630</v>
      </c>
      <c r="T213" s="3">
        <f t="shared" si="24"/>
        <v>2.6610644257702959E-2</v>
      </c>
      <c r="U213" s="3">
        <f>((T213*AB213)*D4)</f>
        <v>1.1329067176406129</v>
      </c>
      <c r="V213" s="5">
        <f t="shared" si="25"/>
        <v>0</v>
      </c>
      <c r="W213" s="5">
        <f t="shared" si="26"/>
        <v>25031950</v>
      </c>
      <c r="X213">
        <v>2105</v>
      </c>
      <c r="Y213" s="5">
        <v>32414155360</v>
      </c>
      <c r="Z213" s="3">
        <f>((D2*AB213)/P213)/10</f>
        <v>0.11719663420877298</v>
      </c>
      <c r="AA213" s="3">
        <f>((M213*AB213)*D2)</f>
        <v>1.5162255952442898</v>
      </c>
      <c r="AB213" s="3">
        <f>AE213/AE323</f>
        <v>3.3312057109907939E-3</v>
      </c>
      <c r="AC213" s="3">
        <f>AF213/AF323</f>
        <v>3.1876957011157513E-3</v>
      </c>
      <c r="AD213" s="5">
        <f t="shared" si="27"/>
        <v>118797879394.39999</v>
      </c>
      <c r="AE213" s="5">
        <f t="shared" si="28"/>
        <v>118797879394.39999</v>
      </c>
      <c r="AF213" s="5">
        <f t="shared" si="29"/>
        <v>114746109974.39999</v>
      </c>
      <c r="AG213">
        <f t="shared" si="30"/>
        <v>0</v>
      </c>
      <c r="AH213">
        <f t="shared" si="31"/>
        <v>0</v>
      </c>
      <c r="AI213" t="str">
        <f t="shared" si="32"/>
        <v>UAM200</v>
      </c>
      <c r="AJ213">
        <f t="shared" si="33"/>
        <v>0</v>
      </c>
      <c r="AK213" t="str">
        <f>IF(Q213&lt;57,"down",IF(Q213=57,57,IF(Q213&gt;57,"up")))</f>
        <v>up</v>
      </c>
    </row>
    <row r="214" spans="1:37" x14ac:dyDescent="0.25">
      <c r="A214">
        <f>IF(X214=2049,2049,"Error")</f>
        <v>2049</v>
      </c>
      <c r="B214" t="str">
        <f>IF(K214&lt;306.5,"down",IF(K214=306.5,"low",IF(K214=312.5,"high",IF(AND(K214&gt;306.5,K214&lt;312.5),"normal","up"))))</f>
        <v>normal</v>
      </c>
      <c r="C214" t="str">
        <f>IF(K214&lt;306.5,"down",IF(K214=306.5,"low",IF(K214=312.5,"high",IF(AND(K214&gt;306.5,K214&lt;312.5),"normal","up"))))</f>
        <v>normal</v>
      </c>
      <c r="D214" t="str">
        <f>IF(K214&lt;306.5,"down",IF(K214=306.5,"low",IF(K214=312.5,"high",IF(AND(K214&gt;306.5,K214&lt;312.5),"normal","up"))))</f>
        <v>normal</v>
      </c>
      <c r="E214" t="str">
        <f>IF(K214&lt;303,"down",IF(K214=303,"low",IF(K214=328.5,"high",IF(AND(K214&gt;303,K214&lt;328.5),"normal","up"))))</f>
        <v>normal</v>
      </c>
      <c r="F214" t="str">
        <f>IF(P214&lt;310,"PVP-down",IF(P214=310,310,IF(P214&gt;310,"PVP-up")))</f>
        <v>PVP-up</v>
      </c>
      <c r="G214" t="str">
        <f>IF(R214&lt;377,"PVV-down",IF(R214=377,377,IF(R214&gt;377,"PVV-up")))</f>
        <v>PVV-up</v>
      </c>
      <c r="H214" s="3">
        <f t="shared" si="23"/>
        <v>5.8595727358486584E-3</v>
      </c>
      <c r="I214">
        <f>[1]!'2049.PreviousPrice'</f>
        <v>310</v>
      </c>
      <c r="J214">
        <f>[1]!'2049.PreOpenPrice'</f>
        <v>313</v>
      </c>
      <c r="K214">
        <f>[1]!'2049.Open'</f>
        <v>311</v>
      </c>
      <c r="L214">
        <f>[1]!'2049.Change'</f>
        <v>3</v>
      </c>
      <c r="M214">
        <f>[1]!'2049.ChangePercent'</f>
        <v>9.7000000000000003E-3</v>
      </c>
      <c r="N214">
        <f>[1]!'2049.BidPrice'</f>
        <v>312.5</v>
      </c>
      <c r="O214">
        <f>[1]!'2049.AskPrice'</f>
        <v>313</v>
      </c>
      <c r="P214">
        <f>[1]!'2049.Price'</f>
        <v>313</v>
      </c>
      <c r="Q214">
        <f>[1]!'2049.Volume'</f>
        <v>185</v>
      </c>
      <c r="R214">
        <f>[1]!'2049.CumulativeVolume'</f>
        <v>1814</v>
      </c>
      <c r="S214">
        <f>[1]!'2049.PreviousVolume'</f>
        <v>2056</v>
      </c>
      <c r="T214" s="3">
        <f t="shared" si="24"/>
        <v>6.4308681672025723E-3</v>
      </c>
      <c r="U214" s="3">
        <f>((T214*AB214)*D4)</f>
        <v>0.2233136920339418</v>
      </c>
      <c r="V214" s="5">
        <f t="shared" si="25"/>
        <v>0</v>
      </c>
      <c r="W214" s="5">
        <f t="shared" si="26"/>
        <v>57905000</v>
      </c>
      <c r="X214">
        <v>2049</v>
      </c>
      <c r="Y214" s="5">
        <v>3095788860</v>
      </c>
      <c r="Z214" s="3">
        <f>((D2*AB214)/P214)/10</f>
        <v>1.1193135547833515E-2</v>
      </c>
      <c r="AA214" s="3">
        <f>((M214*AB214)*D2)</f>
        <v>0.33983478836777337</v>
      </c>
      <c r="AB214" s="3">
        <f>AE214/AE323</f>
        <v>2.7171175945958511E-3</v>
      </c>
      <c r="AC214" s="3">
        <f>AF214/AF323</f>
        <v>2.6660722365782724E-3</v>
      </c>
      <c r="AD214" s="5">
        <f t="shared" si="27"/>
        <v>96898191318</v>
      </c>
      <c r="AE214" s="5">
        <f t="shared" si="28"/>
        <v>96898191318</v>
      </c>
      <c r="AF214" s="5">
        <f t="shared" si="29"/>
        <v>95969454660</v>
      </c>
      <c r="AG214">
        <f t="shared" si="30"/>
        <v>0</v>
      </c>
      <c r="AH214">
        <f t="shared" si="31"/>
        <v>0</v>
      </c>
      <c r="AI214" t="str">
        <f t="shared" si="32"/>
        <v>UAM150</v>
      </c>
      <c r="AJ214">
        <f t="shared" si="33"/>
        <v>0</v>
      </c>
      <c r="AK214" t="str">
        <f>IF(Q214&lt;60,"down",IF(Q214=60,60,IF(Q214&gt;60,"up")))</f>
        <v>up</v>
      </c>
    </row>
    <row r="215" spans="1:37" x14ac:dyDescent="0.25">
      <c r="A215">
        <f>IF(X215=1476,1476,"Error")</f>
        <v>1476</v>
      </c>
      <c r="B215" t="str">
        <f>IF(K215&lt;361,"down",IF(K215=361,"low",IF(K215=373,"high",IF(AND(K215&gt;361,K215&lt;373),"normal","up"))))</f>
        <v>normal</v>
      </c>
      <c r="C215" t="str">
        <f>IF(K215&lt;361,"down",IF(K215=361,"low",IF(K215=373,"high",IF(AND(K215&gt;361,K215&lt;373),"normal","up"))))</f>
        <v>normal</v>
      </c>
      <c r="D215" t="str">
        <f>IF(K215&lt;361,"down",IF(K215=361,"low",IF(K215=373,"high",IF(AND(K215&gt;361,K215&lt;373),"normal","up"))))</f>
        <v>normal</v>
      </c>
      <c r="E215" t="str">
        <f>IF(K215&lt;336.5,"down",IF(K215=336.5,"low",IF(K215=373,"high",IF(AND(K215&gt;336.5,K215&lt;373),"normal","up"))))</f>
        <v>normal</v>
      </c>
      <c r="F215" t="str">
        <f>IF(P215&lt;370,"PVP-down",IF(P215=370,370,IF(P215&gt;370,"PVP-up")))</f>
        <v>PVP-up</v>
      </c>
      <c r="G215" t="str">
        <f>IF(R215&lt;243,"PVV-down",IF(R215=243,243,IF(R215&gt;243,"PVV-up")))</f>
        <v>PVV-up</v>
      </c>
      <c r="H215" s="3">
        <f t="shared" si="23"/>
        <v>8.8676809371659726E-3</v>
      </c>
      <c r="I215">
        <f>[1]!'1476.PreviousPrice'</f>
        <v>373</v>
      </c>
      <c r="J215">
        <f>[1]!'1476.PreOpenPrice'</f>
        <v>381</v>
      </c>
      <c r="K215">
        <f>[1]!'1476.Open'</f>
        <v>371</v>
      </c>
      <c r="L215">
        <f>[1]!'1476.Change'</f>
        <v>8</v>
      </c>
      <c r="M215">
        <f>[1]!'1476.ChangePercent'</f>
        <v>2.1399999999999999E-2</v>
      </c>
      <c r="N215">
        <f>[1]!'1476.BidPrice'</f>
        <v>380.5</v>
      </c>
      <c r="O215">
        <f>[1]!'1476.AskPrice'</f>
        <v>381</v>
      </c>
      <c r="P215">
        <f>[1]!'1476.Price'</f>
        <v>381</v>
      </c>
      <c r="Q215">
        <f>[1]!'1476.Volume'</f>
        <v>118</v>
      </c>
      <c r="R215">
        <f>[1]!'1476.CumulativeVolume'</f>
        <v>2433</v>
      </c>
      <c r="S215">
        <f>[1]!'1476.PreviousVolume'</f>
        <v>1299</v>
      </c>
      <c r="T215" s="3">
        <f t="shared" si="24"/>
        <v>2.6954177897574125E-2</v>
      </c>
      <c r="U215" s="3">
        <f>((T215*AB215)*D4)</f>
        <v>1.0097484398996472</v>
      </c>
      <c r="V215" s="5">
        <f t="shared" si="25"/>
        <v>0</v>
      </c>
      <c r="W215" s="5">
        <f t="shared" si="26"/>
        <v>44958000</v>
      </c>
      <c r="X215">
        <v>1476</v>
      </c>
      <c r="Y215" s="5">
        <v>2743671110</v>
      </c>
      <c r="Z215" s="3">
        <f>((D2*AB215)/P215)/10</f>
        <v>9.9200184578817942E-3</v>
      </c>
      <c r="AA215" s="3">
        <f>((M215*AB215)*D2)</f>
        <v>0.8088187849449342</v>
      </c>
      <c r="AB215" s="3">
        <f>AE215/AE323</f>
        <v>2.9312292790855932E-3</v>
      </c>
      <c r="AC215" s="3">
        <f>AF215/AF323</f>
        <v>2.8430190352474682E-3</v>
      </c>
      <c r="AD215" s="5">
        <f t="shared" si="27"/>
        <v>104533869291</v>
      </c>
      <c r="AE215" s="5">
        <f t="shared" si="28"/>
        <v>104533869291</v>
      </c>
      <c r="AF215" s="5">
        <f t="shared" si="29"/>
        <v>102338932403</v>
      </c>
      <c r="AG215">
        <f t="shared" si="30"/>
        <v>0</v>
      </c>
      <c r="AH215">
        <f t="shared" si="31"/>
        <v>0</v>
      </c>
      <c r="AI215" t="str">
        <f t="shared" si="32"/>
        <v>UAM100</v>
      </c>
      <c r="AJ215">
        <f t="shared" si="33"/>
        <v>0</v>
      </c>
      <c r="AK215" t="str">
        <f>IF(Q215&lt;83,"down",IF(Q215=83,83,IF(Q215&gt;83,"up")))</f>
        <v>up</v>
      </c>
    </row>
    <row r="216" spans="1:37" x14ac:dyDescent="0.25">
      <c r="A216">
        <f>IF(X216=8464,8464,"Error")</f>
        <v>8464</v>
      </c>
      <c r="B216" t="str">
        <f>IF(K216&lt;351,"down",IF(K216=351,"low",IF(K216=360,"high",IF(AND(K216&gt;351,K216&lt;360),"normal","up"))))</f>
        <v>normal</v>
      </c>
      <c r="C216" t="str">
        <f>IF(K216&lt;351,"down",IF(K216=351,"low",IF(K216=360,"high",IF(AND(K216&gt;351,K216&lt;360),"normal","up"))))</f>
        <v>normal</v>
      </c>
      <c r="D216" t="str">
        <f>IF(K216&lt;351,"down",IF(K216=351,"low",IF(K216=360,"high",IF(AND(K216&gt;351,K216&lt;360),"normal","up"))))</f>
        <v>normal</v>
      </c>
      <c r="E216" t="str">
        <f>IF(K216&lt;317,"down",IF(K216=317,"low",IF(K216=362,"high",IF(AND(K216&gt;317,K216&lt;362),"normal","up"))))</f>
        <v>normal</v>
      </c>
      <c r="F216" t="str">
        <f>IF(P216&lt;356.5,"PVP-down",IF(P216=356.5,356.5,IF(P216&gt;356.5,"PVP-up")))</f>
        <v>PVP-down</v>
      </c>
      <c r="G216" t="str">
        <f>IF(R216&lt;84,"PVV-down",IF(R216=84,84,IF(R216&gt;84,"PVV-up")))</f>
        <v>PVV-up</v>
      </c>
      <c r="H216" s="3">
        <f t="shared" si="23"/>
        <v>3.958771443060922E-3</v>
      </c>
      <c r="I216">
        <f>[1]!'8464.PreviousPrice'</f>
        <v>356.5</v>
      </c>
      <c r="J216">
        <f>[1]!'8464.PreOpenPrice'</f>
        <v>343</v>
      </c>
      <c r="K216">
        <f>[1]!'8464.Open'</f>
        <v>356</v>
      </c>
      <c r="L216">
        <f>[1]!'8464.Change'</f>
        <v>-12</v>
      </c>
      <c r="M216">
        <f>[1]!'8464.ChangePercent'</f>
        <v>-3.3700000000000001E-2</v>
      </c>
      <c r="N216">
        <f>[1]!'8464.BidPrice'</f>
        <v>344.5</v>
      </c>
      <c r="O216">
        <f>[1]!'8464.AskPrice'</f>
        <v>345</v>
      </c>
      <c r="P216">
        <f>[1]!'8464.Price'</f>
        <v>344.5</v>
      </c>
      <c r="Q216">
        <f>[1]!'8464.Volume'</f>
        <v>79</v>
      </c>
      <c r="R216">
        <f>[1]!'8464.CumulativeVolume'</f>
        <v>1160</v>
      </c>
      <c r="S216">
        <f>[1]!'8464.PreviousVolume'</f>
        <v>590</v>
      </c>
      <c r="T216" s="3">
        <f t="shared" si="24"/>
        <v>-3.2303370786516857E-2</v>
      </c>
      <c r="U216" s="3">
        <f>((T216*AB216)*D4)</f>
        <v>-1.1685968290865421</v>
      </c>
      <c r="V216" s="5">
        <f t="shared" si="25"/>
        <v>27215500</v>
      </c>
      <c r="W216" s="5">
        <f t="shared" si="26"/>
        <v>0</v>
      </c>
      <c r="X216">
        <v>8464</v>
      </c>
      <c r="Y216" s="5">
        <v>2930202000</v>
      </c>
      <c r="Z216" s="3">
        <f>((D2*AB216)/P216)/10</f>
        <v>1.0594439624843428E-2</v>
      </c>
      <c r="AA216" s="3">
        <f>((M216*AB216)*D2)</f>
        <v>-1.2299773599056352</v>
      </c>
      <c r="AB216" s="3">
        <f>AE216/AE323</f>
        <v>2.8306068332236397E-3</v>
      </c>
      <c r="AC216" s="3">
        <f>AF216/AF323</f>
        <v>2.901990457363118E-3</v>
      </c>
      <c r="AD216" s="5">
        <f t="shared" si="27"/>
        <v>100505928600</v>
      </c>
      <c r="AE216" s="5">
        <f t="shared" si="28"/>
        <v>100945458900</v>
      </c>
      <c r="AF216" s="5">
        <f t="shared" si="29"/>
        <v>104461701300</v>
      </c>
      <c r="AG216" t="str">
        <f t="shared" si="30"/>
        <v>DBM50</v>
      </c>
      <c r="AH216">
        <f t="shared" si="31"/>
        <v>0</v>
      </c>
      <c r="AI216">
        <f t="shared" si="32"/>
        <v>0</v>
      </c>
      <c r="AJ216">
        <f t="shared" si="33"/>
        <v>0</v>
      </c>
      <c r="AK216" t="str">
        <f>IF(Q216&lt;8,"down",IF(Q216=8,8,IF(Q216&gt;8,"up")))</f>
        <v>up</v>
      </c>
    </row>
    <row r="217" spans="1:37" x14ac:dyDescent="0.25">
      <c r="A217">
        <f>IF(X217=8454,8454,"Error")</f>
        <v>8454</v>
      </c>
      <c r="B217" t="str">
        <f>IF(K217&lt;599,"down",IF(K217=599,"low",IF(K217=635,"high",IF(AND(K217&gt;599,K217&lt;635),"normal","up"))))</f>
        <v>normal</v>
      </c>
      <c r="C217" t="str">
        <f>IF(K217&lt;599,"down",IF(K217=599,"low",IF(K217=635,"high",IF(AND(K217&gt;599,K217&lt;635),"normal","up"))))</f>
        <v>normal</v>
      </c>
      <c r="D217" t="str">
        <f>IF(K217&lt;599,"down",IF(K217=599,"low",IF(K217=635,"high",IF(AND(K217&gt;599,K217&lt;635),"normal","up"))))</f>
        <v>normal</v>
      </c>
      <c r="E217" t="str">
        <f>IF(K217&lt;599,"down",IF(K217=599,"low",IF(K217=680,"high",IF(AND(K217&gt;599,K217&lt;680),"normal","up"))))</f>
        <v>normal</v>
      </c>
      <c r="F217" t="str">
        <f>IF(P217&lt;612,"PVP-down",IF(P217=612,612,IF(P217&gt;612,"PVP-up")))</f>
        <v>PVP-down</v>
      </c>
      <c r="G217" t="str">
        <f>IF(R217&lt;43,"PVV-down",IF(R217=43,43,IF(R217&gt;43,"PVV-up")))</f>
        <v>PVV-up</v>
      </c>
      <c r="H217" s="3">
        <f t="shared" si="23"/>
        <v>1.0424215595626113E-3</v>
      </c>
      <c r="I217">
        <f>[1]!'8454.PreviousPrice'</f>
        <v>612</v>
      </c>
      <c r="J217">
        <f>[1]!'8454.PreOpenPrice'</f>
        <v>609</v>
      </c>
      <c r="K217">
        <f>[1]!'8454.Open'</f>
        <v>620</v>
      </c>
      <c r="L217">
        <f>[1]!'8454.Change'</f>
        <v>-3</v>
      </c>
      <c r="M217">
        <f>[1]!'8454.ChangePercent'</f>
        <v>-4.8999999999999998E-3</v>
      </c>
      <c r="N217">
        <f>[1]!'8454.BidPrice'</f>
        <v>604</v>
      </c>
      <c r="O217">
        <f>[1]!'8454.AskPrice'</f>
        <v>609</v>
      </c>
      <c r="P217">
        <f>[1]!'8454.Price'</f>
        <v>609</v>
      </c>
      <c r="Q217">
        <f>[1]!'8454.Volume'</f>
        <v>14</v>
      </c>
      <c r="R217">
        <f>[1]!'8454.CumulativeVolume'</f>
        <v>146</v>
      </c>
      <c r="S217">
        <f>[1]!'8454.PreviousVolume'</f>
        <v>373</v>
      </c>
      <c r="T217" s="3">
        <f t="shared" si="24"/>
        <v>-1.7741935483870968E-2</v>
      </c>
      <c r="U217" s="3">
        <f>((T217*AB217)*D4)</f>
        <v>-0.5423227630823636</v>
      </c>
      <c r="V217" s="5">
        <f t="shared" si="25"/>
        <v>0</v>
      </c>
      <c r="W217" s="5">
        <f t="shared" si="26"/>
        <v>8526000</v>
      </c>
      <c r="X217">
        <v>8454</v>
      </c>
      <c r="Y217" s="5">
        <v>1400585000</v>
      </c>
      <c r="Z217" s="3">
        <f>((D2*AB217)/P217)/10</f>
        <v>5.06395573477915E-3</v>
      </c>
      <c r="AA217" s="3">
        <f>((M217*AB217)*D2)</f>
        <v>-0.15111350308154459</v>
      </c>
      <c r="AB217" s="3">
        <f>AE217/AE323</f>
        <v>2.3917706239184908E-3</v>
      </c>
      <c r="AC217" s="3">
        <f>AF217/AF323</f>
        <v>2.3812214079766904E-3</v>
      </c>
      <c r="AD217" s="5">
        <f t="shared" si="27"/>
        <v>85295626500</v>
      </c>
      <c r="AE217" s="5">
        <f t="shared" si="28"/>
        <v>85295626500</v>
      </c>
      <c r="AF217" s="5">
        <f t="shared" si="29"/>
        <v>85715802000</v>
      </c>
      <c r="AG217">
        <f t="shared" si="30"/>
        <v>0</v>
      </c>
      <c r="AH217" t="str">
        <f t="shared" si="31"/>
        <v>DAM10-50</v>
      </c>
      <c r="AI217">
        <f t="shared" si="32"/>
        <v>0</v>
      </c>
      <c r="AJ217">
        <f t="shared" si="33"/>
        <v>0</v>
      </c>
      <c r="AK217" t="str">
        <f>IF(Q217&lt;4,"down",IF(Q217=4,4,IF(Q217&gt;4,"up")))</f>
        <v>up</v>
      </c>
    </row>
    <row r="218" spans="1:37" x14ac:dyDescent="0.25">
      <c r="A218">
        <f>IF(X218=2633,2633,"Error")</f>
        <v>2633</v>
      </c>
      <c r="B218" t="str">
        <f>IF(K218&lt;32.15,"down",IF(K218=32.15,"low",IF(K218=32.7,"high",IF(AND(K218&gt;32.15,K218&lt;32.7),"normal","up"))))</f>
        <v>normal</v>
      </c>
      <c r="C218" t="str">
        <f>IF(K218&lt;32.15,"down",IF(K218=32.15,"low",IF(K218=32.7,"high",IF(AND(K218&gt;32.15,K218&lt;32.7),"normal","up"))))</f>
        <v>normal</v>
      </c>
      <c r="D218" t="str">
        <f>IF(K218&lt;32.15,"down",IF(K218=32.15,"low",IF(K218=32.7,"high",IF(AND(K218&gt;32.15,K218&lt;32.7),"normal","up"))))</f>
        <v>normal</v>
      </c>
      <c r="E218" t="str">
        <f>IF(K218&lt;32.15,"down",IF(K218=32.15,"low",IF(K218=33.8,"high",IF(AND(K218&gt;32.15,K218&lt;33.8),"normal","up"))))</f>
        <v>normal</v>
      </c>
      <c r="F218" t="str">
        <f>IF(P218&lt;32.35,"PVP-down",IF(P218=32.35,32.35,IF(P218&gt;32.35,"PVP-up")))</f>
        <v>PVP-down</v>
      </c>
      <c r="G218" t="str">
        <f>IF(R218&lt;809,"PVV-down",IF(R218=809,809,IF(R218&gt;809,"PVV-up")))</f>
        <v>PVV-up</v>
      </c>
      <c r="H218" s="3">
        <f t="shared" si="23"/>
        <v>1.0786574077500709E-3</v>
      </c>
      <c r="I218">
        <f>[1]!'2633.PreviousPrice'</f>
        <v>32.6</v>
      </c>
      <c r="J218">
        <f>[1]!'2633.PreOpenPrice'</f>
        <v>32.200000000000003</v>
      </c>
      <c r="K218">
        <f>[1]!'2633.Open'</f>
        <v>32.6</v>
      </c>
      <c r="L218">
        <f>[1]!'2633.Change'</f>
        <v>-0.4</v>
      </c>
      <c r="M218">
        <f>[1]!'2633.ChangePercent'</f>
        <v>-1.23E-2</v>
      </c>
      <c r="N218">
        <f>[1]!'2633.BidPrice'</f>
        <v>32.200000000000003</v>
      </c>
      <c r="O218">
        <f>[1]!'2633.AskPrice'</f>
        <v>32.25</v>
      </c>
      <c r="P218">
        <f>[1]!'2633.Price'</f>
        <v>32.200000000000003</v>
      </c>
      <c r="Q218">
        <f>[1]!'2633.Volume'</f>
        <v>541</v>
      </c>
      <c r="R218">
        <f>[1]!'2633.CumulativeVolume'</f>
        <v>6071</v>
      </c>
      <c r="S218">
        <f>[1]!'2633.PreviousVolume'</f>
        <v>4047</v>
      </c>
      <c r="T218" s="3">
        <f t="shared" si="24"/>
        <v>-1.2269938650306704E-2</v>
      </c>
      <c r="U218" s="3">
        <f>((T218*AB218)*D4)</f>
        <v>-0.79690222598651461</v>
      </c>
      <c r="V218" s="5">
        <f t="shared" si="25"/>
        <v>17420200</v>
      </c>
      <c r="W218" s="5">
        <f t="shared" si="26"/>
        <v>0</v>
      </c>
      <c r="X218">
        <v>2633</v>
      </c>
      <c r="Y218" s="5">
        <v>56282930580</v>
      </c>
      <c r="Z218" s="3">
        <f>((D2*AB218)/P218)/10</f>
        <v>0.2034965882690217</v>
      </c>
      <c r="AA218" s="3">
        <f>((M218*AB218)*D2)</f>
        <v>-0.80596858749828748</v>
      </c>
      <c r="AB218" s="3">
        <f>AE218/AE323</f>
        <v>5.0818909122557002E-3</v>
      </c>
      <c r="AC218" s="3">
        <f>AF218/AF323</f>
        <v>5.0972177638200699E-3</v>
      </c>
      <c r="AD218" s="5">
        <f t="shared" si="27"/>
        <v>181231036467.60004</v>
      </c>
      <c r="AE218" s="5">
        <f t="shared" si="28"/>
        <v>181231036467.60004</v>
      </c>
      <c r="AF218" s="5">
        <f t="shared" si="29"/>
        <v>183482353690.79999</v>
      </c>
      <c r="AG218" t="str">
        <f t="shared" si="30"/>
        <v>DBM200</v>
      </c>
      <c r="AH218">
        <f t="shared" si="31"/>
        <v>0</v>
      </c>
      <c r="AI218">
        <f t="shared" si="32"/>
        <v>0</v>
      </c>
      <c r="AJ218">
        <f t="shared" si="33"/>
        <v>0</v>
      </c>
      <c r="AK218" t="str">
        <f>IF(Q218&lt;86,"down",IF(Q218=86,86,IF(Q218&gt;86,"up")))</f>
        <v>up</v>
      </c>
    </row>
    <row r="219" spans="1:37" x14ac:dyDescent="0.25">
      <c r="A219">
        <f>IF(X219=2227,2227,"Error")</f>
        <v>2227</v>
      </c>
      <c r="B219" t="str">
        <f>IF(K219&lt;278.5,"down",IF(K219=278.5,"low",IF(K219=280,"high",IF(AND(K219&gt;278.5,K219&lt;280),"normal","up"))))</f>
        <v>high</v>
      </c>
      <c r="C219" t="str">
        <f>IF(K219&lt;278.5,"down",IF(K219=278.5,"low",IF(K219=280,"high",IF(AND(K219&gt;278.5,K219&lt;280),"normal","up"))))</f>
        <v>high</v>
      </c>
      <c r="D219" t="str">
        <f>IF(K219&lt;278.5,"down",IF(K219=278.5,"low",IF(K219=280,"high",IF(AND(K219&gt;278.5,K219&lt;280),"normal","up"))))</f>
        <v>high</v>
      </c>
      <c r="E219" t="str">
        <f>IF(K219&lt;274,"down",IF(K219=274,"low",IF(K219=282,"high",IF(AND(K219&gt;274,K219&lt;282),"normal","up"))))</f>
        <v>normal</v>
      </c>
      <c r="F219" t="str">
        <f>IF(P219&lt;279,"PVP-down",IF(P219=279,279,IF(P219&gt;279,"PVP-up")))</f>
        <v>PVP-up</v>
      </c>
      <c r="G219" t="str">
        <f>IF(R219&lt;149,"PVV-down",IF(R219=149,149,IF(R219&gt;149,"PVV-up")))</f>
        <v>PVV-up</v>
      </c>
      <c r="H219" s="3">
        <f t="shared" si="23"/>
        <v>1.9133333333333333E-3</v>
      </c>
      <c r="I219">
        <f>[1]!'2227.PreviousPrice'</f>
        <v>280</v>
      </c>
      <c r="J219">
        <f>[1]!'2227.PreOpenPrice'</f>
        <v>281</v>
      </c>
      <c r="K219">
        <f>[1]!'2227.Open'</f>
        <v>280</v>
      </c>
      <c r="L219">
        <f>[1]!'2227.Change'</f>
        <v>1</v>
      </c>
      <c r="M219">
        <f>[1]!'2227.ChangePercent'</f>
        <v>3.5999999999999999E-3</v>
      </c>
      <c r="N219">
        <f>[1]!'2227.BidPrice'</f>
        <v>280.5</v>
      </c>
      <c r="O219">
        <f>[1]!'2227.AskPrice'</f>
        <v>281</v>
      </c>
      <c r="P219">
        <f>[1]!'2227.Price'</f>
        <v>281</v>
      </c>
      <c r="Q219">
        <f>[1]!'2227.Volume'</f>
        <v>60</v>
      </c>
      <c r="R219">
        <f>[1]!'2227.CumulativeVolume'</f>
        <v>574</v>
      </c>
      <c r="S219">
        <f>[1]!'2227.PreviousVolume'</f>
        <v>362</v>
      </c>
      <c r="T219" s="3">
        <f t="shared" si="24"/>
        <v>3.5714285714285713E-3</v>
      </c>
      <c r="U219" s="3">
        <f>((T219*AB219)*D4)</f>
        <v>0.10789457726061744</v>
      </c>
      <c r="V219" s="5">
        <f t="shared" si="25"/>
        <v>0</v>
      </c>
      <c r="W219" s="5">
        <f t="shared" si="26"/>
        <v>16860000</v>
      </c>
      <c r="X219">
        <v>2227</v>
      </c>
      <c r="Y219" s="5">
        <v>3000000000</v>
      </c>
      <c r="Z219" s="3">
        <f>((D2*AB219)/P219)/10</f>
        <v>1.0846801303981871E-2</v>
      </c>
      <c r="AA219" s="3">
        <f>((M219*AB219)*D2)</f>
        <v>0.10972624199108061</v>
      </c>
      <c r="AB219" s="3">
        <f>AE219/AE323</f>
        <v>2.3638523083751401E-3</v>
      </c>
      <c r="AC219" s="3">
        <f>AF219/AF323</f>
        <v>2.3335556992168374E-3</v>
      </c>
      <c r="AD219" s="5">
        <f t="shared" si="27"/>
        <v>84300000000</v>
      </c>
      <c r="AE219" s="5">
        <f t="shared" si="28"/>
        <v>84300000000</v>
      </c>
      <c r="AF219" s="5">
        <f t="shared" si="29"/>
        <v>84000000000</v>
      </c>
      <c r="AG219">
        <f t="shared" si="30"/>
        <v>0</v>
      </c>
      <c r="AH219">
        <f t="shared" si="31"/>
        <v>0</v>
      </c>
      <c r="AI219" t="str">
        <f t="shared" si="32"/>
        <v>UAM50</v>
      </c>
      <c r="AJ219">
        <f t="shared" si="33"/>
        <v>0</v>
      </c>
      <c r="AK219" t="str">
        <f>IF(Q219&lt;44,"down",IF(Q219=44,44,IF(Q219&gt;44,"up")))</f>
        <v>up</v>
      </c>
    </row>
    <row r="220" spans="1:37" x14ac:dyDescent="0.25">
      <c r="A220">
        <f>IF(X220=9914,9914,"Error")</f>
        <v>9914</v>
      </c>
      <c r="B220" t="str">
        <f>IF(K220&lt;263.5,"down",IF(K220=263.5,"low",IF(K220=272.5,"high",IF(AND(K220&gt;263.5,K220&lt;272.5),"normal","up"))))</f>
        <v>normal</v>
      </c>
      <c r="C220" t="str">
        <f>IF(K220&lt;263.5,"down",IF(K220=263.5,"low",IF(K220=272.5,"high",IF(AND(K220&gt;263.5,K220&lt;272.5),"normal","up"))))</f>
        <v>normal</v>
      </c>
      <c r="D220" t="str">
        <f>IF(K220&lt;263.5,"down",IF(K220=263.5,"low",IF(K220=272.5,"high",IF(AND(K220&gt;263.5,K220&lt;272.5),"normal","up"))))</f>
        <v>normal</v>
      </c>
      <c r="E220" t="str">
        <f>IF(K220&lt;258,"down",IF(K220=258,"low",IF(K220=283.5,"high",IF(AND(K220&gt;258,K220&lt;283.5),"normal","up"))))</f>
        <v>normal</v>
      </c>
      <c r="F220" t="str">
        <f>IF(P220&lt;265,"PVP-down",IF(P220=265,265,IF(P220&gt;265,"PVP-up")))</f>
        <v>PVP-down</v>
      </c>
      <c r="G220" t="str">
        <f>IF(R220&lt;325,"PVV-down",IF(R220=325,325,IF(R220&gt;325,"PVV-up")))</f>
        <v>PVV-up</v>
      </c>
      <c r="H220" s="3">
        <f t="shared" si="23"/>
        <v>1.3846904079752817E-2</v>
      </c>
      <c r="I220">
        <f>[1]!'9914.PreviousPrice'</f>
        <v>272.5</v>
      </c>
      <c r="J220">
        <f>[1]!'9914.PreOpenPrice'</f>
        <v>258.5</v>
      </c>
      <c r="K220">
        <f>[1]!'9914.Open'</f>
        <v>265</v>
      </c>
      <c r="L220">
        <f>[1]!'9914.Change'</f>
        <v>-14.5</v>
      </c>
      <c r="M220">
        <f>[1]!'9914.ChangePercent'</f>
        <v>-5.3199999999999997E-2</v>
      </c>
      <c r="N220">
        <f>[1]!'9914.BidPrice'</f>
        <v>258</v>
      </c>
      <c r="O220">
        <f>[1]!'9914.AskPrice'</f>
        <v>258.5</v>
      </c>
      <c r="P220">
        <f>[1]!'9914.Price'</f>
        <v>258</v>
      </c>
      <c r="Q220">
        <f>[1]!'9914.Volume'</f>
        <v>179</v>
      </c>
      <c r="R220">
        <f>[1]!'9914.CumulativeVolume'</f>
        <v>4140</v>
      </c>
      <c r="S220">
        <f>[1]!'9914.PreviousVolume'</f>
        <v>2069</v>
      </c>
      <c r="T220" s="3">
        <f t="shared" si="24"/>
        <v>-2.6415094339622643E-2</v>
      </c>
      <c r="U220" s="3">
        <f>((T220*AB220)*D4)</f>
        <v>-0.73021307302367233</v>
      </c>
      <c r="V220" s="5">
        <f t="shared" si="25"/>
        <v>46182000</v>
      </c>
      <c r="W220" s="5">
        <f t="shared" si="26"/>
        <v>0</v>
      </c>
      <c r="X220">
        <v>9914</v>
      </c>
      <c r="Y220" s="5">
        <v>2989838000</v>
      </c>
      <c r="Z220" s="3">
        <f>((D2*AB220)/P220)/10</f>
        <v>1.081005957236485E-2</v>
      </c>
      <c r="AA220" s="3">
        <f>((M220*AB220)*D2)</f>
        <v>-1.4837455366645098</v>
      </c>
      <c r="AB220" s="3">
        <f>AE220/AE323</f>
        <v>2.1630179693424316E-3</v>
      </c>
      <c r="AC220" s="3">
        <f>AF220/AF323</f>
        <v>2.2633569404917342E-3</v>
      </c>
      <c r="AD220" s="5">
        <f t="shared" si="27"/>
        <v>77287312300</v>
      </c>
      <c r="AE220" s="5">
        <f t="shared" si="28"/>
        <v>77137820400</v>
      </c>
      <c r="AF220" s="5">
        <f t="shared" si="29"/>
        <v>81473085500</v>
      </c>
      <c r="AG220" t="str">
        <f t="shared" si="30"/>
        <v>DBM150</v>
      </c>
      <c r="AH220">
        <f t="shared" si="31"/>
        <v>0</v>
      </c>
      <c r="AI220">
        <f t="shared" si="32"/>
        <v>0</v>
      </c>
      <c r="AJ220">
        <f t="shared" si="33"/>
        <v>0</v>
      </c>
      <c r="AK220" t="str">
        <f>IF(Q220&lt;23,"down",IF(Q220=23,23,IF(Q220&gt;23,"up")))</f>
        <v>up</v>
      </c>
    </row>
    <row r="221" spans="1:37" x14ac:dyDescent="0.25">
      <c r="A221">
        <f>IF(X221=9904,9904,"Error")</f>
        <v>9904</v>
      </c>
      <c r="B221" t="str">
        <f>IF(K221&lt;27.95,"down",IF(K221=27.95,"low",IF(K221=28.95,"high",IF(AND(K221&gt;27.95,K221&lt;28.95),"normal","up"))))</f>
        <v>normal</v>
      </c>
      <c r="C221" t="str">
        <f>IF(K221&lt;27.95,"down",IF(K221=27.95,"low",IF(K221=28.95,"high",IF(AND(K221&gt;27.95,K221&lt;28.95),"normal","up"))))</f>
        <v>normal</v>
      </c>
      <c r="D221" t="str">
        <f>IF(K221&lt;27.95,"down",IF(K221=27.95,"low",IF(K221=28.95,"high",IF(AND(K221&gt;27.95,K221&lt;28.95),"normal","up"))))</f>
        <v>normal</v>
      </c>
      <c r="E221" t="str">
        <f>IF(K221&lt;26.4,"down",IF(K221=26.4,"low",IF(K221=28.95,"high",IF(AND(K221&gt;26.4,K221&lt;28.95),"normal","up"))))</f>
        <v>normal</v>
      </c>
      <c r="F221" t="str">
        <f>IF(P221&lt;28.45,"PVP-down",IF(P221=28.45,28.45,IF(P221&gt;28.45,"PVP-up")))</f>
        <v>PVP-down</v>
      </c>
      <c r="G221" t="str">
        <f>IF(R221&lt;2365,"PVV-down",IF(R221=2365,2365,IF(R221&gt;2365,"PVV-up")))</f>
        <v>PVV-up</v>
      </c>
      <c r="H221" s="3">
        <f t="shared" si="23"/>
        <v>2.5492169800588856E-3</v>
      </c>
      <c r="I221">
        <f>[1]!'9904.PreviousPrice'</f>
        <v>28.45</v>
      </c>
      <c r="J221">
        <f>[1]!'9904.PreOpenPrice'</f>
        <v>28.25</v>
      </c>
      <c r="K221">
        <f>[1]!'9904.Open'</f>
        <v>28.15</v>
      </c>
      <c r="L221">
        <f>[1]!'9904.Change'</f>
        <v>-0.2</v>
      </c>
      <c r="M221">
        <f>[1]!'9904.ChangePercent'</f>
        <v>-7.0000000000000001E-3</v>
      </c>
      <c r="N221">
        <f>[1]!'9904.BidPrice'</f>
        <v>28.25</v>
      </c>
      <c r="O221">
        <f>[1]!'9904.AskPrice'</f>
        <v>28.3</v>
      </c>
      <c r="P221">
        <f>[1]!'9904.Price'</f>
        <v>28.25</v>
      </c>
      <c r="Q221">
        <f>[1]!'9904.Volume'</f>
        <v>586</v>
      </c>
      <c r="R221">
        <f>[1]!'9904.CumulativeVolume'</f>
        <v>7512</v>
      </c>
      <c r="S221">
        <f>[1]!'9904.PreviousVolume'</f>
        <v>12549</v>
      </c>
      <c r="T221" s="3">
        <f t="shared" si="24"/>
        <v>3.5523978685613297E-3</v>
      </c>
      <c r="U221" s="3">
        <f>((T221*AB221)*D4)</f>
        <v>0.10597877716321999</v>
      </c>
      <c r="V221" s="5">
        <f t="shared" si="25"/>
        <v>16554500</v>
      </c>
      <c r="W221" s="5">
        <f t="shared" si="26"/>
        <v>0</v>
      </c>
      <c r="X221">
        <v>9904</v>
      </c>
      <c r="Y221" s="5">
        <v>29467872130</v>
      </c>
      <c r="Z221" s="3">
        <f>((D2*AB221)/P221)/10</f>
        <v>0.10654405128175166</v>
      </c>
      <c r="AA221" s="3">
        <f>((M221*AB221)*D2)</f>
        <v>-0.21069086140966395</v>
      </c>
      <c r="AB221" s="3">
        <f>AE221/AE323</f>
        <v>2.3343178600197649E-3</v>
      </c>
      <c r="AC221" s="3">
        <f>AF221/AF323</f>
        <v>2.3290023822688881E-3</v>
      </c>
      <c r="AD221" s="5">
        <f t="shared" si="27"/>
        <v>83246738767.25</v>
      </c>
      <c r="AE221" s="5">
        <f t="shared" si="28"/>
        <v>83246738767.25</v>
      </c>
      <c r="AF221" s="5">
        <f t="shared" si="29"/>
        <v>83836096209.850006</v>
      </c>
      <c r="AG221" t="str">
        <f t="shared" si="30"/>
        <v>DBM200</v>
      </c>
      <c r="AH221">
        <f t="shared" si="31"/>
        <v>0</v>
      </c>
      <c r="AI221">
        <f t="shared" si="32"/>
        <v>0</v>
      </c>
      <c r="AJ221">
        <f t="shared" si="33"/>
        <v>0</v>
      </c>
      <c r="AK221" t="str">
        <f>IF(Q221&lt;165,"down",IF(Q221=165,165,IF(Q221&gt;165,"up")))</f>
        <v>up</v>
      </c>
    </row>
    <row r="222" spans="1:37" x14ac:dyDescent="0.25">
      <c r="A222">
        <f>IF(X222=1227,1227,"Error")</f>
        <v>1227</v>
      </c>
      <c r="B222" t="str">
        <f>IF(K222&lt;61.3,"down",IF(K222=61.3,"low",IF(K222=62.3,"high",IF(AND(K222&gt;61.3,K222&lt;62.3),"normal","up"))))</f>
        <v>normal</v>
      </c>
      <c r="C222" t="str">
        <f>IF(K222&lt;61.3,"down",IF(K222=61.3,"low",IF(K222=62.3,"high",IF(AND(K222&gt;61.3,K222&lt;62.3),"normal","up"))))</f>
        <v>normal</v>
      </c>
      <c r="D222" t="str">
        <f>IF(K222&lt;61.3,"down",IF(K222=61.3,"low",IF(K222=62.3,"high",IF(AND(K222&gt;61.3,K222&lt;62.3),"normal","up"))))</f>
        <v>normal</v>
      </c>
      <c r="E222" t="str">
        <f>IF(K222&lt;60.5,"down",IF(K222=60.5,"low",IF(K222=62.5,"high",IF(AND(K222&gt;60.5,K222&lt;62.5),"normal","up"))))</f>
        <v>normal</v>
      </c>
      <c r="F222" t="str">
        <f>IF(P222&lt;62,"PVP-down",IF(P222=62,62,IF(P222&gt;62,"PVP-up")))</f>
        <v>PVP-down</v>
      </c>
      <c r="G222" t="str">
        <f>IF(R222&lt;186,"PVV-down",IF(R222=186,186,IF(R222&gt;186,"PVV-up")))</f>
        <v>PVV-up</v>
      </c>
      <c r="H222" s="3">
        <f t="shared" si="23"/>
        <v>1.0523559763669086E-3</v>
      </c>
      <c r="I222">
        <f>[1]!'1227.PreviousPrice'</f>
        <v>62</v>
      </c>
      <c r="J222">
        <f>[1]!'1227.PreOpenPrice'</f>
        <v>61.9</v>
      </c>
      <c r="K222">
        <f>[1]!'1227.Open'</f>
        <v>62</v>
      </c>
      <c r="L222">
        <f>[1]!'1227.Change'</f>
        <v>-0.1</v>
      </c>
      <c r="M222">
        <f>[1]!'1227.ChangePercent'</f>
        <v>-1.6000000000000001E-3</v>
      </c>
      <c r="N222">
        <f>[1]!'1227.BidPrice'</f>
        <v>61.9</v>
      </c>
      <c r="O222">
        <f>[1]!'1227.AskPrice'</f>
        <v>62</v>
      </c>
      <c r="P222">
        <f>[1]!'1227.Price'</f>
        <v>61.9</v>
      </c>
      <c r="Q222">
        <f>[1]!'1227.Volume'</f>
        <v>161</v>
      </c>
      <c r="R222">
        <f>[1]!'1227.CumulativeVolume'</f>
        <v>963</v>
      </c>
      <c r="S222">
        <f>[1]!'1227.PreviousVolume'</f>
        <v>558</v>
      </c>
      <c r="T222" s="3">
        <f t="shared" si="24"/>
        <v>-1.6129032258064746E-3</v>
      </c>
      <c r="U222" s="3">
        <f>((T222*AB222)*D4)</f>
        <v>-3.2741053490233644E-2</v>
      </c>
      <c r="V222" s="5">
        <f t="shared" si="25"/>
        <v>9965900</v>
      </c>
      <c r="W222" s="5">
        <f t="shared" si="26"/>
        <v>0</v>
      </c>
      <c r="X222">
        <v>1227</v>
      </c>
      <c r="Y222" s="5">
        <v>9150895910</v>
      </c>
      <c r="Z222" s="3">
        <f>((D2*AB222)/P222)/10</f>
        <v>3.3085983229730123E-2</v>
      </c>
      <c r="AA222" s="3">
        <f>((M222*AB222)*D2)</f>
        <v>-3.2768357790724713E-2</v>
      </c>
      <c r="AB222" s="3">
        <f>AE222/AE323</f>
        <v>1.5883530028852912E-3</v>
      </c>
      <c r="AC222" s="3">
        <f>AF222/AF323</f>
        <v>1.5761378200365168E-3</v>
      </c>
      <c r="AD222" s="5">
        <f t="shared" si="27"/>
        <v>56644045682.900002</v>
      </c>
      <c r="AE222" s="5">
        <f t="shared" si="28"/>
        <v>56644045682.900002</v>
      </c>
      <c r="AF222" s="5">
        <f t="shared" si="29"/>
        <v>56735554642</v>
      </c>
      <c r="AG222" t="str">
        <f t="shared" si="30"/>
        <v>DBM150</v>
      </c>
      <c r="AH222">
        <f t="shared" si="31"/>
        <v>0</v>
      </c>
      <c r="AI222">
        <f t="shared" si="32"/>
        <v>0</v>
      </c>
      <c r="AJ222">
        <f t="shared" si="33"/>
        <v>0</v>
      </c>
      <c r="AK222" t="str">
        <f>IF(Q222&lt;18,"down",IF(Q222=18,18,IF(Q222&gt;18,"up")))</f>
        <v>up</v>
      </c>
    </row>
    <row r="223" spans="1:37" x14ac:dyDescent="0.25">
      <c r="A223">
        <f>IF(X223=1722,1722,"Error")</f>
        <v>1722</v>
      </c>
      <c r="B223" t="str">
        <f>IF(K223&lt;56.5,"down",IF(K223=56.5,"low",IF(K223=57.4,"high",IF(AND(K223&gt;56.5,K223&lt;57.4),"normal","up"))))</f>
        <v>normal</v>
      </c>
      <c r="C223" t="str">
        <f>IF(K223&lt;56.5,"down",IF(K223=56.5,"low",IF(K223=57.4,"high",IF(AND(K223&gt;56.5,K223&lt;57.4),"normal","up"))))</f>
        <v>normal</v>
      </c>
      <c r="D223" t="str">
        <f>IF(K223&lt;56.5,"down",IF(K223=56.5,"low",IF(K223=57.4,"high",IF(AND(K223&gt;56.5,K223&lt;57.4),"normal","up"))))</f>
        <v>normal</v>
      </c>
      <c r="E223" t="str">
        <f>IF(K223&lt;55.1,"down",IF(K223=55.1,"low",IF(K223=58,"high",IF(AND(K223&gt;55.1,K223&lt;58),"normal","up"))))</f>
        <v>normal</v>
      </c>
      <c r="F223" t="str">
        <f>IF(P223&lt;56.7,"PVP-down",IF(P223=56.7,56.7,IF(P223&gt;56.7,"PVP-up")))</f>
        <v>PVP-up</v>
      </c>
      <c r="G223" t="str">
        <f>IF(R223&lt;514,"PVV-down",IF(R223=514,514,IF(R223&gt;514,"PVV-up")))</f>
        <v>PVV-up</v>
      </c>
      <c r="H223" s="3">
        <f t="shared" si="23"/>
        <v>2.0377551020408164E-3</v>
      </c>
      <c r="I223">
        <f>[1]!'1722.PreviousPrice'</f>
        <v>57</v>
      </c>
      <c r="J223">
        <f>[1]!'1722.PreOpenPrice'</f>
        <v>57</v>
      </c>
      <c r="K223">
        <f>[1]!'1722.Open'</f>
        <v>56.8</v>
      </c>
      <c r="L223">
        <f>[1]!'1722.Change'</f>
        <v>0</v>
      </c>
      <c r="M223">
        <f>[1]!'1722.ChangePercent'</f>
        <v>0</v>
      </c>
      <c r="N223">
        <f>[1]!'1722.BidPrice'</f>
        <v>57</v>
      </c>
      <c r="O223">
        <f>[1]!'1722.AskPrice'</f>
        <v>57.1</v>
      </c>
      <c r="P223">
        <f>[1]!'1722.Price'</f>
        <v>57</v>
      </c>
      <c r="Q223">
        <f>[1]!'1722.Volume'</f>
        <v>37</v>
      </c>
      <c r="R223">
        <f>[1]!'1722.CumulativeVolume'</f>
        <v>1997</v>
      </c>
      <c r="S223">
        <f>[1]!'1722.PreviousVolume'</f>
        <v>2445</v>
      </c>
      <c r="T223" s="3">
        <f t="shared" si="24"/>
        <v>3.5211267605634307E-3</v>
      </c>
      <c r="U223" s="3">
        <f>((T223*AB223)*D4)</f>
        <v>7.0487590597709787E-2</v>
      </c>
      <c r="V223" s="5">
        <f t="shared" si="25"/>
        <v>2109000</v>
      </c>
      <c r="W223" s="5">
        <f t="shared" si="26"/>
        <v>0</v>
      </c>
      <c r="X223">
        <v>1722</v>
      </c>
      <c r="Y223" s="5">
        <v>9800000000</v>
      </c>
      <c r="Z223" s="3">
        <f>((D2*AB223)/P223)/10</f>
        <v>3.5432884259674113E-2</v>
      </c>
      <c r="AA223" s="3">
        <f>((M223*AB223)*D2)</f>
        <v>0</v>
      </c>
      <c r="AB223" s="3">
        <f>AE223/AE323</f>
        <v>1.5663676150158403E-3</v>
      </c>
      <c r="AC223" s="3">
        <f>AF223/AF323</f>
        <v>1.5518145399791969E-3</v>
      </c>
      <c r="AD223" s="5">
        <f t="shared" si="27"/>
        <v>55860000000</v>
      </c>
      <c r="AE223" s="5">
        <f t="shared" si="28"/>
        <v>55860000000</v>
      </c>
      <c r="AF223" s="5">
        <f t="shared" si="29"/>
        <v>55860000000</v>
      </c>
      <c r="AG223">
        <f t="shared" si="30"/>
        <v>0</v>
      </c>
      <c r="AH223">
        <f t="shared" si="31"/>
        <v>0</v>
      </c>
      <c r="AI223">
        <f t="shared" si="32"/>
        <v>0</v>
      </c>
      <c r="AJ223">
        <f t="shared" si="33"/>
        <v>0</v>
      </c>
      <c r="AK223" t="str">
        <f>IF(Q223&lt;46,"down",IF(Q223=46,46,IF(Q223&gt;46,"up")))</f>
        <v>down</v>
      </c>
    </row>
    <row r="224" spans="1:37" x14ac:dyDescent="0.25">
      <c r="A224">
        <f>IF(X224=1504,1504,"Error")</f>
        <v>1504</v>
      </c>
      <c r="B224" t="str">
        <f>IF(K224&lt;28.1,"down",IF(K224=28.1,"low",IF(K224=29.6,"high",IF(AND(K224&gt;28.1,K224&lt;29.6),"normal","up"))))</f>
        <v>normal</v>
      </c>
      <c r="C224" t="str">
        <f>IF(K224&lt;28.1,"down",IF(K224=28.1,"low",IF(K224=29.6,"high",IF(AND(K224&gt;28.1,K224&lt;29.6),"normal","up"))))</f>
        <v>normal</v>
      </c>
      <c r="D224" t="str">
        <f>IF(K224&lt;28.1,"down",IF(K224=28.1,"low",IF(K224=29.6,"high",IF(AND(K224&gt;28.1,K224&lt;29.6),"normal","up"))))</f>
        <v>normal</v>
      </c>
      <c r="E224" t="str">
        <f>IF(K224&lt;27.45,"down",IF(K224=27.45,"low",IF(K224=29.6,"high",IF(AND(K224&gt;27.45,K224&lt;29.6),"normal","up"))))</f>
        <v>normal</v>
      </c>
      <c r="F224" t="str">
        <f>IF(P224&lt;28.5,"PVP-down",IF(P224=28.5,28.5,IF(P224&gt;28.5,"PVP-up")))</f>
        <v>PVP-down</v>
      </c>
      <c r="G224" t="str">
        <f>IF(R224&lt;707,"PVV-down",IF(R224=707,707,IF(R224&gt;707,"PVV-up")))</f>
        <v>PVV-up</v>
      </c>
      <c r="H224" s="3">
        <f t="shared" si="23"/>
        <v>1.7177477359645239E-3</v>
      </c>
      <c r="I224">
        <f>[1]!'1504.PreviousPrice'</f>
        <v>28.55</v>
      </c>
      <c r="J224">
        <f>[1]!'1504.PreOpenPrice'</f>
        <v>28.1</v>
      </c>
      <c r="K224">
        <f>[1]!'1504.Open'</f>
        <v>28.55</v>
      </c>
      <c r="L224">
        <f>[1]!'1504.Change'</f>
        <v>-0.45</v>
      </c>
      <c r="M224">
        <f>[1]!'1504.ChangePercent'</f>
        <v>-1.5800000000000002E-2</v>
      </c>
      <c r="N224">
        <f>[1]!'1504.BidPrice'</f>
        <v>28.1</v>
      </c>
      <c r="O224">
        <f>[1]!'1504.AskPrice'</f>
        <v>28.25</v>
      </c>
      <c r="P224">
        <f>[1]!'1504.Price'</f>
        <v>28.1</v>
      </c>
      <c r="Q224">
        <f>[1]!'1504.Volume'</f>
        <v>201</v>
      </c>
      <c r="R224">
        <f>[1]!'1504.CumulativeVolume'</f>
        <v>3380</v>
      </c>
      <c r="S224">
        <f>[1]!'1504.PreviousVolume'</f>
        <v>5935</v>
      </c>
      <c r="T224" s="3">
        <f t="shared" si="24"/>
        <v>-1.5761821366024494E-2</v>
      </c>
      <c r="U224" s="3">
        <f>((T224*AB224)*D4)</f>
        <v>-0.31232022657706293</v>
      </c>
      <c r="V224" s="5">
        <f t="shared" si="25"/>
        <v>5648100</v>
      </c>
      <c r="W224" s="5">
        <f t="shared" si="26"/>
        <v>0</v>
      </c>
      <c r="X224">
        <v>1504</v>
      </c>
      <c r="Y224" s="5">
        <v>19676928860</v>
      </c>
      <c r="Z224" s="3">
        <f>((D2*AB224)/P224)/10</f>
        <v>7.1143912539002166E-2</v>
      </c>
      <c r="AA224" s="3">
        <f>((M224*AB224)*D2)</f>
        <v>-0.31586474289066185</v>
      </c>
      <c r="AB224" s="3">
        <f>AE224/AE323</f>
        <v>1.5504451235814805E-3</v>
      </c>
      <c r="AC224" s="3">
        <f>AF224/AF323</f>
        <v>1.5606384890212252E-3</v>
      </c>
      <c r="AD224" s="5">
        <f t="shared" si="27"/>
        <v>55292170096.599998</v>
      </c>
      <c r="AE224" s="5">
        <f t="shared" si="28"/>
        <v>55292170096.599998</v>
      </c>
      <c r="AF224" s="5">
        <f t="shared" si="29"/>
        <v>56177631895.300003</v>
      </c>
      <c r="AG224" t="str">
        <f t="shared" si="30"/>
        <v>DBM200</v>
      </c>
      <c r="AH224">
        <f t="shared" si="31"/>
        <v>0</v>
      </c>
      <c r="AI224">
        <f t="shared" si="32"/>
        <v>0</v>
      </c>
      <c r="AJ224">
        <f t="shared" si="33"/>
        <v>0</v>
      </c>
      <c r="AK224" t="str">
        <f>IF(Q224&lt;45,"down",IF(Q224=45,45,IF(Q224&gt;45,"up")))</f>
        <v>up</v>
      </c>
    </row>
    <row r="225" spans="1:37" x14ac:dyDescent="0.25">
      <c r="A225">
        <f>IF(X225=2603,2603,"Error")</f>
        <v>2603</v>
      </c>
      <c r="B225" t="str">
        <f>IF(K225&lt;11.5,"down",IF(K225=11.5,"low",IF(K225=12.5,"high",IF(AND(K225&gt;11.5,K225&lt;12.5),"normal","up"))))</f>
        <v>high</v>
      </c>
      <c r="C225" t="str">
        <f>IF(K225&lt;11.5,"down",IF(K225=11.5,"low",IF(K225=12.5,"high",IF(AND(K225&gt;11.5,K225&lt;12.5),"normal","up"))))</f>
        <v>high</v>
      </c>
      <c r="D225" t="str">
        <f>IF(K225&lt;11.5,"down",IF(K225=11.5,"low",IF(K225=12.5,"high",IF(AND(K225&gt;11.5,K225&lt;12.5),"normal","up"))))</f>
        <v>high</v>
      </c>
      <c r="E225" t="str">
        <f>IF(K225&lt;10.95,"down",IF(K225=10.95,"low",IF(K225=12.5,"high",IF(AND(K225&gt;10.95,K225&lt;12.5),"normal","up"))))</f>
        <v>high</v>
      </c>
      <c r="F225" t="str">
        <f>IF(P225&lt;12.5,"PVP-down",IF(P225=12.5,12.5,IF(P225&gt;12.5,"PVP-up")))</f>
        <v>PVP-down</v>
      </c>
      <c r="G225" t="str">
        <f>IF(R225&lt;18955,"PVV-down",IF(R225=18955,18955,IF(R225&gt;18955,"PVV-up")))</f>
        <v>PVV-up</v>
      </c>
      <c r="H225" s="3">
        <f t="shared" si="23"/>
        <v>1.9900378489200437E-2</v>
      </c>
      <c r="I225">
        <f>[1]!'2603.PreviousPrice'</f>
        <v>12.5</v>
      </c>
      <c r="J225">
        <f>[1]!'2603.PreOpenPrice'</f>
        <v>12.45</v>
      </c>
      <c r="K225">
        <f>[1]!'2603.Open'</f>
        <v>12.5</v>
      </c>
      <c r="L225">
        <f>[1]!'2603.Change'</f>
        <v>-0.05</v>
      </c>
      <c r="M225">
        <f>[1]!'2603.ChangePercent'</f>
        <v>-4.0000000000000001E-3</v>
      </c>
      <c r="N225">
        <f>[1]!'2603.BidPrice'</f>
        <v>12.4</v>
      </c>
      <c r="O225">
        <f>[1]!'2603.AskPrice'</f>
        <v>12.45</v>
      </c>
      <c r="P225">
        <f>[1]!'2603.Price'</f>
        <v>12.45</v>
      </c>
      <c r="Q225">
        <f>[1]!'2603.Volume'</f>
        <v>1925</v>
      </c>
      <c r="R225">
        <f>[1]!'2603.CumulativeVolume'</f>
        <v>95780</v>
      </c>
      <c r="S225">
        <f>[1]!'2603.PreviousVolume'</f>
        <v>78297</v>
      </c>
      <c r="T225" s="3">
        <f t="shared" si="24"/>
        <v>-4.0000000000000565E-3</v>
      </c>
      <c r="U225" s="3">
        <f>((T225*AB225)*D4)</f>
        <v>-8.589599474334951E-2</v>
      </c>
      <c r="V225" s="5">
        <f t="shared" si="25"/>
        <v>0</v>
      </c>
      <c r="W225" s="5">
        <f t="shared" si="26"/>
        <v>23966250</v>
      </c>
      <c r="X225">
        <v>2603</v>
      </c>
      <c r="Y225" s="5">
        <v>48129737860</v>
      </c>
      <c r="Z225" s="3">
        <f>((D2*AB225)/P225)/10</f>
        <v>0.17401790112671786</v>
      </c>
      <c r="AA225" s="3">
        <f>((M225*AB225)*D2)</f>
        <v>-8.666091476110549E-2</v>
      </c>
      <c r="AB225" s="3">
        <f>AE225/AE323</f>
        <v>1.6802566069704027E-3</v>
      </c>
      <c r="AC225" s="3">
        <f>AF225/AF323</f>
        <v>1.6713307155508243E-3</v>
      </c>
      <c r="AD225" s="5">
        <f t="shared" si="27"/>
        <v>59921523635.699997</v>
      </c>
      <c r="AE225" s="5">
        <f t="shared" si="28"/>
        <v>59921523635.699997</v>
      </c>
      <c r="AF225" s="5">
        <f t="shared" si="29"/>
        <v>60162172325</v>
      </c>
      <c r="AG225">
        <f t="shared" si="30"/>
        <v>0</v>
      </c>
      <c r="AH225" t="str">
        <f t="shared" si="31"/>
        <v>DAM200</v>
      </c>
      <c r="AI225">
        <f t="shared" si="32"/>
        <v>0</v>
      </c>
      <c r="AJ225">
        <f t="shared" si="33"/>
        <v>0</v>
      </c>
      <c r="AK225" t="str">
        <f>IF(Q225&lt;1950,"down",IF(Q225=1950,1950,IF(Q225&gt;1950,"up")))</f>
        <v>down</v>
      </c>
    </row>
    <row r="226" spans="1:37" x14ac:dyDescent="0.25">
      <c r="A226">
        <f>IF(X226=2618,2618,"Error")</f>
        <v>2618</v>
      </c>
      <c r="B226" t="str">
        <f>IF(K226&lt;10.75,"down",IF(K226=10.75,"low",IF(K226=11.25,"high",IF(AND(K226&gt;10.75,K226&lt;11.25),"normal","up"))))</f>
        <v>normal</v>
      </c>
      <c r="C226" t="str">
        <f>IF(K226&lt;10.75,"down",IF(K226=10.75,"low",IF(K226=11.25,"high",IF(AND(K226&gt;10.75,K226&lt;11.25),"normal","up"))))</f>
        <v>normal</v>
      </c>
      <c r="D226" t="str">
        <f>IF(K226&lt;10.75,"down",IF(K226=10.75,"low",IF(K226=11.25,"high",IF(AND(K226&gt;10.75,K226&lt;11.25),"normal","up"))))</f>
        <v>normal</v>
      </c>
      <c r="E226" t="str">
        <f>IF(K226&lt;10.35,"down",IF(K226=10.35,"low",IF(K226=11.25,"high",IF(AND(K226&gt;10.35,K226&lt;11.25),"normal","up"))))</f>
        <v>normal</v>
      </c>
      <c r="F226" t="str">
        <f>IF(P226&lt;11.05,"PVP-down",IF(P226=11.05,11.05,IF(P226&gt;11.05,"PVP-up")))</f>
        <v>PVP-down</v>
      </c>
      <c r="G226" t="str">
        <f>IF(R226&lt;7599,"PVV-down",IF(R226=7599,7599,IF(R226&gt;7599,"PVV-up")))</f>
        <v>PVV-up</v>
      </c>
      <c r="H226" s="3">
        <f t="shared" si="23"/>
        <v>2.447889130768374E-3</v>
      </c>
      <c r="I226">
        <f>[1]!'2618.PreviousPrice'</f>
        <v>11.1</v>
      </c>
      <c r="J226">
        <f>[1]!'2618.PreOpenPrice'</f>
        <v>10.95</v>
      </c>
      <c r="K226">
        <f>[1]!'2618.Open'</f>
        <v>11.1</v>
      </c>
      <c r="L226">
        <f>[1]!'2618.Change'</f>
        <v>-0.15</v>
      </c>
      <c r="M226">
        <f>[1]!'2618.ChangePercent'</f>
        <v>-1.35E-2</v>
      </c>
      <c r="N226">
        <f>[1]!'2618.BidPrice'</f>
        <v>10.9</v>
      </c>
      <c r="O226">
        <f>[1]!'2618.AskPrice'</f>
        <v>10.95</v>
      </c>
      <c r="P226">
        <f>[1]!'2618.Price'</f>
        <v>10.95</v>
      </c>
      <c r="Q226">
        <f>[1]!'2618.Volume'</f>
        <v>731</v>
      </c>
      <c r="R226">
        <f>[1]!'2618.CumulativeVolume'</f>
        <v>11881</v>
      </c>
      <c r="S226">
        <f>[1]!'2618.PreviousVolume'</f>
        <v>28529</v>
      </c>
      <c r="T226" s="3">
        <f t="shared" si="24"/>
        <v>-1.3513513513513545E-2</v>
      </c>
      <c r="U226" s="3">
        <f>((T226*AB226)*D4)</f>
        <v>-0.25737936546687051</v>
      </c>
      <c r="V226" s="5">
        <f t="shared" si="25"/>
        <v>0</v>
      </c>
      <c r="W226" s="5">
        <f t="shared" si="26"/>
        <v>8004450</v>
      </c>
      <c r="X226">
        <v>2618</v>
      </c>
      <c r="Y226" s="5">
        <v>48535694900</v>
      </c>
      <c r="Z226" s="3">
        <f>((D2*AB226)/P226)/10</f>
        <v>0.1754856795769954</v>
      </c>
      <c r="AA226" s="3">
        <f>((M226*AB226)*D2)</f>
        <v>-0.25941170583469342</v>
      </c>
      <c r="AB226" s="3">
        <f>AE226/AE323</f>
        <v>1.4902808991531717E-3</v>
      </c>
      <c r="AC226" s="3">
        <f>AF226/AF323</f>
        <v>1.4966598770091964E-3</v>
      </c>
      <c r="AD226" s="5">
        <f t="shared" si="27"/>
        <v>53146585915.499992</v>
      </c>
      <c r="AE226" s="5">
        <f t="shared" si="28"/>
        <v>53146585915.499992</v>
      </c>
      <c r="AF226" s="5">
        <f t="shared" si="29"/>
        <v>53874621339</v>
      </c>
      <c r="AG226">
        <f t="shared" si="30"/>
        <v>0</v>
      </c>
      <c r="AH226" t="str">
        <f t="shared" si="31"/>
        <v>DAM200</v>
      </c>
      <c r="AI226">
        <f t="shared" si="32"/>
        <v>0</v>
      </c>
      <c r="AJ226">
        <f t="shared" si="33"/>
        <v>0</v>
      </c>
      <c r="AK226" t="str">
        <f>IF(Q226&lt;373,"down",IF(Q226=373,373,IF(Q226&gt;373,"up")))</f>
        <v>up</v>
      </c>
    </row>
    <row r="227" spans="1:37" x14ac:dyDescent="0.25">
      <c r="A227">
        <f>IF(X227=1229,1229,"Error")</f>
        <v>1229</v>
      </c>
      <c r="B227" t="str">
        <f>IF(K227&lt;47,"down",IF(K227=47,"low",IF(K227=47.2,"high",IF(AND(K227&gt;47,K227&lt;47.2),"normal","up"))))</f>
        <v>high</v>
      </c>
      <c r="C227" t="str">
        <f>IF(K227&lt;47,"down",IF(K227=47,"low",IF(K227=47.2,"high",IF(AND(K227&gt;47,K227&lt;47.2),"normal","up"))))</f>
        <v>high</v>
      </c>
      <c r="D227" t="str">
        <f>IF(K227&lt;47,"down",IF(K227=47,"low",IF(K227=47.2,"high",IF(AND(K227&gt;47,K227&lt;47.2),"normal","up"))))</f>
        <v>high</v>
      </c>
      <c r="E227" t="str">
        <f>IF(K227&lt;46.7,"down",IF(K227=46.7,"low",IF(K227=47.5,"high",IF(AND(K227&gt;46.7,K227&lt;47.5),"normal","up"))))</f>
        <v>normal</v>
      </c>
      <c r="F227" t="str">
        <f>IF(P227&lt;47.1,"PVP-down",IF(P227=47.1,47.1,IF(P227&gt;47.1,"PVP-up")))</f>
        <v>PVP-up</v>
      </c>
      <c r="G227" t="str">
        <f>IF(R227&lt;2128,"PVV-down",IF(R227=2128,2128,IF(R227&gt;2128,"PVV-up")))</f>
        <v>PVV-up</v>
      </c>
      <c r="H227" s="3">
        <f t="shared" si="23"/>
        <v>5.9896454843253906E-3</v>
      </c>
      <c r="I227">
        <f>[1]!'1229.PreviousPrice'</f>
        <v>47.2</v>
      </c>
      <c r="J227">
        <f>[1]!'1229.PreOpenPrice'</f>
        <v>47.15</v>
      </c>
      <c r="K227">
        <f>[1]!'1229.Open'</f>
        <v>47.2</v>
      </c>
      <c r="L227">
        <f>[1]!'1229.Change'</f>
        <v>-0.05</v>
      </c>
      <c r="M227">
        <f>[1]!'1229.ChangePercent'</f>
        <v>-1.1000000000000001E-3</v>
      </c>
      <c r="N227">
        <f>[1]!'1229.BidPrice'</f>
        <v>47.15</v>
      </c>
      <c r="O227">
        <f>[1]!'1229.AskPrice'</f>
        <v>47.2</v>
      </c>
      <c r="P227">
        <f>[1]!'1229.Price'</f>
        <v>47.15</v>
      </c>
      <c r="Q227">
        <f>[1]!'1229.Volume'</f>
        <v>347</v>
      </c>
      <c r="R227">
        <f>[1]!'1229.CumulativeVolume'</f>
        <v>6617</v>
      </c>
      <c r="S227">
        <f>[1]!'1229.PreviousVolume'</f>
        <v>5330</v>
      </c>
      <c r="T227" s="3">
        <f t="shared" si="24"/>
        <v>-1.0593220338983953E-3</v>
      </c>
      <c r="U227" s="3">
        <f>((T227*AB227)*D4)</f>
        <v>-1.977423967772305E-2</v>
      </c>
      <c r="V227" s="5">
        <f t="shared" si="25"/>
        <v>16361050</v>
      </c>
      <c r="W227" s="5">
        <f t="shared" si="26"/>
        <v>0</v>
      </c>
      <c r="X227">
        <v>1229</v>
      </c>
      <c r="Y227" s="5">
        <v>11047398410</v>
      </c>
      <c r="Z227" s="3">
        <f>((D2*AB227)/P227)/10</f>
        <v>3.9942978493065086E-2</v>
      </c>
      <c r="AA227" s="3">
        <f>((M227*AB227)*D2)</f>
        <v>-2.0716425795428206E-2</v>
      </c>
      <c r="AB227" s="3">
        <f>AE227/AE323</f>
        <v>1.4606106995098641E-3</v>
      </c>
      <c r="AC227" s="3">
        <f>AF227/AF323</f>
        <v>1.4485747159517118E-3</v>
      </c>
      <c r="AD227" s="5">
        <f t="shared" si="27"/>
        <v>52088483503.150002</v>
      </c>
      <c r="AE227" s="5">
        <f t="shared" si="28"/>
        <v>52088483503.150002</v>
      </c>
      <c r="AF227" s="5">
        <f t="shared" si="29"/>
        <v>52143720495.200005</v>
      </c>
      <c r="AG227" t="str">
        <f t="shared" si="30"/>
        <v>DBM200</v>
      </c>
      <c r="AH227">
        <f t="shared" si="31"/>
        <v>0</v>
      </c>
      <c r="AI227">
        <f t="shared" si="32"/>
        <v>0</v>
      </c>
      <c r="AJ227">
        <f t="shared" si="33"/>
        <v>0</v>
      </c>
      <c r="AK227" t="str">
        <f>IF(Q227&lt;74,"down",IF(Q227=74,74,IF(Q227&gt;74,"up")))</f>
        <v>up</v>
      </c>
    </row>
    <row r="228" spans="1:37" x14ac:dyDescent="0.25">
      <c r="A228">
        <f>IF(X228=9945,9945,"Error")</f>
        <v>9945</v>
      </c>
      <c r="B228" t="str">
        <f>IF(K228&lt;53,"down",IF(K228=53,"low",IF(K228=53.8,"high",IF(AND(K228&gt;53,K228&lt;53.8),"normal","up"))))</f>
        <v>normal</v>
      </c>
      <c r="C228" t="str">
        <f>IF(K228&lt;53,"down",IF(K228=53,"low",IF(K228=53.8,"high",IF(AND(K228&gt;53,K228&lt;53.8),"normal","up"))))</f>
        <v>normal</v>
      </c>
      <c r="D228" t="str">
        <f>IF(K228&lt;53,"down",IF(K228=53,"low",IF(K228=53.8,"high",IF(AND(K228&gt;53,K228&lt;53.8),"normal","up"))))</f>
        <v>normal</v>
      </c>
      <c r="E228" t="str">
        <f>IF(K228&lt;51.3,"down",IF(K228=51.3,"low",IF(K228=53.9,"high",IF(AND(K228&gt;51.3,K228&lt;53.9),"normal","up"))))</f>
        <v>normal</v>
      </c>
      <c r="F228" t="str">
        <f>IF(P228&lt;53.3,"PVP-down",IF(P228=53.3,53.3,IF(P228&gt;53.3,"PVP-up")))</f>
        <v>PVP-down</v>
      </c>
      <c r="G228" t="str">
        <f>IF(R228&lt;1094,"PVV-down",IF(R228=1094,1094,IF(R228&gt;1094,"PVV-up")))</f>
        <v>PVV-up</v>
      </c>
      <c r="H228" s="3">
        <f t="shared" si="23"/>
        <v>3.7218889769907613E-3</v>
      </c>
      <c r="I228">
        <f>[1]!'9945.PreviousPrice'</f>
        <v>53.3</v>
      </c>
      <c r="J228">
        <f>[1]!'9945.PreOpenPrice'</f>
        <v>52.6</v>
      </c>
      <c r="K228">
        <f>[1]!'9945.Open'</f>
        <v>53.5</v>
      </c>
      <c r="L228">
        <f>[1]!'9945.Change'</f>
        <v>-0.6</v>
      </c>
      <c r="M228">
        <f>[1]!'9945.ChangePercent'</f>
        <v>-1.1299999999999999E-2</v>
      </c>
      <c r="N228">
        <f>[1]!'9945.BidPrice'</f>
        <v>52.7</v>
      </c>
      <c r="O228">
        <f>[1]!'9945.AskPrice'</f>
        <v>52.8</v>
      </c>
      <c r="P228">
        <f>[1]!'9945.Price'</f>
        <v>52.7</v>
      </c>
      <c r="Q228">
        <f>[1]!'9945.Volume'</f>
        <v>308</v>
      </c>
      <c r="R228">
        <f>[1]!'9945.CumulativeVolume'</f>
        <v>3734</v>
      </c>
      <c r="S228">
        <f>[1]!'9945.PreviousVolume'</f>
        <v>2563</v>
      </c>
      <c r="T228" s="3">
        <f t="shared" si="24"/>
        <v>-1.495327102803733E-2</v>
      </c>
      <c r="U228" s="3">
        <f>((T228*AB228)*D4)</f>
        <v>-0.28332688978202702</v>
      </c>
      <c r="V228" s="5">
        <f t="shared" si="25"/>
        <v>16231600</v>
      </c>
      <c r="W228" s="5">
        <f t="shared" si="26"/>
        <v>0</v>
      </c>
      <c r="X228">
        <v>9945</v>
      </c>
      <c r="Y228" s="5">
        <v>10032539990</v>
      </c>
      <c r="Z228" s="3">
        <f>((D2*AB228)/P228)/10</f>
        <v>3.6273655948594094E-2</v>
      </c>
      <c r="AA228" s="3">
        <f>((M228*AB228)*D2)</f>
        <v>-0.21601324853947265</v>
      </c>
      <c r="AB228" s="3">
        <f>AE228/AE323</f>
        <v>1.4825668283627335E-3</v>
      </c>
      <c r="AC228" s="3">
        <f>AF228/AF323</f>
        <v>1.485514837427986E-3</v>
      </c>
      <c r="AD228" s="5">
        <f t="shared" si="27"/>
        <v>52771160347.400002</v>
      </c>
      <c r="AE228" s="5">
        <f t="shared" si="28"/>
        <v>52871485747.300003</v>
      </c>
      <c r="AF228" s="5">
        <f t="shared" si="29"/>
        <v>53473438146.699997</v>
      </c>
      <c r="AG228" t="str">
        <f t="shared" si="30"/>
        <v>DBM200</v>
      </c>
      <c r="AH228">
        <f t="shared" si="31"/>
        <v>0</v>
      </c>
      <c r="AI228">
        <f t="shared" si="32"/>
        <v>0</v>
      </c>
      <c r="AJ228">
        <f t="shared" si="33"/>
        <v>0</v>
      </c>
      <c r="AK228" t="str">
        <f>IF(Q228&lt;56,"down",IF(Q228=56,56,IF(Q228&gt;56,"up")))</f>
        <v>up</v>
      </c>
    </row>
    <row r="229" spans="1:37" x14ac:dyDescent="0.25">
      <c r="A229">
        <f>IF(X229=1434,1434,"Error")</f>
        <v>1434</v>
      </c>
      <c r="B229" t="str">
        <f>IF(K229&lt;30.3,"down",IF(K229=30.3,"low",IF(K229=31.1,"high",IF(AND(K229&gt;30.3,K229&lt;31.1),"normal","up"))))</f>
        <v>normal</v>
      </c>
      <c r="C229" t="str">
        <f>IF(K229&lt;30.3,"down",IF(K229=30.3,"low",IF(K229=31.1,"high",IF(AND(K229&gt;30.3,K229&lt;31.1),"normal","up"))))</f>
        <v>normal</v>
      </c>
      <c r="D229" t="str">
        <f>IF(K229&lt;30.3,"down",IF(K229=30.3,"low",IF(K229=31.1,"high",IF(AND(K229&gt;30.3,K229&lt;31.1),"normal","up"))))</f>
        <v>normal</v>
      </c>
      <c r="E229" t="str">
        <f>IF(K229&lt;29.7,"down",IF(K229=29.7,"low",IF(K229=31.1,"high",IF(AND(K229&gt;29.7,K229&lt;31.1),"normal","up"))))</f>
        <v>normal</v>
      </c>
      <c r="F229" t="str">
        <f>IF(P229&lt;30.75,"PVP-down",IF(P229=30.75,30.75,IF(P229&gt;30.75,"PVP-up")))</f>
        <v>PVP-up</v>
      </c>
      <c r="G229" t="str">
        <f>IF(R229&lt;448,"PVV-down",IF(R229=448,448,IF(R229&gt;448,"PVV-up")))</f>
        <v>PVV-up</v>
      </c>
      <c r="H229" s="3">
        <f t="shared" si="23"/>
        <v>1.4839748784968411E-3</v>
      </c>
      <c r="I229">
        <f>[1]!'1434.PreviousPrice'</f>
        <v>30.8</v>
      </c>
      <c r="J229">
        <f>[1]!'1434.PreOpenPrice'</f>
        <v>30.85</v>
      </c>
      <c r="K229">
        <f>[1]!'1434.Open'</f>
        <v>31</v>
      </c>
      <c r="L229">
        <f>[1]!'1434.Change'</f>
        <v>0.05</v>
      </c>
      <c r="M229">
        <f>[1]!'1434.ChangePercent'</f>
        <v>1.6000000000000001E-3</v>
      </c>
      <c r="N229">
        <f>[1]!'1434.BidPrice'</f>
        <v>30.85</v>
      </c>
      <c r="O229">
        <f>[1]!'1434.AskPrice'</f>
        <v>30.9</v>
      </c>
      <c r="P229">
        <f>[1]!'1434.Price'</f>
        <v>30.85</v>
      </c>
      <c r="Q229">
        <f>[1]!'1434.Volume'</f>
        <v>141</v>
      </c>
      <c r="R229">
        <f>[1]!'1434.CumulativeVolume'</f>
        <v>2500</v>
      </c>
      <c r="S229">
        <f>[1]!'1434.PreviousVolume'</f>
        <v>2575</v>
      </c>
      <c r="T229" s="3">
        <f t="shared" si="24"/>
        <v>-4.8387096774193091E-3</v>
      </c>
      <c r="U229" s="3">
        <f>((T229*AB229)*D4)</f>
        <v>-9.012147013987741E-2</v>
      </c>
      <c r="V229" s="5">
        <f t="shared" si="25"/>
        <v>4349850</v>
      </c>
      <c r="W229" s="5">
        <f t="shared" si="26"/>
        <v>0</v>
      </c>
      <c r="X229">
        <v>1434</v>
      </c>
      <c r="Y229" s="5">
        <v>16846646370</v>
      </c>
      <c r="Z229" s="3">
        <f>((D2*AB229)/P229)/10</f>
        <v>6.0910741937945809E-2</v>
      </c>
      <c r="AA229" s="3">
        <f>((M229*AB229)*D2)</f>
        <v>3.0065542220570052E-2</v>
      </c>
      <c r="AB229" s="3">
        <f>AE229/AE323</f>
        <v>1.4573417006248086E-3</v>
      </c>
      <c r="AC229" s="3">
        <f>AF229/AF323</f>
        <v>1.4414615471448188E-3</v>
      </c>
      <c r="AD229" s="5">
        <f t="shared" si="27"/>
        <v>51971904051.449997</v>
      </c>
      <c r="AE229" s="5">
        <f t="shared" si="28"/>
        <v>51971904051.449997</v>
      </c>
      <c r="AF229" s="5">
        <f t="shared" si="29"/>
        <v>51887670819.599998</v>
      </c>
      <c r="AG229">
        <f t="shared" si="30"/>
        <v>0</v>
      </c>
      <c r="AH229">
        <f t="shared" si="31"/>
        <v>0</v>
      </c>
      <c r="AI229">
        <f t="shared" si="32"/>
        <v>0</v>
      </c>
      <c r="AJ229" t="str">
        <f t="shared" si="33"/>
        <v>UBM100</v>
      </c>
      <c r="AK229" t="str">
        <f>IF(Q229&lt;25,"down",IF(Q229=25,25,IF(Q229&gt;25,"up")))</f>
        <v>up</v>
      </c>
    </row>
    <row r="230" spans="1:37" x14ac:dyDescent="0.25">
      <c r="A230">
        <f>IF(X230=2542,2542,"Error")</f>
        <v>2542</v>
      </c>
      <c r="B230" t="str">
        <f>IF(K230&lt;42.8,"down",IF(K230=42.8,"low",IF(K230=43.05,"high",IF(AND(K230&gt;42.8,K230&lt;43.05),"normal","up"))))</f>
        <v>normal</v>
      </c>
      <c r="C230" t="str">
        <f>IF(K230&lt;42.8,"down",IF(K230=42.8,"low",IF(K230=43.05,"high",IF(AND(K230&gt;42.8,K230&lt;43.05),"normal","up"))))</f>
        <v>normal</v>
      </c>
      <c r="D230" t="str">
        <f>IF(K230&lt;42.8,"down",IF(K230=42.8,"low",IF(K230=43.05,"high",IF(AND(K230&gt;42.8,K230&lt;43.05),"normal","up"))))</f>
        <v>normal</v>
      </c>
      <c r="E230" t="str">
        <f>IF(K230&lt;42.15,"down",IF(K230=42.15,"low",IF(K230=43.25,"high",IF(AND(K230&gt;42.15,K230&lt;43.25),"normal","up"))))</f>
        <v>normal</v>
      </c>
      <c r="F230" t="str">
        <f>IF(P230&lt;42.9,"PVP-down",IF(P230=42.9,42.9,IF(P230&gt;42.9,"PVP-up")))</f>
        <v>PVP-down</v>
      </c>
      <c r="G230" t="str">
        <f>IF(R230&lt;504,"PVV-down",IF(R230=504,504,IF(R230&gt;504,"PVV-up")))</f>
        <v>PVV-up</v>
      </c>
      <c r="H230" s="3">
        <f t="shared" ref="H230:H293" si="34">R230/(Y230/10000)</f>
        <v>1.0508912950227031E-3</v>
      </c>
      <c r="I230">
        <f>[1]!'2542.PreviousPrice'</f>
        <v>42.9</v>
      </c>
      <c r="J230">
        <f>[1]!'2542.PreOpenPrice'</f>
        <v>42.7</v>
      </c>
      <c r="K230">
        <f>[1]!'2542.Open'</f>
        <v>43</v>
      </c>
      <c r="L230">
        <f>[1]!'2542.Change'</f>
        <v>-0.2</v>
      </c>
      <c r="M230">
        <f>[1]!'2542.ChangePercent'</f>
        <v>-4.7000000000000002E-3</v>
      </c>
      <c r="N230">
        <f>[1]!'2542.BidPrice'</f>
        <v>42.7</v>
      </c>
      <c r="O230">
        <f>[1]!'2542.AskPrice'</f>
        <v>42.75</v>
      </c>
      <c r="P230">
        <f>[1]!'2542.Price'</f>
        <v>42.7</v>
      </c>
      <c r="Q230">
        <f>[1]!'2542.Volume'</f>
        <v>100</v>
      </c>
      <c r="R230">
        <f>[1]!'2542.CumulativeVolume'</f>
        <v>1226</v>
      </c>
      <c r="S230">
        <f>[1]!'2542.PreviousVolume'</f>
        <v>1415</v>
      </c>
      <c r="T230" s="3">
        <f t="shared" ref="T230:T293" si="35">((P230-K230)/K230)</f>
        <v>-6.9767441860464456E-3</v>
      </c>
      <c r="U230" s="3">
        <f>((T230*AB230)*D4)</f>
        <v>-0.12454991176865787</v>
      </c>
      <c r="V230" s="5">
        <f t="shared" ref="V230:V293" si="36">IF(P230&lt;=N230,(P230*Q230*1000),0)</f>
        <v>4270000</v>
      </c>
      <c r="W230" s="5">
        <f t="shared" ref="W230:W293" si="37">IF(P230&gt;=O230,(P230*Q230*1000),0)</f>
        <v>0</v>
      </c>
      <c r="X230">
        <v>2542</v>
      </c>
      <c r="Y230" s="5">
        <v>11666287520</v>
      </c>
      <c r="Z230" s="3">
        <f>((D2*AB230)/P230)/10</f>
        <v>4.218063422818781E-2</v>
      </c>
      <c r="AA230" s="3">
        <f>((M230*AB230)*D2)</f>
        <v>-8.4652314832550132E-2</v>
      </c>
      <c r="AB230" s="3">
        <f>AE230/AE323</f>
        <v>1.3968613940930818E-3</v>
      </c>
      <c r="AC230" s="3">
        <f>AF230/AF323</f>
        <v>1.3903650848331257E-3</v>
      </c>
      <c r="AD230" s="5">
        <f t="shared" ref="AD230:AD293" si="38">IF(ISNA(J230),(I230*Y230)/10,(J230*Y230)/10)</f>
        <v>49815047710.400009</v>
      </c>
      <c r="AE230" s="5">
        <f t="shared" ref="AE230:AE293" si="39">IF(ISNA(P230),(I230*Y230)/10,(P230*Y230)/10)</f>
        <v>49815047710.400009</v>
      </c>
      <c r="AF230" s="5">
        <f t="shared" ref="AF230:AF293" si="40">(I230*Y230)/10</f>
        <v>50048373460.800003</v>
      </c>
      <c r="AG230" t="str">
        <f t="shared" ref="AG230:AG293" si="41">IF(AND(P230&lt;=N230,L230&lt;0),IF(Q230&lt;10,"DBL10",IF(Q230&gt;=200,"DBM200",IF(Q230&gt;=150,"DBM150",IF(Q230&gt;=100,"DBM100",IF(Q230&gt;=50,"DBM50","DBM10-50"))))),0)</f>
        <v>DBM100</v>
      </c>
      <c r="AH230">
        <f t="shared" ref="AH230:AH293" si="42">IF(AND(P230&gt;=O230,L230&lt;0),IF(Q230&lt;10,"DAL10",IF(Q230&gt;=200,"DAM200",IF(Q230&gt;=150,"DAM150",IF(Q230&gt;=100,"DAM100",IF(Q230&gt;=50,"DAM50","DAM10-50"))))),0)</f>
        <v>0</v>
      </c>
      <c r="AI230">
        <f t="shared" ref="AI230:AI293" si="43">IF(AND(P230&gt;=O230,L230&gt;0),IF(Q230&lt;10,"UAL10",IF(Q230&gt;=200,"UAM200",IF(Q230&gt;=150,"UAM150",IF(Q230&gt;=100,"UAM100",IF(Q230&gt;=50,"UAM50","UAM10-50"))))),0)</f>
        <v>0</v>
      </c>
      <c r="AJ230">
        <f t="shared" ref="AJ230:AJ293" si="44">IF(AND(P230&lt;=N230,L230&gt;0),IF(Q230&lt;10,"UBL10",IF(Q230&gt;=200,"UBM200",IF(Q230&gt;=150,"UBM150",IF(Q230&gt;=100,"UBM100",IF(Q230&gt;=50,"UBM50","UBM10-50"))))),0)</f>
        <v>0</v>
      </c>
      <c r="AK230" t="str">
        <f>IF(Q230&lt;26,"down",IF(Q230=26,26,IF(Q230&gt;26,"up")))</f>
        <v>up</v>
      </c>
    </row>
    <row r="231" spans="1:37" x14ac:dyDescent="0.25">
      <c r="A231">
        <f>IF(X231=1605,1605,"Error")</f>
        <v>1605</v>
      </c>
      <c r="B231" t="str">
        <f>IF(K231&lt;15.8,"down",IF(K231=15.8,"low",IF(K231=16.1,"high",IF(AND(K231&gt;15.8,K231&lt;16.1),"normal","up"))))</f>
        <v>normal</v>
      </c>
      <c r="C231" t="str">
        <f>IF(K231&lt;15.8,"down",IF(K231=15.8,"low",IF(K231=16.1,"high",IF(AND(K231&gt;15.8,K231&lt;16.1),"normal","up"))))</f>
        <v>normal</v>
      </c>
      <c r="D231" t="str">
        <f>IF(K231&lt;15.8,"down",IF(K231=15.8,"low",IF(K231=16.1,"high",IF(AND(K231&gt;15.8,K231&lt;16.1),"normal","up"))))</f>
        <v>normal</v>
      </c>
      <c r="E231" t="str">
        <f>IF(K231&lt;14.3,"down",IF(K231=14.3,"low",IF(K231=16.15,"high",IF(AND(K231&gt;14.3,K231&lt;16.15),"normal","up"))))</f>
        <v>normal</v>
      </c>
      <c r="F231" t="str">
        <f>IF(P231&lt;15.95,"PVP-down",IF(P231=15.95,15.95,IF(P231&gt;15.95,"PVP-up")))</f>
        <v>PVP-down</v>
      </c>
      <c r="G231" t="str">
        <f>IF(R231&lt;5410,"PVV-down",IF(R231=5410,5410,IF(R231&gt;5410,"PVV-up")))</f>
        <v>PVV-up</v>
      </c>
      <c r="H231" s="3">
        <f t="shared" si="34"/>
        <v>4.0637399132757374E-3</v>
      </c>
      <c r="I231">
        <f>[1]!'1605.PreviousPrice'</f>
        <v>15.95</v>
      </c>
      <c r="J231">
        <f>[1]!'1605.PreOpenPrice'</f>
        <v>15.65</v>
      </c>
      <c r="K231">
        <f>[1]!'1605.Open'</f>
        <v>15.95</v>
      </c>
      <c r="L231">
        <f>[1]!'1605.Change'</f>
        <v>-0.3</v>
      </c>
      <c r="M231">
        <f>[1]!'1605.ChangePercent'</f>
        <v>-1.8800000000000001E-2</v>
      </c>
      <c r="N231">
        <f>[1]!'1605.BidPrice'</f>
        <v>15.65</v>
      </c>
      <c r="O231">
        <f>[1]!'1605.AskPrice'</f>
        <v>15.7</v>
      </c>
      <c r="P231">
        <f>[1]!'1605.Price'</f>
        <v>15.65</v>
      </c>
      <c r="Q231">
        <f>[1]!'1605.Volume'</f>
        <v>226</v>
      </c>
      <c r="R231">
        <f>[1]!'1605.CumulativeVolume'</f>
        <v>13516</v>
      </c>
      <c r="S231">
        <f>[1]!'1605.PreviousVolume'</f>
        <v>11875</v>
      </c>
      <c r="T231" s="3">
        <f t="shared" si="35"/>
        <v>-1.880877742946702E-2</v>
      </c>
      <c r="U231" s="3">
        <f>((T231*AB231)*D4)</f>
        <v>-0.3508546705992252</v>
      </c>
      <c r="V231" s="5">
        <f t="shared" si="36"/>
        <v>3536900</v>
      </c>
      <c r="W231" s="5">
        <f t="shared" si="37"/>
        <v>0</v>
      </c>
      <c r="X231">
        <v>1605</v>
      </c>
      <c r="Y231" s="5">
        <v>33260002580</v>
      </c>
      <c r="Z231" s="3">
        <f>((D2*AB231)/P231)/10</f>
        <v>0.12025487978506147</v>
      </c>
      <c r="AA231" s="3">
        <f>((M231*AB231)*D2)</f>
        <v>-0.35381390730360784</v>
      </c>
      <c r="AB231" s="3">
        <f>AE231/AE323</f>
        <v>1.4595849764512268E-3</v>
      </c>
      <c r="AC231" s="3">
        <f>AF231/AF323</f>
        <v>1.4737433259471252E-3</v>
      </c>
      <c r="AD231" s="5">
        <f t="shared" si="38"/>
        <v>52051904037.699997</v>
      </c>
      <c r="AE231" s="5">
        <f t="shared" si="39"/>
        <v>52051904037.699997</v>
      </c>
      <c r="AF231" s="5">
        <f t="shared" si="40"/>
        <v>53049704115.099998</v>
      </c>
      <c r="AG231" t="str">
        <f t="shared" si="41"/>
        <v>DBM200</v>
      </c>
      <c r="AH231">
        <f t="shared" si="42"/>
        <v>0</v>
      </c>
      <c r="AI231">
        <f t="shared" si="43"/>
        <v>0</v>
      </c>
      <c r="AJ231">
        <f t="shared" si="44"/>
        <v>0</v>
      </c>
      <c r="AK231" t="str">
        <f>IF(Q231&lt;271,"down",IF(Q231=271,271,IF(Q231&gt;271,"up")))</f>
        <v>down</v>
      </c>
    </row>
    <row r="232" spans="1:37" x14ac:dyDescent="0.25">
      <c r="A232">
        <f>IF(X232=2923,2923,"Error")</f>
        <v>2923</v>
      </c>
      <c r="B232" t="str">
        <f>IF(K232&lt;24.5,"down",IF(K232=24.5,"low",IF(K232=25.3,"high",IF(AND(K232&gt;24.5,K232&lt;25.3),"normal","up"))))</f>
        <v>normal</v>
      </c>
      <c r="C232" t="str">
        <f>IF(K232&lt;24.5,"down",IF(K232=24.5,"low",IF(K232=25.3,"high",IF(AND(K232&gt;24.5,K232&lt;25.3),"normal","up"))))</f>
        <v>normal</v>
      </c>
      <c r="D232" t="str">
        <f>IF(K232&lt;24.5,"down",IF(K232=24.5,"low",IF(K232=25.3,"high",IF(AND(K232&gt;24.5,K232&lt;25.3),"normal","up"))))</f>
        <v>normal</v>
      </c>
      <c r="E232" t="str">
        <f>IF(K232&lt;23.9,"down",IF(K232=23.9,"low",IF(K232=25.85,"high",IF(AND(K232&gt;23.9,K232&lt;25.85),"normal","up"))))</f>
        <v>normal</v>
      </c>
      <c r="F232" t="str">
        <f>IF(P232&lt;25.1,"PVP-down",IF(P232=25.1,25.1,IF(P232&gt;25.1,"PVP-up")))</f>
        <v>PVP-up</v>
      </c>
      <c r="G232" t="str">
        <f>IF(R232&lt;29,"PVV-down",IF(R232=29,29,IF(R232&gt;29,"PVV-up")))</f>
        <v>PVV-up</v>
      </c>
      <c r="H232" s="3">
        <f t="shared" si="34"/>
        <v>3.9073790682468701E-5</v>
      </c>
      <c r="I232">
        <f>[1]!'2923.PreviousPrice'</f>
        <v>25.1</v>
      </c>
      <c r="J232" t="e">
        <f>[1]!'2923.PreOpenPrice'</f>
        <v>#N/A</v>
      </c>
      <c r="K232">
        <f>[1]!'2923.Open'</f>
        <v>25</v>
      </c>
      <c r="L232">
        <f>[1]!'2923.Change'</f>
        <v>0.05</v>
      </c>
      <c r="M232">
        <f>[1]!'2923.ChangePercent'</f>
        <v>2E-3</v>
      </c>
      <c r="N232">
        <f>[1]!'2923.BidPrice'</f>
        <v>25.1</v>
      </c>
      <c r="O232">
        <f>[1]!'2923.AskPrice'</f>
        <v>25.25</v>
      </c>
      <c r="P232">
        <f>[1]!'2923.Price'</f>
        <v>25.15</v>
      </c>
      <c r="Q232">
        <f>[1]!'2923.Volume'</f>
        <v>1</v>
      </c>
      <c r="R232">
        <f>[1]!'2923.CumulativeVolume'</f>
        <v>68</v>
      </c>
      <c r="S232">
        <f>[1]!'2923.PreviousVolume'</f>
        <v>113</v>
      </c>
      <c r="T232" s="3">
        <f t="shared" si="35"/>
        <v>5.9999999999999429E-3</v>
      </c>
      <c r="U232" s="3">
        <f>((T232*AB232)*D4)</f>
        <v>9.4111496922940255E-2</v>
      </c>
      <c r="V232" s="5">
        <f t="shared" si="36"/>
        <v>0</v>
      </c>
      <c r="W232" s="5">
        <f t="shared" si="37"/>
        <v>0</v>
      </c>
      <c r="X232">
        <v>2923</v>
      </c>
      <c r="Y232" s="5">
        <v>17402969820</v>
      </c>
      <c r="Z232" s="3">
        <f>((D2*AB232)/P232)/10</f>
        <v>6.292218524557773E-2</v>
      </c>
      <c r="AA232" s="3">
        <f>((M232*AB232)*D2)</f>
        <v>3.1649859178525593E-2</v>
      </c>
      <c r="AB232" s="3">
        <f>AE232/AE323</f>
        <v>1.2273095695100665E-3</v>
      </c>
      <c r="AC232" s="3">
        <f>AF232/AF323</f>
        <v>1.2134893632257933E-3</v>
      </c>
      <c r="AD232" s="5">
        <f t="shared" si="38"/>
        <v>43681454248.199997</v>
      </c>
      <c r="AE232" s="5">
        <f t="shared" si="39"/>
        <v>43768469097.300003</v>
      </c>
      <c r="AF232" s="5">
        <f t="shared" si="40"/>
        <v>43681454248.199997</v>
      </c>
      <c r="AG232">
        <f t="shared" si="41"/>
        <v>0</v>
      </c>
      <c r="AH232">
        <f t="shared" si="42"/>
        <v>0</v>
      </c>
      <c r="AI232">
        <f t="shared" si="43"/>
        <v>0</v>
      </c>
      <c r="AJ232">
        <f t="shared" si="44"/>
        <v>0</v>
      </c>
      <c r="AK232" t="str">
        <f>IF(Q232&lt;3,"down",IF(Q232=3,3,IF(Q232&gt;3,"up")))</f>
        <v>down</v>
      </c>
    </row>
    <row r="233" spans="1:37" x14ac:dyDescent="0.25">
      <c r="A233">
        <f>IF(X233=2610,2610,"Error")</f>
        <v>2610</v>
      </c>
      <c r="B233" t="str">
        <f>IF(K233&lt;8.18,"down",IF(K233=8.18,"low",IF(K233=8.4,"high",IF(AND(K233&gt;8.18,K233&lt;8.4),"normal","up"))))</f>
        <v>up</v>
      </c>
      <c r="C233" t="str">
        <f>IF(K233&lt;8.18,"down",IF(K233=8.18,"low",IF(K233=8.4,"high",IF(AND(K233&gt;8.18,K233&lt;8.4),"normal","up"))))</f>
        <v>up</v>
      </c>
      <c r="D233" t="str">
        <f>IF(K233&lt;8.18,"down",IF(K233=8.18,"low",IF(K233=8.4,"high",IF(AND(K233&gt;8.18,K233&lt;8.4),"normal","up"))))</f>
        <v>up</v>
      </c>
      <c r="E233" t="str">
        <f>IF(K233&lt;7.62,"down",IF(K233=7.62,"low",IF(K233=8.4,"high",IF(AND(K233&gt;7.62,K233&lt;8.4),"normal","up"))))</f>
        <v>up</v>
      </c>
      <c r="F233" t="str">
        <f>IF(P233&lt;8.34,"PVP-down",IF(P233=8.34,8.34,IF(P233&gt;8.34,"PVP-up")))</f>
        <v>PVP-down</v>
      </c>
      <c r="G233" t="str">
        <f>IF(R233&lt;4908,"PVV-down",IF(R233=4908,4908,IF(R233&gt;4908,"PVV-up")))</f>
        <v>PVV-up</v>
      </c>
      <c r="H233" s="3">
        <f t="shared" si="34"/>
        <v>4.1328285259025774E-3</v>
      </c>
      <c r="I233">
        <f>[1]!'2610.PreviousPrice'</f>
        <v>8.39</v>
      </c>
      <c r="J233">
        <f>[1]!'2610.PreOpenPrice'</f>
        <v>8.24</v>
      </c>
      <c r="K233">
        <f>[1]!'2610.Open'</f>
        <v>8.4499999999999993</v>
      </c>
      <c r="L233">
        <f>[1]!'2610.Change'</f>
        <v>-0.15</v>
      </c>
      <c r="M233">
        <f>[1]!'2610.ChangePercent'</f>
        <v>-1.7899999999999999E-2</v>
      </c>
      <c r="N233">
        <f>[1]!'2610.BidPrice'</f>
        <v>8.24</v>
      </c>
      <c r="O233">
        <f>[1]!'2610.AskPrice'</f>
        <v>8.25</v>
      </c>
      <c r="P233">
        <f>[1]!'2610.Price'</f>
        <v>8.24</v>
      </c>
      <c r="Q233">
        <f>[1]!'2610.Volume'</f>
        <v>1010</v>
      </c>
      <c r="R233">
        <f>[1]!'2610.CumulativeVolume'</f>
        <v>22404</v>
      </c>
      <c r="S233">
        <f>[1]!'2610.PreviousVolume'</f>
        <v>46117</v>
      </c>
      <c r="T233">
        <f t="shared" si="35"/>
        <v>-2.4852071005917051E-2</v>
      </c>
      <c r="U233">
        <f>((T233*AB233)*D4)</f>
        <v>-0.39783047608413591</v>
      </c>
      <c r="V233" s="5">
        <f t="shared" si="36"/>
        <v>8322400</v>
      </c>
      <c r="W233" s="5">
        <f t="shared" si="37"/>
        <v>0</v>
      </c>
      <c r="X233">
        <v>2610</v>
      </c>
      <c r="Y233" s="5">
        <v>54209846500</v>
      </c>
      <c r="Z233" s="3">
        <f>((D2*AB233)/P233)/10</f>
        <v>0.19600114456828568</v>
      </c>
      <c r="AA233" s="3">
        <f>((M233*AB233)*D2)</f>
        <v>-0.28909384819243866</v>
      </c>
      <c r="AB233" s="3">
        <f>AE233/AE323</f>
        <v>1.2525588888185777E-3</v>
      </c>
      <c r="AC233" s="3">
        <f>AF233/AF323</f>
        <v>1.2635109899630003E-3</v>
      </c>
      <c r="AD233" s="5">
        <f t="shared" si="38"/>
        <v>44668913516</v>
      </c>
      <c r="AE233" s="5">
        <f t="shared" si="39"/>
        <v>44668913516</v>
      </c>
      <c r="AF233" s="5">
        <f t="shared" si="40"/>
        <v>45482061213.500008</v>
      </c>
      <c r="AG233" t="str">
        <f t="shared" si="41"/>
        <v>DBM200</v>
      </c>
      <c r="AH233">
        <f t="shared" si="42"/>
        <v>0</v>
      </c>
      <c r="AI233">
        <f t="shared" si="43"/>
        <v>0</v>
      </c>
      <c r="AJ233">
        <f t="shared" si="44"/>
        <v>0</v>
      </c>
      <c r="AK233" t="str">
        <f>IF(Q233&lt;1847,"down",IF(Q233=1847,1847,IF(Q233&gt;1847,"up")))</f>
        <v>down</v>
      </c>
    </row>
    <row r="234" spans="1:37" x14ac:dyDescent="0.25">
      <c r="A234">
        <f>IF(X234=6592,6592,"Error")</f>
        <v>6592</v>
      </c>
      <c r="B234" t="str">
        <f>IF(K234&lt;78.6,"down",IF(K234=78.6,"low",IF(K234=79.9,"high",IF(AND(K234&gt;78.6,K234&lt;79.9),"normal","up"))))</f>
        <v>normal</v>
      </c>
      <c r="C234" t="str">
        <f>IF(K234&lt;78.6,"down",IF(K234=78.6,"low",IF(K234=79.9,"high",IF(AND(K234&gt;78.6,K234&lt;79.9),"normal","up"))))</f>
        <v>normal</v>
      </c>
      <c r="D234" t="str">
        <f>IF(K234&lt;78.6,"down",IF(K234=78.6,"low",IF(K234=79.9,"high",IF(AND(K234&gt;78.6,K234&lt;79.9),"normal","up"))))</f>
        <v>normal</v>
      </c>
      <c r="E234" t="str">
        <f>IF(K234&lt;78.1,"down",IF(K234=78.1,"low",IF(K234=79.9,"high",IF(AND(K234&gt;78.1,K234&lt;79.9),"normal","up"))))</f>
        <v>normal</v>
      </c>
      <c r="F234" t="str">
        <f>IF(P234&lt;79.2,"PVP-down",IF(P234=79.2,79.2,IF(P234&gt;79.2,"PVP-up")))</f>
        <v>PVP-down</v>
      </c>
      <c r="G234" t="str">
        <f>IF(R234&lt;285,"PVV-down",IF(R234=285,285,IF(R234&gt;285,"PVV-up")))</f>
        <v>PVV-up</v>
      </c>
      <c r="H234" s="3">
        <f t="shared" si="34"/>
        <v>2.0097071496100777E-3</v>
      </c>
      <c r="I234">
        <f>[1]!'6592.PreviousPrice'</f>
        <v>79.2</v>
      </c>
      <c r="J234">
        <f>[1]!'6592.PreOpenPrice'</f>
        <v>78.900000000000006</v>
      </c>
      <c r="K234">
        <f>[1]!'6592.Open'</f>
        <v>79.5</v>
      </c>
      <c r="L234">
        <f>[1]!'6592.Change'</f>
        <v>-0.3</v>
      </c>
      <c r="M234">
        <f>[1]!'6592.ChangePercent'</f>
        <v>-3.8E-3</v>
      </c>
      <c r="N234">
        <f>[1]!'6592.BidPrice'</f>
        <v>78.900000000000006</v>
      </c>
      <c r="O234">
        <f>[1]!'6592.AskPrice'</f>
        <v>79</v>
      </c>
      <c r="P234">
        <f>[1]!'6592.Price'</f>
        <v>78.900000000000006</v>
      </c>
      <c r="Q234">
        <f>[1]!'6592.Volume'</f>
        <v>13</v>
      </c>
      <c r="R234">
        <f>[1]!'6592.CumulativeVolume'</f>
        <v>1035</v>
      </c>
      <c r="S234">
        <f>[1]!'6592.PreviousVolume'</f>
        <v>938</v>
      </c>
      <c r="T234">
        <f t="shared" si="35"/>
        <v>-7.5471698113206828E-3</v>
      </c>
      <c r="U234">
        <f>((T234*AB234)*D4)</f>
        <v>-0.10990027310919594</v>
      </c>
      <c r="V234" s="5">
        <f t="shared" si="36"/>
        <v>1025700</v>
      </c>
      <c r="W234" s="5">
        <f t="shared" si="37"/>
        <v>0</v>
      </c>
      <c r="X234">
        <v>6592</v>
      </c>
      <c r="Y234" s="5">
        <v>5150004070</v>
      </c>
      <c r="Z234" s="3">
        <f>((D2*AB234)/P234)/10</f>
        <v>1.8620356953995981E-2</v>
      </c>
      <c r="AA234" s="3">
        <f>((M234*AB234)*D2)</f>
        <v>-5.5827554219470756E-2</v>
      </c>
      <c r="AB234" s="3">
        <f>AE234/AE323</f>
        <v>1.1394029499536861E-3</v>
      </c>
      <c r="AC234" s="3">
        <f>AF234/AF323</f>
        <v>1.1331088700050501E-3</v>
      </c>
      <c r="AD234" s="5">
        <f t="shared" si="38"/>
        <v>40633532112.300003</v>
      </c>
      <c r="AE234" s="5">
        <f t="shared" si="39"/>
        <v>40633532112.300003</v>
      </c>
      <c r="AF234" s="5">
        <f t="shared" si="40"/>
        <v>40788032234.400002</v>
      </c>
      <c r="AG234" t="str">
        <f t="shared" si="41"/>
        <v>DBM10-50</v>
      </c>
      <c r="AH234">
        <f t="shared" si="42"/>
        <v>0</v>
      </c>
      <c r="AI234">
        <f t="shared" si="43"/>
        <v>0</v>
      </c>
      <c r="AJ234">
        <f t="shared" si="44"/>
        <v>0</v>
      </c>
      <c r="AK234">
        <f>IF(Q234&lt;13,"down",IF(Q234=13,13,IF(Q234&gt;13,"up")))</f>
        <v>13</v>
      </c>
    </row>
    <row r="235" spans="1:37" x14ac:dyDescent="0.25">
      <c r="A235">
        <f>IF(X235=1477,1477,"Error")</f>
        <v>1477</v>
      </c>
      <c r="B235" t="str">
        <f>IF(K235&lt;178,"down",IF(K235=178,"low",IF(K235=181,"high",IF(AND(K235&gt;178,K235&lt;181),"normal","up"))))</f>
        <v>normal</v>
      </c>
      <c r="C235" t="str">
        <f>IF(K235&lt;178,"down",IF(K235=178,"low",IF(K235=181,"high",IF(AND(K235&gt;178,K235&lt;181),"normal","up"))))</f>
        <v>normal</v>
      </c>
      <c r="D235" t="str">
        <f>IF(K235&lt;178,"down",IF(K235=178,"low",IF(K235=181,"high",IF(AND(K235&gt;178,K235&lt;181),"normal","up"))))</f>
        <v>normal</v>
      </c>
      <c r="E235" t="str">
        <f>IF(K235&lt;176.5,"down",IF(K235=176.5,"low",IF(K235=187.5,"high",IF(AND(K235&gt;176.5,K235&lt;187.5),"normal","up"))))</f>
        <v>normal</v>
      </c>
      <c r="F235" t="str">
        <f>IF(P235&lt;179,"PVP-down",IF(P235=179,179,IF(P235&gt;179,"PVP-up")))</f>
        <v>PVP-up</v>
      </c>
      <c r="G235" t="str">
        <f>IF(R235&lt;450,"PVV-down",IF(R235=450,450,IF(R235&gt;450,"PVV-up")))</f>
        <v>PVV-up</v>
      </c>
      <c r="H235" s="3">
        <f t="shared" si="34"/>
        <v>7.6140545458586928E-3</v>
      </c>
      <c r="I235">
        <f>[1]!'1477.PreviousPrice'</f>
        <v>178</v>
      </c>
      <c r="J235">
        <f>[1]!'1477.PreOpenPrice'</f>
        <v>181</v>
      </c>
      <c r="K235">
        <f>[1]!'1477.Open'</f>
        <v>178.5</v>
      </c>
      <c r="L235">
        <f>[1]!'1477.Change'</f>
        <v>3</v>
      </c>
      <c r="M235">
        <f>[1]!'1477.ChangePercent'</f>
        <v>1.6899999999999998E-2</v>
      </c>
      <c r="N235">
        <f>[1]!'1477.BidPrice'</f>
        <v>180.5</v>
      </c>
      <c r="O235">
        <f>[1]!'1477.AskPrice'</f>
        <v>181</v>
      </c>
      <c r="P235">
        <f>[1]!'1477.Price'</f>
        <v>181</v>
      </c>
      <c r="Q235">
        <f>[1]!'1477.Volume'</f>
        <v>51</v>
      </c>
      <c r="R235">
        <f>[1]!'1477.CumulativeVolume'</f>
        <v>1674</v>
      </c>
      <c r="S235">
        <f>[1]!'1477.PreviousVolume'</f>
        <v>1075</v>
      </c>
      <c r="T235">
        <f t="shared" si="35"/>
        <v>1.4005602240896359E-2</v>
      </c>
      <c r="U235">
        <f>((T235*AB235)*D4)</f>
        <v>0.19973303786931387</v>
      </c>
      <c r="V235" s="5">
        <f t="shared" si="36"/>
        <v>0</v>
      </c>
      <c r="W235" s="5">
        <f t="shared" si="37"/>
        <v>9231000</v>
      </c>
      <c r="X235">
        <v>1477</v>
      </c>
      <c r="Y235" s="5">
        <v>2198565810</v>
      </c>
      <c r="Z235" s="3">
        <f>((D2*AB235)/P235)/10</f>
        <v>7.949135498265987E-3</v>
      </c>
      <c r="AA235" s="3">
        <f>((M235*AB235)*D2)</f>
        <v>0.24315610575645824</v>
      </c>
      <c r="AB235" s="3">
        <f>AE235/AE323</f>
        <v>1.1158628239383772E-3</v>
      </c>
      <c r="AC235" s="3">
        <f>AF235/AF323</f>
        <v>1.0871722477775278E-3</v>
      </c>
      <c r="AD235" s="5">
        <f t="shared" si="38"/>
        <v>39794041161</v>
      </c>
      <c r="AE235" s="5">
        <f t="shared" si="39"/>
        <v>39794041161</v>
      </c>
      <c r="AF235" s="5">
        <f t="shared" si="40"/>
        <v>39134471418</v>
      </c>
      <c r="AG235">
        <f t="shared" si="41"/>
        <v>0</v>
      </c>
      <c r="AH235">
        <f t="shared" si="42"/>
        <v>0</v>
      </c>
      <c r="AI235" t="str">
        <f t="shared" si="43"/>
        <v>UAM50</v>
      </c>
      <c r="AJ235">
        <f t="shared" si="44"/>
        <v>0</v>
      </c>
      <c r="AK235" t="str">
        <f>IF(Q235&lt;35,"down",IF(Q235=35,35,IF(Q235&gt;35,"up")))</f>
        <v>up</v>
      </c>
    </row>
    <row r="236" spans="1:37" x14ac:dyDescent="0.25">
      <c r="A236">
        <f>IF(X236=9917,9917,"Error")</f>
        <v>9917</v>
      </c>
      <c r="B236" t="str">
        <f>IF(K236&lt;85.8,"down",IF(K236=85.8,"low",IF(K236=86.1,"high",IF(AND(K236&gt;85.8,K236&lt;86.1),"normal","up"))))</f>
        <v>normal</v>
      </c>
      <c r="C236" t="str">
        <f>IF(K236&lt;85.8,"down",IF(K236=85.8,"low",IF(K236=86.1,"high",IF(AND(K236&gt;85.8,K236&lt;86.1),"normal","up"))))</f>
        <v>normal</v>
      </c>
      <c r="D236" t="str">
        <f>IF(K236&lt;85.8,"down",IF(K236=85.8,"low",IF(K236=86.1,"high",IF(AND(K236&gt;85.8,K236&lt;86.1),"normal","up"))))</f>
        <v>normal</v>
      </c>
      <c r="E236" t="str">
        <f>IF(K236&lt;85.1,"down",IF(K236=85.1,"low",IF(K236=86.3,"high",IF(AND(K236&gt;85.1,K236&lt;86.3),"normal","up"))))</f>
        <v>normal</v>
      </c>
      <c r="F236">
        <f>IF(P236&lt;85.9,"PVP-down",IF(P236=85.9,85.9,IF(P236&gt;85.9,"PVP-up")))</f>
        <v>85.9</v>
      </c>
      <c r="G236" t="str">
        <f>IF(R236&lt;59,"PVV-down",IF(R236=59,59,IF(R236&gt;59,"PVV-up")))</f>
        <v>PVV-up</v>
      </c>
      <c r="H236" s="3">
        <f t="shared" si="34"/>
        <v>4.0337139317517723E-4</v>
      </c>
      <c r="I236">
        <f>[1]!'9917.PreviousPrice'</f>
        <v>85.9</v>
      </c>
      <c r="J236">
        <f>[1]!'9917.PreOpenPrice'</f>
        <v>85.9</v>
      </c>
      <c r="K236">
        <f>[1]!'9917.Open'</f>
        <v>85.9</v>
      </c>
      <c r="L236">
        <f>[1]!'9917.Change'</f>
        <v>0</v>
      </c>
      <c r="M236">
        <f>[1]!'9917.ChangePercent'</f>
        <v>0</v>
      </c>
      <c r="N236">
        <f>[1]!'9917.BidPrice'</f>
        <v>85.9</v>
      </c>
      <c r="O236">
        <f>[1]!'9917.AskPrice'</f>
        <v>86</v>
      </c>
      <c r="P236">
        <f>[1]!'9917.Price'</f>
        <v>85.9</v>
      </c>
      <c r="Q236">
        <f>[1]!'9917.Volume'</f>
        <v>3</v>
      </c>
      <c r="R236">
        <f>[1]!'9917.CumulativeVolume'</f>
        <v>182</v>
      </c>
      <c r="S236">
        <f>[1]!'9917.PreviousVolume'</f>
        <v>123</v>
      </c>
      <c r="T236">
        <f t="shared" si="35"/>
        <v>0</v>
      </c>
      <c r="U236">
        <f>((T236*AB236)*D4)</f>
        <v>0</v>
      </c>
      <c r="V236" s="5">
        <f t="shared" si="36"/>
        <v>257700.00000000006</v>
      </c>
      <c r="W236" s="5">
        <f t="shared" si="37"/>
        <v>0</v>
      </c>
      <c r="X236">
        <v>9917</v>
      </c>
      <c r="Y236" s="5">
        <v>4511970930</v>
      </c>
      <c r="Z236" s="3">
        <f>((D2*AB236)/P236)/10</f>
        <v>1.6313484055684096E-2</v>
      </c>
      <c r="AA236" s="3">
        <f>((M236*AB236)*D2)</f>
        <v>0</v>
      </c>
      <c r="AB236" s="3">
        <f>AE236/AE323</f>
        <v>1.0868064839330417E-3</v>
      </c>
      <c r="AC236" s="3">
        <f>AF236/AF323</f>
        <v>1.0767089971366053E-3</v>
      </c>
      <c r="AD236" s="5">
        <f t="shared" si="38"/>
        <v>38757830288.699997</v>
      </c>
      <c r="AE236" s="5">
        <f t="shared" si="39"/>
        <v>38757830288.699997</v>
      </c>
      <c r="AF236" s="5">
        <f t="shared" si="40"/>
        <v>38757830288.699997</v>
      </c>
      <c r="AG236">
        <f t="shared" si="41"/>
        <v>0</v>
      </c>
      <c r="AH236">
        <f t="shared" si="42"/>
        <v>0</v>
      </c>
      <c r="AI236">
        <f t="shared" si="43"/>
        <v>0</v>
      </c>
      <c r="AJ236">
        <f t="shared" si="44"/>
        <v>0</v>
      </c>
      <c r="AK236" t="str">
        <f>IF(Q236&lt;4,"down",IF(Q236=4,4,IF(Q236&gt;4,"up")))</f>
        <v>down</v>
      </c>
    </row>
    <row r="237" spans="1:37" x14ac:dyDescent="0.25">
      <c r="A237">
        <f>IF(X237=2615,2615,"Error")</f>
        <v>2615</v>
      </c>
      <c r="B237" t="str">
        <f>IF(K237&lt;18.2,"down",IF(K237=18.2,"low",IF(K237=19.15,"high",IF(AND(K237&gt;18.2,K237&lt;19.15),"normal","up"))))</f>
        <v>normal</v>
      </c>
      <c r="C237" t="str">
        <f>IF(K237&lt;18.2,"down",IF(K237=18.2,"low",IF(K237=19.15,"high",IF(AND(K237&gt;18.2,K237&lt;19.15),"normal","up"))))</f>
        <v>normal</v>
      </c>
      <c r="D237" t="str">
        <f>IF(K237&lt;18.2,"down",IF(K237=18.2,"low",IF(K237=19.15,"high",IF(AND(K237&gt;18.2,K237&lt;19.15),"normal","up"))))</f>
        <v>normal</v>
      </c>
      <c r="E237" t="str">
        <f>IF(K237&lt;16.95,"down",IF(K237=16.95,"low",IF(K237=19.15,"high",IF(AND(K237&gt;16.95,K237&lt;19.15),"normal","up"))))</f>
        <v>normal</v>
      </c>
      <c r="F237" t="str">
        <f>IF(P237&lt;19,"PVP-down",IF(P237=19,19,IF(P237&gt;19,"PVP-up")))</f>
        <v>PVP-down</v>
      </c>
      <c r="G237" t="str">
        <f>IF(R237&lt;975,"PVV-down",IF(R237=975,975,IF(R237&gt;975,"PVV-up")))</f>
        <v>PVV-up</v>
      </c>
      <c r="H237" s="3">
        <f t="shared" si="34"/>
        <v>1.9046138152149878E-3</v>
      </c>
      <c r="I237">
        <f>[1]!'2615.PreviousPrice'</f>
        <v>19</v>
      </c>
      <c r="J237">
        <f>[1]!'2615.PreOpenPrice'</f>
        <v>18.8</v>
      </c>
      <c r="K237">
        <f>[1]!'2615.Open'</f>
        <v>19</v>
      </c>
      <c r="L237">
        <f>[1]!'2615.Change'</f>
        <v>-0.2</v>
      </c>
      <c r="M237">
        <f>[1]!'2615.ChangePercent'</f>
        <v>-1.0500000000000001E-2</v>
      </c>
      <c r="N237">
        <f>[1]!'2615.BidPrice'</f>
        <v>18.7</v>
      </c>
      <c r="O237">
        <f>[1]!'2615.AskPrice'</f>
        <v>18.8</v>
      </c>
      <c r="P237">
        <f>[1]!'2615.Price'</f>
        <v>18.8</v>
      </c>
      <c r="Q237">
        <f>[1]!'2615.Volume'</f>
        <v>228</v>
      </c>
      <c r="R237">
        <f>[1]!'2615.CumulativeVolume'</f>
        <v>4225</v>
      </c>
      <c r="S237">
        <f>[1]!'2615.PreviousVolume'</f>
        <v>8067</v>
      </c>
      <c r="T237">
        <f t="shared" si="35"/>
        <v>-1.0526315789473648E-2</v>
      </c>
      <c r="U237">
        <f>((T237*AB237)*D4)</f>
        <v>-0.15732005934164769</v>
      </c>
      <c r="V237" s="5">
        <f t="shared" si="36"/>
        <v>0</v>
      </c>
      <c r="W237" s="5">
        <f t="shared" si="37"/>
        <v>4286400.0000000009</v>
      </c>
      <c r="X237">
        <v>2615</v>
      </c>
      <c r="Y237" s="5">
        <v>22182974660</v>
      </c>
      <c r="Z237" s="3">
        <f>((D2*AB237)/P237)/10</f>
        <v>8.0204772822761602E-2</v>
      </c>
      <c r="AA237" s="3">
        <f>((M237*AB237)*D2)</f>
        <v>-0.15832422155213141</v>
      </c>
      <c r="AB237" s="3">
        <f>AE237/AE323</f>
        <v>1.1694196750953298E-3</v>
      </c>
      <c r="AC237" s="3">
        <f>AF237/AF323</f>
        <v>1.1708796808632001E-3</v>
      </c>
      <c r="AD237" s="5">
        <f t="shared" si="38"/>
        <v>41703992360.800003</v>
      </c>
      <c r="AE237" s="5">
        <f t="shared" si="39"/>
        <v>41703992360.800003</v>
      </c>
      <c r="AF237" s="5">
        <f t="shared" si="40"/>
        <v>42147651854</v>
      </c>
      <c r="AG237">
        <f t="shared" si="41"/>
        <v>0</v>
      </c>
      <c r="AH237" t="str">
        <f t="shared" si="42"/>
        <v>DAM200</v>
      </c>
      <c r="AI237">
        <f t="shared" si="43"/>
        <v>0</v>
      </c>
      <c r="AJ237">
        <f t="shared" si="44"/>
        <v>0</v>
      </c>
      <c r="AK237" t="str">
        <f>IF(Q237&lt;20,"down",IF(Q237=20,20,IF(Q237&gt;20,"up")))</f>
        <v>up</v>
      </c>
    </row>
    <row r="238" spans="1:37" x14ac:dyDescent="0.25">
      <c r="A238">
        <f>IF(X238=1717,1717,"Error")</f>
        <v>1717</v>
      </c>
      <c r="B238" t="str">
        <f>IF(K238&lt;36.55,"down",IF(K238=36.55,"low",IF(K238=38.65,"high",IF(AND(K238&gt;36.55,K238&lt;38.65),"normal","up"))))</f>
        <v>down</v>
      </c>
      <c r="C238" t="str">
        <f>IF(K238&lt;36.55,"down",IF(K238=36.55,"low",IF(K238=38.65,"high",IF(AND(K238&gt;36.55,K238&lt;38.65),"normal","up"))))</f>
        <v>down</v>
      </c>
      <c r="D238" t="str">
        <f>IF(K238&lt;36.55,"down",IF(K238=36.55,"low",IF(K238=38.65,"high",IF(AND(K238&gt;36.55,K238&lt;38.65),"normal","up"))))</f>
        <v>down</v>
      </c>
      <c r="E238" t="str">
        <f>IF(K238&lt;31.2,"down",IF(K238=31.2,"low",IF(K238=40.3,"high",IF(AND(K238&gt;31.2,K238&lt;40.3),"normal","up"))))</f>
        <v>normal</v>
      </c>
      <c r="F238" t="str">
        <f>IF(P238&lt;36.6,"PVP-down",IF(P238=36.6,36.6,IF(P238&gt;36.6,"PVP-up")))</f>
        <v>PVP-down</v>
      </c>
      <c r="G238" t="str">
        <f>IF(R238&lt;1256,"PVV-down",IF(R238=1256,1256,IF(R238&gt;1256,"PVV-up")))</f>
        <v>PVV-up</v>
      </c>
      <c r="H238" s="3">
        <f t="shared" si="34"/>
        <v>1.1315998135275085E-2</v>
      </c>
      <c r="I238">
        <f>[1]!'1717.PreviousPrice'</f>
        <v>36.549999999999997</v>
      </c>
      <c r="J238">
        <f>[1]!'1717.PreOpenPrice'</f>
        <v>35</v>
      </c>
      <c r="K238">
        <f>[1]!'1717.Open'</f>
        <v>36.049999999999997</v>
      </c>
      <c r="L238">
        <f>[1]!'1717.Change'</f>
        <v>-1.5</v>
      </c>
      <c r="M238">
        <f>[1]!'1717.ChangePercent'</f>
        <v>-4.1000000000000002E-2</v>
      </c>
      <c r="N238">
        <f>[1]!'1717.BidPrice'</f>
        <v>35</v>
      </c>
      <c r="O238">
        <f>[1]!'1717.AskPrice'</f>
        <v>35.049999999999997</v>
      </c>
      <c r="P238">
        <f>[1]!'1717.Price'</f>
        <v>35.049999999999997</v>
      </c>
      <c r="Q238">
        <f>[1]!'1717.Volume'</f>
        <v>439</v>
      </c>
      <c r="R238">
        <f>[1]!'1717.CumulativeVolume'</f>
        <v>14035</v>
      </c>
      <c r="S238">
        <f>[1]!'1717.PreviousVolume'</f>
        <v>17579</v>
      </c>
      <c r="T238">
        <f t="shared" si="35"/>
        <v>-2.7739251040221916E-2</v>
      </c>
      <c r="U238">
        <f>((T238*AB238)*D4)</f>
        <v>-0.43214787071167482</v>
      </c>
      <c r="V238" s="5">
        <f t="shared" si="36"/>
        <v>0</v>
      </c>
      <c r="W238" s="5">
        <f t="shared" si="37"/>
        <v>15386949.999999998</v>
      </c>
      <c r="X238">
        <v>1717</v>
      </c>
      <c r="Y238" s="5">
        <v>12402794550</v>
      </c>
      <c r="Z238" s="3">
        <f>((D2*AB238)/P238)/10</f>
        <v>4.4843549365986404E-2</v>
      </c>
      <c r="AA238" s="3">
        <f>((M238*AB238)*D2)</f>
        <v>-0.6444242261639076</v>
      </c>
      <c r="AB238" s="3">
        <f>AE238/AE323</f>
        <v>1.2189905423280777E-3</v>
      </c>
      <c r="AC238" s="3">
        <f>AF238/AF323</f>
        <v>1.2593481729176802E-3</v>
      </c>
      <c r="AD238" s="5">
        <f t="shared" si="38"/>
        <v>43409780925</v>
      </c>
      <c r="AE238" s="5">
        <f t="shared" si="39"/>
        <v>43471794897.749992</v>
      </c>
      <c r="AF238" s="5">
        <f t="shared" si="40"/>
        <v>45332214080.249992</v>
      </c>
      <c r="AG238">
        <f t="shared" si="41"/>
        <v>0</v>
      </c>
      <c r="AH238" t="str">
        <f t="shared" si="42"/>
        <v>DAM200</v>
      </c>
      <c r="AI238">
        <f t="shared" si="43"/>
        <v>0</v>
      </c>
      <c r="AJ238">
        <f t="shared" si="44"/>
        <v>0</v>
      </c>
      <c r="AK238" t="str">
        <f>IF(Q238&lt;574,"down",IF(Q238=574,574,IF(Q238&gt;574,"up")))</f>
        <v>down</v>
      </c>
    </row>
    <row r="239" spans="1:37" x14ac:dyDescent="0.25">
      <c r="A239">
        <f>IF(X239=1210,1210,"Error")</f>
        <v>1210</v>
      </c>
      <c r="B239" t="str">
        <f>IF(K239&lt;46,"down",IF(K239=46,"low",IF(K239=47,"high",IF(AND(K239&gt;46,K239&lt;47),"normal","up"))))</f>
        <v>normal</v>
      </c>
      <c r="C239" t="str">
        <f>IF(K239&lt;46,"down",IF(K239=46,"low",IF(K239=47,"high",IF(AND(K239&gt;46,K239&lt;47),"normal","up"))))</f>
        <v>normal</v>
      </c>
      <c r="D239" t="str">
        <f>IF(K239&lt;46,"down",IF(K239=46,"low",IF(K239=47,"high",IF(AND(K239&gt;46,K239&lt;47),"normal","up"))))</f>
        <v>normal</v>
      </c>
      <c r="E239" t="str">
        <f>IF(K239&lt;45.65,"down",IF(K239=45.65,"low",IF(K239=47,"high",IF(AND(K239&gt;45.65,K239&lt;47),"normal","up"))))</f>
        <v>normal</v>
      </c>
      <c r="F239" t="str">
        <f>IF(P239&lt;46.65,"PVP-down",IF(P239=46.65,46.65,IF(P239&gt;46.65,"PVP-up")))</f>
        <v>PVP-down</v>
      </c>
      <c r="G239" t="str">
        <f>IF(R239&lt;502,"PVV-down",IF(R239=502,502,IF(R239&gt;502,"PVV-up")))</f>
        <v>PVV-up</v>
      </c>
      <c r="H239" s="3">
        <f t="shared" si="34"/>
        <v>2.7062664364439324E-3</v>
      </c>
      <c r="I239">
        <f>[1]!'1210.PreviousPrice'</f>
        <v>47</v>
      </c>
      <c r="J239">
        <f>[1]!'1210.PreOpenPrice'</f>
        <v>46.25</v>
      </c>
      <c r="K239">
        <f>[1]!'1210.Open'</f>
        <v>46.85</v>
      </c>
      <c r="L239">
        <f>[1]!'1210.Change'</f>
        <v>-0.75</v>
      </c>
      <c r="M239">
        <f>[1]!'1210.ChangePercent'</f>
        <v>-1.6E-2</v>
      </c>
      <c r="N239">
        <f>[1]!'1210.BidPrice'</f>
        <v>46.2</v>
      </c>
      <c r="O239">
        <f>[1]!'1210.AskPrice'</f>
        <v>46.25</v>
      </c>
      <c r="P239">
        <f>[1]!'1210.Price'</f>
        <v>46.25</v>
      </c>
      <c r="Q239">
        <f>[1]!'1210.Volume'</f>
        <v>54</v>
      </c>
      <c r="R239">
        <f>[1]!'1210.CumulativeVolume'</f>
        <v>2239</v>
      </c>
      <c r="S239">
        <f>[1]!'1210.PreviousVolume'</f>
        <v>2954</v>
      </c>
      <c r="T239">
        <f t="shared" si="35"/>
        <v>-1.2806830309498429E-2</v>
      </c>
      <c r="U239">
        <f>((T239*AB239)*D4)</f>
        <v>-0.17561718395732087</v>
      </c>
      <c r="V239" s="5">
        <f t="shared" si="36"/>
        <v>0</v>
      </c>
      <c r="W239" s="5">
        <f t="shared" si="37"/>
        <v>2497500</v>
      </c>
      <c r="X239">
        <v>1210</v>
      </c>
      <c r="Y239" s="5">
        <v>8273390860</v>
      </c>
      <c r="Z239" s="3">
        <f>((D2*AB239)/P239)/10</f>
        <v>2.9913275589533227E-2</v>
      </c>
      <c r="AA239" s="3">
        <f>((M239*AB239)*D2)</f>
        <v>-0.22135823936254592</v>
      </c>
      <c r="AB239" s="3">
        <f>AE239/AE323</f>
        <v>1.0729711462819232E-3</v>
      </c>
      <c r="AC239" s="3">
        <f>AF239/AF323</f>
        <v>1.0802400767624645E-3</v>
      </c>
      <c r="AD239" s="5">
        <f t="shared" si="38"/>
        <v>38264432727.5</v>
      </c>
      <c r="AE239" s="5">
        <f t="shared" si="39"/>
        <v>38264432727.5</v>
      </c>
      <c r="AF239" s="5">
        <f t="shared" si="40"/>
        <v>38884937042</v>
      </c>
      <c r="AG239">
        <f t="shared" si="41"/>
        <v>0</v>
      </c>
      <c r="AH239" t="str">
        <f t="shared" si="42"/>
        <v>DAM50</v>
      </c>
      <c r="AI239">
        <f t="shared" si="43"/>
        <v>0</v>
      </c>
      <c r="AJ239">
        <f t="shared" si="44"/>
        <v>0</v>
      </c>
      <c r="AK239" t="str">
        <f>IF(Q239&lt;127,"down",IF(Q239=127,127,IF(Q239&gt;127,"up")))</f>
        <v>down</v>
      </c>
    </row>
    <row r="240" spans="1:37" x14ac:dyDescent="0.25">
      <c r="A240">
        <f>IF(X240=2101,2101,"Error")</f>
        <v>2101</v>
      </c>
      <c r="B240" t="str">
        <f>IF(K240&lt;44.2,"down",IF(K240=44.2,"low",IF(K240=45.3,"high",IF(AND(K240&gt;44.2,K240&lt;45.3),"normal","up"))))</f>
        <v>normal</v>
      </c>
      <c r="C240" t="str">
        <f>IF(K240&lt;44.2,"down",IF(K240=44.2,"low",IF(K240=45.3,"high",IF(AND(K240&gt;44.2,K240&lt;45.3),"normal","up"))))</f>
        <v>normal</v>
      </c>
      <c r="D240" t="str">
        <f>IF(K240&lt;44.2,"down",IF(K240=44.2,"low",IF(K240=45.3,"high",IF(AND(K240&gt;44.2,K240&lt;45.3),"normal","up"))))</f>
        <v>normal</v>
      </c>
      <c r="E240" t="str">
        <f>IF(K240&lt;44.2,"down",IF(K240=44.2,"low",IF(K240=45.65,"high",IF(AND(K240&gt;44.2,K240&lt;45.65),"normal","up"))))</f>
        <v>normal</v>
      </c>
      <c r="F240" t="str">
        <f>IF(P240&lt;44.5,"PVP-down",IF(P240=44.5,44.5,IF(P240&gt;44.5,"PVP-up")))</f>
        <v>PVP-down</v>
      </c>
      <c r="G240" t="str">
        <f>IF(R240&lt;119,"PVV-down",IF(R240=119,119,IF(R240&gt;119,"PVV-up")))</f>
        <v>PVV-up</v>
      </c>
      <c r="H240" s="3">
        <f t="shared" si="34"/>
        <v>1.33583568052693E-3</v>
      </c>
      <c r="I240">
        <f>[1]!'2101.PreviousPrice'</f>
        <v>44.5</v>
      </c>
      <c r="J240">
        <f>[1]!'2101.PreOpenPrice'</f>
        <v>44.45</v>
      </c>
      <c r="K240">
        <f>[1]!'2101.Open'</f>
        <v>44.6</v>
      </c>
      <c r="L240">
        <f>[1]!'2101.Change'</f>
        <v>-0.05</v>
      </c>
      <c r="M240">
        <f>[1]!'2101.ChangePercent'</f>
        <v>-1.1000000000000001E-3</v>
      </c>
      <c r="N240">
        <f>[1]!'2101.BidPrice'</f>
        <v>44.45</v>
      </c>
      <c r="O240">
        <f>[1]!'2101.AskPrice'</f>
        <v>44.5</v>
      </c>
      <c r="P240">
        <f>[1]!'2101.Price'</f>
        <v>44.45</v>
      </c>
      <c r="Q240">
        <f>[1]!'2101.Volume'</f>
        <v>62</v>
      </c>
      <c r="R240">
        <f>[1]!'2101.CumulativeVolume'</f>
        <v>1114</v>
      </c>
      <c r="S240">
        <f>[1]!'2101.PreviousVolume'</f>
        <v>1232</v>
      </c>
      <c r="T240">
        <f t="shared" si="35"/>
        <v>-3.3632286995515376E-3</v>
      </c>
      <c r="U240">
        <f>((T240*AB240)*D4)</f>
        <v>-4.4677657198513951E-2</v>
      </c>
      <c r="V240" s="5">
        <f t="shared" si="36"/>
        <v>2755900</v>
      </c>
      <c r="W240" s="5">
        <f t="shared" si="37"/>
        <v>0</v>
      </c>
      <c r="X240">
        <v>2101</v>
      </c>
      <c r="Y240" s="5">
        <v>8339349040</v>
      </c>
      <c r="Z240" s="3">
        <f>((D2*AB240)/P240)/10</f>
        <v>3.0151754013810657E-2</v>
      </c>
      <c r="AA240" s="3">
        <f>((M240*AB240)*D2)</f>
        <v>-1.4742700125052721E-2</v>
      </c>
      <c r="AB240" s="3">
        <f>AE240/AE323</f>
        <v>1.0394334309864152E-3</v>
      </c>
      <c r="AC240" s="3">
        <f>AF240/AF323</f>
        <v>1.030934439121721E-3</v>
      </c>
      <c r="AD240" s="5">
        <f t="shared" si="38"/>
        <v>37068406482.800003</v>
      </c>
      <c r="AE240" s="5">
        <f t="shared" si="39"/>
        <v>37068406482.800003</v>
      </c>
      <c r="AF240" s="5">
        <f t="shared" si="40"/>
        <v>37110103228</v>
      </c>
      <c r="AG240" t="str">
        <f t="shared" si="41"/>
        <v>DBM50</v>
      </c>
      <c r="AH240">
        <f t="shared" si="42"/>
        <v>0</v>
      </c>
      <c r="AI240">
        <f t="shared" si="43"/>
        <v>0</v>
      </c>
      <c r="AJ240">
        <f t="shared" si="44"/>
        <v>0</v>
      </c>
      <c r="AK240" t="str">
        <f>IF(Q240&lt;17,"down",IF(Q240=17,17,IF(Q240&gt;17,"up")))</f>
        <v>up</v>
      </c>
    </row>
    <row r="241" spans="1:37" x14ac:dyDescent="0.25">
      <c r="A241">
        <f>IF(X241=2201,2201,"Error")</f>
        <v>2201</v>
      </c>
      <c r="B241" t="str">
        <f>IF(K241&lt;23.85,"down",IF(K241=23.85,"low",IF(K241=24.6,"high",IF(AND(K241&gt;23.85,K241&lt;24.6),"normal","up"))))</f>
        <v>normal</v>
      </c>
      <c r="C241" t="str">
        <f>IF(K241&lt;23.85,"down",IF(K241=23.85,"low",IF(K241=24.6,"high",IF(AND(K241&gt;23.85,K241&lt;24.6),"normal","up"))))</f>
        <v>normal</v>
      </c>
      <c r="D241" t="str">
        <f>IF(K241&lt;23.85,"down",IF(K241=23.85,"low",IF(K241=24.6,"high",IF(AND(K241&gt;23.85,K241&lt;24.6),"normal","up"))))</f>
        <v>normal</v>
      </c>
      <c r="E241" t="str">
        <f>IF(K241&lt;22.9,"down",IF(K241=22.9,"low",IF(K241=24.9,"high",IF(AND(K241&gt;22.9,K241&lt;24.9),"normal","up"))))</f>
        <v>normal</v>
      </c>
      <c r="F241" t="str">
        <f>IF(P241&lt;24.2,"PVP-down",IF(P241=24.2,24.2,IF(P241&gt;24.2,"PVP-up")))</f>
        <v>PVP-up</v>
      </c>
      <c r="G241" t="str">
        <f>IF(R241&lt;1711,"PVV-down",IF(R241=1711,1711,IF(R241&gt;1711,"PVV-up")))</f>
        <v>PVV-up</v>
      </c>
      <c r="H241" s="3">
        <f t="shared" si="34"/>
        <v>7.7028715388966443E-3</v>
      </c>
      <c r="I241">
        <f>[1]!'2201.PreviousPrice'</f>
        <v>24.2</v>
      </c>
      <c r="J241">
        <f>[1]!'2201.PreOpenPrice'</f>
        <v>24.55</v>
      </c>
      <c r="K241">
        <f>[1]!'2201.Open'</f>
        <v>24.15</v>
      </c>
      <c r="L241">
        <f>[1]!'2201.Change'</f>
        <v>0.35</v>
      </c>
      <c r="M241">
        <f>[1]!'2201.ChangePercent'</f>
        <v>1.4500000000000001E-2</v>
      </c>
      <c r="N241">
        <f>[1]!'2201.BidPrice'</f>
        <v>24.5</v>
      </c>
      <c r="O241">
        <f>[1]!'2201.AskPrice'</f>
        <v>24.55</v>
      </c>
      <c r="P241">
        <f>[1]!'2201.Price'</f>
        <v>24.55</v>
      </c>
      <c r="Q241">
        <f>[1]!'2201.Volume'</f>
        <v>337</v>
      </c>
      <c r="R241">
        <f>[1]!'2201.CumulativeVolume'</f>
        <v>12116</v>
      </c>
      <c r="S241">
        <f>[1]!'2201.PreviousVolume'</f>
        <v>9115</v>
      </c>
      <c r="T241">
        <f t="shared" si="35"/>
        <v>1.6563146997929695E-2</v>
      </c>
      <c r="U241">
        <f>((T241*AB241)*D4)</f>
        <v>0.22920866763729286</v>
      </c>
      <c r="V241" s="5">
        <f t="shared" si="36"/>
        <v>0</v>
      </c>
      <c r="W241" s="5">
        <f t="shared" si="37"/>
        <v>8273350</v>
      </c>
      <c r="X241">
        <v>2201</v>
      </c>
      <c r="Y241" s="5">
        <v>15729199090</v>
      </c>
      <c r="Z241" s="3">
        <f>((D2*AB241)/P241)/10</f>
        <v>5.6870499066667482E-2</v>
      </c>
      <c r="AA241" s="3">
        <f>((M241*AB241)*D2)</f>
        <v>0.20244475905256959</v>
      </c>
      <c r="AB241" s="3">
        <f>AE241/AE323</f>
        <v>1.0828065395429554E-3</v>
      </c>
      <c r="AC241" s="3">
        <f>AF241/AF323</f>
        <v>1.0574524818692576E-3</v>
      </c>
      <c r="AD241" s="5">
        <f t="shared" si="38"/>
        <v>38615183765.949997</v>
      </c>
      <c r="AE241" s="5">
        <f t="shared" si="39"/>
        <v>38615183765.949997</v>
      </c>
      <c r="AF241" s="5">
        <f t="shared" si="40"/>
        <v>38064661797.800003</v>
      </c>
      <c r="AG241">
        <f t="shared" si="41"/>
        <v>0</v>
      </c>
      <c r="AH241">
        <f t="shared" si="42"/>
        <v>0</v>
      </c>
      <c r="AI241" t="str">
        <f t="shared" si="43"/>
        <v>UAM200</v>
      </c>
      <c r="AJ241">
        <f t="shared" si="44"/>
        <v>0</v>
      </c>
      <c r="AK241" t="str">
        <f>IF(Q241&lt;189,"down",IF(Q241=189,189,IF(Q241&gt;189,"up")))</f>
        <v>up</v>
      </c>
    </row>
    <row r="242" spans="1:37" x14ac:dyDescent="0.25">
      <c r="A242">
        <f>IF(X242=2915,2915,"Error")</f>
        <v>2915</v>
      </c>
      <c r="B242" t="str">
        <f>IF(K242&lt;65.5,"down",IF(K242=65.5,"low",IF(K242=66,"high",IF(AND(K242&gt;65.5,K242&lt;66),"normal","up"))))</f>
        <v>up</v>
      </c>
      <c r="C242" t="str">
        <f>IF(K242&lt;65.5,"down",IF(K242=65.5,"low",IF(K242=66,"high",IF(AND(K242&gt;65.5,K242&lt;66),"normal","up"))))</f>
        <v>up</v>
      </c>
      <c r="D242" t="str">
        <f>IF(K242&lt;65.5,"down",IF(K242=65.5,"low",IF(K242=66,"high",IF(AND(K242&gt;65.5,K242&lt;66),"normal","up"))))</f>
        <v>up</v>
      </c>
      <c r="E242" t="str">
        <f>IF(K242&lt;64.1,"down",IF(K242=64.1,"low",IF(K242=66.3,"high",IF(AND(K242&gt;64.1,K242&lt;66.3),"normal","up"))))</f>
        <v>normal</v>
      </c>
      <c r="F242" t="str">
        <f>IF(P242&lt;65.8,"PVP-down",IF(P242=65.8,65.8,IF(P242&gt;65.8,"PVP-up")))</f>
        <v>PVP-up</v>
      </c>
      <c r="G242" t="str">
        <f>IF(R242&lt;451,"PVV-down",IF(R242=451,451,IF(R242&gt;451,"PVV-up")))</f>
        <v>PVV-up</v>
      </c>
      <c r="H242" s="3">
        <f t="shared" si="34"/>
        <v>4.3816120761293537E-3</v>
      </c>
      <c r="I242">
        <f>[1]!'2915.PreviousPrice'</f>
        <v>65.900000000000006</v>
      </c>
      <c r="J242">
        <f>[1]!'2915.PreOpenPrice'</f>
        <v>66.3</v>
      </c>
      <c r="K242">
        <f>[1]!'2915.Open'</f>
        <v>66.099999999999994</v>
      </c>
      <c r="L242">
        <f>[1]!'2915.Change'</f>
        <v>0.5</v>
      </c>
      <c r="M242">
        <f>[1]!'2915.ChangePercent'</f>
        <v>7.6E-3</v>
      </c>
      <c r="N242">
        <f>[1]!'2915.BidPrice'</f>
        <v>66.3</v>
      </c>
      <c r="O242">
        <f>[1]!'2915.AskPrice'</f>
        <v>66.400000000000006</v>
      </c>
      <c r="P242">
        <f>[1]!'2915.Price'</f>
        <v>66.400000000000006</v>
      </c>
      <c r="Q242">
        <f>[1]!'2915.Volume'</f>
        <v>89</v>
      </c>
      <c r="R242">
        <f>[1]!'2915.CumulativeVolume'</f>
        <v>2475</v>
      </c>
      <c r="S242">
        <f>[1]!'2915.PreviousVolume'</f>
        <v>959</v>
      </c>
      <c r="T242">
        <f t="shared" si="35"/>
        <v>4.5385779122543331E-3</v>
      </c>
      <c r="U242">
        <f>((T242*AB242)*D4)</f>
        <v>6.1004128536786509E-2</v>
      </c>
      <c r="V242" s="5">
        <f t="shared" si="36"/>
        <v>0</v>
      </c>
      <c r="W242" s="5">
        <f t="shared" si="37"/>
        <v>5909600</v>
      </c>
      <c r="X242">
        <v>2915</v>
      </c>
      <c r="Y242" s="5">
        <v>5648605940</v>
      </c>
      <c r="Z242" s="3">
        <f>((D2*AB242)/P242)/10</f>
        <v>2.0423102091890584E-2</v>
      </c>
      <c r="AA242" s="3">
        <f>((M242*AB242)*D2)</f>
        <v>0.10306314239651664</v>
      </c>
      <c r="AB242" s="3">
        <f>AE242/AE323</f>
        <v>1.0517248168927678E-3</v>
      </c>
      <c r="AC242" s="3">
        <f>AF242/AF323</f>
        <v>1.0341072391430188E-3</v>
      </c>
      <c r="AD242" s="5">
        <f t="shared" si="38"/>
        <v>37450257382.199997</v>
      </c>
      <c r="AE242" s="5">
        <f t="shared" si="39"/>
        <v>37506743441.600006</v>
      </c>
      <c r="AF242" s="5">
        <f t="shared" si="40"/>
        <v>37224313144.600006</v>
      </c>
      <c r="AG242">
        <f t="shared" si="41"/>
        <v>0</v>
      </c>
      <c r="AH242">
        <f t="shared" si="42"/>
        <v>0</v>
      </c>
      <c r="AI242" t="str">
        <f t="shared" si="43"/>
        <v>UAM50</v>
      </c>
      <c r="AJ242">
        <f t="shared" si="44"/>
        <v>0</v>
      </c>
      <c r="AK242" t="str">
        <f>IF(Q242&lt;14,"down",IF(Q242=14,14,IF(Q242&gt;14,"up")))</f>
        <v>up</v>
      </c>
    </row>
    <row r="243" spans="1:37" x14ac:dyDescent="0.25">
      <c r="A243">
        <f>IF(X243=5522,5522,"Error")</f>
        <v>5522</v>
      </c>
      <c r="B243" t="str">
        <f>IF(K243&lt;43.3,"down",IF(K243=43.3,"low",IF(K243=44.3,"high",IF(AND(K243&gt;43.3,K243&lt;44.3),"normal","up"))))</f>
        <v>normal</v>
      </c>
      <c r="C243" t="str">
        <f>IF(K243&lt;43.3,"down",IF(K243=43.3,"low",IF(K243=44.3,"high",IF(AND(K243&gt;43.3,K243&lt;44.3),"normal","up"))))</f>
        <v>normal</v>
      </c>
      <c r="D243" t="str">
        <f>IF(K243&lt;43.3,"down",IF(K243=43.3,"low",IF(K243=44.3,"high",IF(AND(K243&gt;43.3,K243&lt;44.3),"normal","up"))))</f>
        <v>normal</v>
      </c>
      <c r="E243" t="str">
        <f>IF(K243&lt;42,"down",IF(K243=42,"low",IF(K243=44.3,"high",IF(AND(K243&gt;42,K243&lt;44.3),"normal","up"))))</f>
        <v>normal</v>
      </c>
      <c r="F243" t="str">
        <f>IF(P243&lt;43.9,"PVP-down",IF(P243=43.9,43.9,IF(P243&gt;43.9,"PVP-up")))</f>
        <v>PVP-up</v>
      </c>
      <c r="G243" t="str">
        <f>IF(R243&lt;287,"PVV-down",IF(R243=287,287,IF(R243&gt;287,"PVV-up")))</f>
        <v>PVV-up</v>
      </c>
      <c r="H243" s="3">
        <f t="shared" si="34"/>
        <v>3.0424916027711551E-3</v>
      </c>
      <c r="I243">
        <f>[1]!'5522.PreviousPrice'</f>
        <v>43.9</v>
      </c>
      <c r="J243">
        <f>[1]!'5522.PreOpenPrice'</f>
        <v>44.55</v>
      </c>
      <c r="K243">
        <f>[1]!'5522.Open'</f>
        <v>43.95</v>
      </c>
      <c r="L243">
        <f>[1]!'5522.Change'</f>
        <v>0.65</v>
      </c>
      <c r="M243">
        <f>[1]!'5522.ChangePercent'</f>
        <v>1.4800000000000001E-2</v>
      </c>
      <c r="N243">
        <f>[1]!'5522.BidPrice'</f>
        <v>44.55</v>
      </c>
      <c r="O243">
        <f>[1]!'5522.AskPrice'</f>
        <v>44.6</v>
      </c>
      <c r="P243">
        <f>[1]!'5522.Price'</f>
        <v>44.55</v>
      </c>
      <c r="Q243">
        <f>[1]!'5522.Volume'</f>
        <v>28</v>
      </c>
      <c r="R243">
        <f>[1]!'5522.CumulativeVolume'</f>
        <v>2378</v>
      </c>
      <c r="S243">
        <f>[1]!'5522.PreviousVolume'</f>
        <v>1594</v>
      </c>
      <c r="T243">
        <f t="shared" si="35"/>
        <v>1.3651877133105672E-2</v>
      </c>
      <c r="U243">
        <f>((T243*AB243)*D4)</f>
        <v>0.17035410997509831</v>
      </c>
      <c r="V243" s="5">
        <f t="shared" si="36"/>
        <v>1247399.9999999998</v>
      </c>
      <c r="W243" s="5">
        <f t="shared" si="37"/>
        <v>0</v>
      </c>
      <c r="X243">
        <v>5522</v>
      </c>
      <c r="Y243" s="5">
        <v>7815962410</v>
      </c>
      <c r="Z243" s="3">
        <f>((D2*AB243)/P243)/10</f>
        <v>2.8259397086887093E-2</v>
      </c>
      <c r="AA243" s="3">
        <f>((M243*AB243)*D2)</f>
        <v>0.18632550875268139</v>
      </c>
      <c r="AB243" s="3">
        <f>AE243/AE323</f>
        <v>9.7638912689686685E-4</v>
      </c>
      <c r="AC243" s="3">
        <f>AF243/AF323</f>
        <v>9.5320402525358463E-4</v>
      </c>
      <c r="AD243" s="5">
        <f t="shared" si="38"/>
        <v>34820112536.550003</v>
      </c>
      <c r="AE243" s="5">
        <f t="shared" si="39"/>
        <v>34820112536.550003</v>
      </c>
      <c r="AF243" s="5">
        <f t="shared" si="40"/>
        <v>34312074979.900002</v>
      </c>
      <c r="AG243">
        <f t="shared" si="41"/>
        <v>0</v>
      </c>
      <c r="AH243">
        <f t="shared" si="42"/>
        <v>0</v>
      </c>
      <c r="AI243">
        <f t="shared" si="43"/>
        <v>0</v>
      </c>
      <c r="AJ243" t="str">
        <f t="shared" si="44"/>
        <v>UBM10-50</v>
      </c>
      <c r="AK243" t="str">
        <f>IF(Q243&lt;96,"down",IF(Q243=96,96,IF(Q243&gt;96,"up")))</f>
        <v>down</v>
      </c>
    </row>
    <row r="244" spans="1:37" x14ac:dyDescent="0.25">
      <c r="A244">
        <f>IF(X244=2903,2903,"Error")</f>
        <v>2903</v>
      </c>
      <c r="B244" t="str">
        <f>IF(K244&lt;24.8,"down",IF(K244=24.8,"low",IF(K244=25,"high",IF(AND(K244&gt;24.8,K244&lt;25),"normal","up"))))</f>
        <v>down</v>
      </c>
      <c r="C244" t="str">
        <f>IF(K244&lt;24.8,"down",IF(K244=24.8,"low",IF(K244=25,"high",IF(AND(K244&gt;24.8,K244&lt;25),"normal","up"))))</f>
        <v>down</v>
      </c>
      <c r="D244" t="str">
        <f>IF(K244&lt;24.8,"down",IF(K244=24.8,"low",IF(K244=25,"high",IF(AND(K244&gt;24.8,K244&lt;25),"normal","up"))))</f>
        <v>down</v>
      </c>
      <c r="E244" t="str">
        <f>IF(K244&lt;23.55,"down",IF(K244=23.55,"low",IF(K244=25.5,"high",IF(AND(K244&gt;23.55,K244&lt;25.5),"normal","up"))))</f>
        <v>normal</v>
      </c>
      <c r="F244" t="str">
        <f>IF(P244&lt;24.9,"PVP-down",IF(P244=24.9,24.9,IF(P244&gt;24.9,"PVP-up")))</f>
        <v>PVP-down</v>
      </c>
      <c r="G244" t="str">
        <f>IF(R244&lt;168,"PVV-down",IF(R244=168,168,IF(R244&gt;168,"PVV-up")))</f>
        <v>PVV-up</v>
      </c>
      <c r="H244" s="3">
        <f t="shared" si="34"/>
        <v>3.5710742138956398E-4</v>
      </c>
      <c r="I244">
        <f>[1]!'2903.PreviousPrice'</f>
        <v>24.85</v>
      </c>
      <c r="J244">
        <f>[1]!'2903.PreOpenPrice'</f>
        <v>24.75</v>
      </c>
      <c r="K244">
        <f>[1]!'2903.Open'</f>
        <v>24.75</v>
      </c>
      <c r="L244">
        <f>[1]!'2903.Change'</f>
        <v>-0.1</v>
      </c>
      <c r="M244">
        <f>[1]!'2903.ChangePercent'</f>
        <v>-4.0000000000000001E-3</v>
      </c>
      <c r="N244">
        <f>[1]!'2903.BidPrice'</f>
        <v>24.75</v>
      </c>
      <c r="O244">
        <f>[1]!'2903.AskPrice'</f>
        <v>24.8</v>
      </c>
      <c r="P244">
        <f>[1]!'2903.Price'</f>
        <v>24.75</v>
      </c>
      <c r="Q244">
        <f>[1]!'2903.Volume'</f>
        <v>4</v>
      </c>
      <c r="R244">
        <f>[1]!'2903.CumulativeVolume'</f>
        <v>506</v>
      </c>
      <c r="S244">
        <f>[1]!'2903.PreviousVolume'</f>
        <v>367</v>
      </c>
      <c r="T244">
        <f t="shared" si="35"/>
        <v>0</v>
      </c>
      <c r="U244">
        <f>((T244*AB244)*D4)</f>
        <v>0</v>
      </c>
      <c r="V244" s="5">
        <f t="shared" si="36"/>
        <v>99000</v>
      </c>
      <c r="W244" s="5">
        <f t="shared" si="37"/>
        <v>0</v>
      </c>
      <c r="X244">
        <v>2903</v>
      </c>
      <c r="Y244" s="5">
        <v>14169405890</v>
      </c>
      <c r="Z244" s="3">
        <f>((D2*AB244)/P244)/10</f>
        <v>5.1230910094766803E-2</v>
      </c>
      <c r="AA244" s="3">
        <f>((M244*AB244)*D2)</f>
        <v>-5.0718600993819127E-2</v>
      </c>
      <c r="AB244" s="3">
        <f>AE244/AE323</f>
        <v>9.8337600810103785E-4</v>
      </c>
      <c r="AC244" s="3">
        <f>AF244/AF323</f>
        <v>9.7817581196164784E-4</v>
      </c>
      <c r="AD244" s="5">
        <f t="shared" si="38"/>
        <v>35069279577.75</v>
      </c>
      <c r="AE244" s="5">
        <f t="shared" si="39"/>
        <v>35069279577.75</v>
      </c>
      <c r="AF244" s="5">
        <f t="shared" si="40"/>
        <v>35210973636.650002</v>
      </c>
      <c r="AG244" t="str">
        <f t="shared" si="41"/>
        <v>DBL10</v>
      </c>
      <c r="AH244">
        <f t="shared" si="42"/>
        <v>0</v>
      </c>
      <c r="AI244">
        <f t="shared" si="43"/>
        <v>0</v>
      </c>
      <c r="AJ244">
        <f t="shared" si="44"/>
        <v>0</v>
      </c>
      <c r="AK244">
        <f>IF(Q244&lt;4,"down",IF(Q244=4,4,IF(Q244&gt;4,"up")))</f>
        <v>4</v>
      </c>
    </row>
    <row r="245" spans="1:37" x14ac:dyDescent="0.25">
      <c r="A245">
        <f>IF(X245=9941,9941,"Error")</f>
        <v>9941</v>
      </c>
      <c r="B245" t="str">
        <f>IF(K245&lt;105.5,"down",IF(K245=105.5,"low",IF(K245=107.5,"high",IF(AND(K245&gt;105.5,K245&lt;107.5),"normal","up"))))</f>
        <v>up</v>
      </c>
      <c r="C245" t="str">
        <f>IF(K245&lt;105.5,"down",IF(K245=105.5,"low",IF(K245=107.5,"high",IF(AND(K245&gt;105.5,K245&lt;107.5),"normal","up"))))</f>
        <v>up</v>
      </c>
      <c r="D245" t="str">
        <f>IF(K245&lt;105.5,"down",IF(K245=105.5,"low",IF(K245=107.5,"high",IF(AND(K245&gt;105.5,K245&lt;107.5),"normal","up"))))</f>
        <v>up</v>
      </c>
      <c r="E245" t="str">
        <f>IF(K245&lt;103.5,"down",IF(K245=103.5,"low",IF(K245=107.5,"high",IF(AND(K245&gt;103.5,K245&lt;107.5),"normal","up"))))</f>
        <v>up</v>
      </c>
      <c r="F245" t="str">
        <f>IF(P245&lt;107,"PVP-down",IF(P245=107,107,IF(P245&gt;107,"PVP-up")))</f>
        <v>PVP-up</v>
      </c>
      <c r="G245" t="str">
        <f>IF(R245&lt;221,"PVV-down",IF(R245=221,221,IF(R245&gt;221,"PVV-up")))</f>
        <v>PVV-up</v>
      </c>
      <c r="H245" s="3">
        <f t="shared" si="34"/>
        <v>2.3725906096768246E-3</v>
      </c>
      <c r="I245">
        <f>[1]!'9941.PreviousPrice'</f>
        <v>107</v>
      </c>
      <c r="J245">
        <f>[1]!'9941.PreOpenPrice'</f>
        <v>109</v>
      </c>
      <c r="K245">
        <f>[1]!'9941.Open'</f>
        <v>108</v>
      </c>
      <c r="L245">
        <f>[1]!'9941.Change'</f>
        <v>2</v>
      </c>
      <c r="M245">
        <f>[1]!'9941.ChangePercent'</f>
        <v>1.8700000000000001E-2</v>
      </c>
      <c r="N245">
        <f>[1]!'9941.BidPrice'</f>
        <v>109</v>
      </c>
      <c r="O245">
        <f>[1]!'9941.AskPrice'</f>
        <v>109.5</v>
      </c>
      <c r="P245">
        <f>[1]!'9941.Price'</f>
        <v>109</v>
      </c>
      <c r="Q245">
        <f>[1]!'9941.Volume'</f>
        <v>36</v>
      </c>
      <c r="R245">
        <f>[1]!'9941.CumulativeVolume'</f>
        <v>954</v>
      </c>
      <c r="S245">
        <f>[1]!'9941.PreviousVolume'</f>
        <v>386</v>
      </c>
      <c r="T245">
        <f t="shared" si="35"/>
        <v>9.2592592592592587E-3</v>
      </c>
      <c r="U245">
        <f>((T245*AB245)*D4)</f>
        <v>0.14543146682057395</v>
      </c>
      <c r="V245" s="5">
        <f t="shared" si="36"/>
        <v>3924000</v>
      </c>
      <c r="W245" s="5">
        <f t="shared" si="37"/>
        <v>0</v>
      </c>
      <c r="X245">
        <v>9941</v>
      </c>
      <c r="Y245" s="5">
        <v>4020921250</v>
      </c>
      <c r="Z245" s="3">
        <f>((D2*AB245)/P245)/10</f>
        <v>1.4538044619236138E-2</v>
      </c>
      <c r="AA245" s="3">
        <f>((M245*AB245)*D2)</f>
        <v>0.29632896347389021</v>
      </c>
      <c r="AB245" s="3">
        <f>AE245/AE323</f>
        <v>1.2289800399385288E-3</v>
      </c>
      <c r="AC245" s="3">
        <f>AF245/AF323</f>
        <v>1.1952210426157573E-3</v>
      </c>
      <c r="AD245" s="5">
        <f t="shared" si="38"/>
        <v>43828041625</v>
      </c>
      <c r="AE245" s="5">
        <f t="shared" si="39"/>
        <v>43828041625</v>
      </c>
      <c r="AF245" s="5">
        <f t="shared" si="40"/>
        <v>43023857375</v>
      </c>
      <c r="AG245">
        <f t="shared" si="41"/>
        <v>0</v>
      </c>
      <c r="AH245">
        <f t="shared" si="42"/>
        <v>0</v>
      </c>
      <c r="AI245">
        <f t="shared" si="43"/>
        <v>0</v>
      </c>
      <c r="AJ245" t="str">
        <f t="shared" si="44"/>
        <v>UBM10-50</v>
      </c>
      <c r="AK245" t="str">
        <f>IF(Q245&lt;10,"down",IF(Q245=10,10,IF(Q245&gt;10,"up")))</f>
        <v>up</v>
      </c>
    </row>
    <row r="246" spans="1:37" x14ac:dyDescent="0.25">
      <c r="A246">
        <f>IF(X246=2015,2015,"Error")</f>
        <v>2015</v>
      </c>
      <c r="B246" t="str">
        <f>IF(K246&lt;54.3,"down",IF(K246=54.3,"low",IF(K246=54.9,"high",IF(AND(K246&gt;54.3,K246&lt;54.9),"normal","up"))))</f>
        <v>up</v>
      </c>
      <c r="C246" t="str">
        <f>IF(K246&lt;54.3,"down",IF(K246=54.3,"low",IF(K246=54.9,"high",IF(AND(K246&gt;54.3,K246&lt;54.9),"normal","up"))))</f>
        <v>up</v>
      </c>
      <c r="D246" t="str">
        <f>IF(K246&lt;54.3,"down",IF(K246=54.3,"low",IF(K246=54.9,"high",IF(AND(K246&gt;54.3,K246&lt;54.9),"normal","up"))))</f>
        <v>up</v>
      </c>
      <c r="E246" t="str">
        <f>IF(K246&lt;52.4,"down",IF(K246=52.4,"low",IF(K246=54.9,"high",IF(AND(K246&gt;52.4,K246&lt;54.9),"normal","up"))))</f>
        <v>up</v>
      </c>
      <c r="F246" t="str">
        <f>IF(P246&lt;54.8,"PVP-down",IF(P246=54.8,54.8,IF(P246&gt;54.8,"PVP-up")))</f>
        <v>PVP-up</v>
      </c>
      <c r="G246" t="str">
        <f>IF(R246&lt;192,"PVV-down",IF(R246=192,192,IF(R246&gt;192,"PVV-up")))</f>
        <v>PVV-up</v>
      </c>
      <c r="H246" s="3">
        <f t="shared" si="34"/>
        <v>1.5560538106722747E-3</v>
      </c>
      <c r="I246">
        <f>[1]!'2015.PreviousPrice'</f>
        <v>54.8</v>
      </c>
      <c r="J246">
        <f>[1]!'2015.PreOpenPrice'</f>
        <v>55.2</v>
      </c>
      <c r="K246">
        <f>[1]!'2015.Open'</f>
        <v>55</v>
      </c>
      <c r="L246">
        <f>[1]!'2015.Change'</f>
        <v>0.4</v>
      </c>
      <c r="M246">
        <f>[1]!'2015.ChangePercent'</f>
        <v>7.3000000000000001E-3</v>
      </c>
      <c r="N246">
        <f>[1]!'2015.BidPrice'</f>
        <v>55.2</v>
      </c>
      <c r="O246">
        <f>[1]!'2015.AskPrice'</f>
        <v>55.3</v>
      </c>
      <c r="P246">
        <f>[1]!'2015.Price'</f>
        <v>55.2</v>
      </c>
      <c r="Q246">
        <f>[1]!'2015.Volume'</f>
        <v>8</v>
      </c>
      <c r="R246">
        <f>[1]!'2015.CumulativeVolume'</f>
        <v>905</v>
      </c>
      <c r="S246">
        <f>[1]!'2015.PreviousVolume'</f>
        <v>579</v>
      </c>
      <c r="T246">
        <f t="shared" si="35"/>
        <v>3.636363636363688E-3</v>
      </c>
      <c r="U246">
        <f>((T246*AB246)*D4)</f>
        <v>4.1836989502891928E-2</v>
      </c>
      <c r="V246" s="5">
        <f t="shared" si="36"/>
        <v>441600</v>
      </c>
      <c r="W246" s="5">
        <f t="shared" si="37"/>
        <v>0</v>
      </c>
      <c r="X246">
        <v>2015</v>
      </c>
      <c r="Y246" s="5">
        <v>5815994240</v>
      </c>
      <c r="Z246" s="3">
        <f>((D2*AB246)/P246)/10</f>
        <v>2.1028311302127685E-2</v>
      </c>
      <c r="AA246" s="3">
        <f>((M246*AB246)*D2)</f>
        <v>8.4735683223053707E-2</v>
      </c>
      <c r="AB246" s="3">
        <f>AE246/AE323</f>
        <v>9.0023482540518699E-4</v>
      </c>
      <c r="AC246" s="3">
        <f>AF246/AF323</f>
        <v>8.8540793868329001E-4</v>
      </c>
      <c r="AD246" s="5">
        <f t="shared" si="38"/>
        <v>32104288204.799999</v>
      </c>
      <c r="AE246" s="5">
        <f t="shared" si="39"/>
        <v>32104288204.799999</v>
      </c>
      <c r="AF246" s="5">
        <f t="shared" si="40"/>
        <v>31871648435.200001</v>
      </c>
      <c r="AG246">
        <f t="shared" si="41"/>
        <v>0</v>
      </c>
      <c r="AH246">
        <f t="shared" si="42"/>
        <v>0</v>
      </c>
      <c r="AI246">
        <f t="shared" si="43"/>
        <v>0</v>
      </c>
      <c r="AJ246" t="str">
        <f t="shared" si="44"/>
        <v>UBL10</v>
      </c>
      <c r="AK246" t="str">
        <f>IF(Q246&lt;33,"down",IF(Q246=33,33,IF(Q246&gt;33,"up")))</f>
        <v>down</v>
      </c>
    </row>
    <row r="247" spans="1:37" x14ac:dyDescent="0.25">
      <c r="A247">
        <f>IF(X247=1802,1802,"Error")</f>
        <v>1802</v>
      </c>
      <c r="B247" t="str">
        <f>IF(K247&lt;10,"down",IF(K247=10,"low",IF(K247=10.2,"high",IF(AND(K247&gt;10,K247&lt;10.2),"normal","up"))))</f>
        <v>up</v>
      </c>
      <c r="C247" t="str">
        <f>IF(K247&lt;10,"down",IF(K247=10,"low",IF(K247=10.2,"high",IF(AND(K247&gt;10,K247&lt;10.2),"normal","up"))))</f>
        <v>up</v>
      </c>
      <c r="D247" t="str">
        <f>IF(K247&lt;10,"down",IF(K247=10,"low",IF(K247=10.2,"high",IF(AND(K247&gt;10,K247&lt;10.2),"normal","up"))))</f>
        <v>up</v>
      </c>
      <c r="E247" t="str">
        <f>IF(K247&lt;9.89,"down",IF(K247=9.89,"low",IF(K247=10.3,"high",IF(AND(K247&gt;9.89,K247&lt;10.3),"normal","up"))))</f>
        <v>high</v>
      </c>
      <c r="F247" t="str">
        <f>IF(P247&lt;10.15,"PVP-down",IF(P247=10.15,10.15,IF(P247&gt;10.15,"PVP-up")))</f>
        <v>PVP-up</v>
      </c>
      <c r="G247" t="str">
        <f>IF(R247&lt;919,"PVV-down",IF(R247=919,919,IF(R247&gt;919,"PVV-up")))</f>
        <v>PVV-up</v>
      </c>
      <c r="H247" s="3">
        <f t="shared" si="34"/>
        <v>1.8134077526852258E-2</v>
      </c>
      <c r="I247">
        <f>[1]!'1802.PreviousPrice'</f>
        <v>10.15</v>
      </c>
      <c r="J247">
        <f>[1]!'1802.PreOpenPrice'</f>
        <v>11.15</v>
      </c>
      <c r="K247">
        <f>[1]!'1802.Open'</f>
        <v>10.3</v>
      </c>
      <c r="L247">
        <f>[1]!'1802.Change'</f>
        <v>1</v>
      </c>
      <c r="M247">
        <f>[1]!'1802.ChangePercent'</f>
        <v>9.8500000000000004E-2</v>
      </c>
      <c r="N247">
        <f>[1]!'1802.BidPrice'</f>
        <v>11.15</v>
      </c>
      <c r="O247">
        <f>[1]!'1802.AskPrice'</f>
        <v>11.15</v>
      </c>
      <c r="P247">
        <f>[1]!'1802.Price'</f>
        <v>11.15</v>
      </c>
      <c r="Q247">
        <f>[1]!'1802.Volume'</f>
        <v>120</v>
      </c>
      <c r="R247">
        <f>[1]!'1802.CumulativeVolume'</f>
        <v>52735</v>
      </c>
      <c r="S247">
        <f>[1]!'1802.PreviousVolume'</f>
        <v>1891</v>
      </c>
      <c r="T247">
        <f t="shared" si="35"/>
        <v>8.2524271844660158E-2</v>
      </c>
      <c r="U247">
        <f>((T247*AB247)*D4)</f>
        <v>0.95893710859910331</v>
      </c>
      <c r="V247" s="5">
        <f t="shared" si="36"/>
        <v>1338000</v>
      </c>
      <c r="W247" s="5">
        <f t="shared" si="37"/>
        <v>1338000</v>
      </c>
      <c r="X247">
        <v>1802</v>
      </c>
      <c r="Y247" s="5">
        <v>29080608000</v>
      </c>
      <c r="Z247" s="3">
        <f>((D2*AB247)/P247)/10</f>
        <v>0.1051438589249952</v>
      </c>
      <c r="AA247" s="3">
        <f>((M247*AB247)*D2)</f>
        <v>1.154768716608491</v>
      </c>
      <c r="AB247" s="3">
        <f>AE247/AE323</f>
        <v>9.0922446642911162E-4</v>
      </c>
      <c r="AC247" s="3">
        <f>AF247/AF323</f>
        <v>8.1998972396567997E-4</v>
      </c>
      <c r="AD247" s="5">
        <f t="shared" si="38"/>
        <v>32424877920</v>
      </c>
      <c r="AE247" s="5">
        <f t="shared" si="39"/>
        <v>32424877920</v>
      </c>
      <c r="AF247" s="5">
        <f t="shared" si="40"/>
        <v>29516817120</v>
      </c>
      <c r="AG247">
        <f t="shared" si="41"/>
        <v>0</v>
      </c>
      <c r="AH247">
        <f t="shared" si="42"/>
        <v>0</v>
      </c>
      <c r="AI247" t="str">
        <f t="shared" si="43"/>
        <v>UAM100</v>
      </c>
      <c r="AJ247" t="str">
        <f t="shared" si="44"/>
        <v>UBM100</v>
      </c>
      <c r="AK247" t="str">
        <f>IF(Q247&lt;32,"down",IF(Q247=32,32,IF(Q247&gt;32,"up")))</f>
        <v>up</v>
      </c>
    </row>
    <row r="248" spans="1:37" x14ac:dyDescent="0.25">
      <c r="A248">
        <f>IF(X248=2027,2027,"Error")</f>
        <v>2027</v>
      </c>
      <c r="B248" t="str">
        <f>IF(K248&lt;22.15,"down",IF(K248=22.15,"low",IF(K248=22.55,"high",IF(AND(K248&gt;22.15,K248&lt;22.55),"normal","up"))))</f>
        <v>normal</v>
      </c>
      <c r="C248" t="str">
        <f>IF(K248&lt;22.15,"down",IF(K248=22.15,"low",IF(K248=22.55,"high",IF(AND(K248&gt;22.15,K248&lt;22.55),"normal","up"))))</f>
        <v>normal</v>
      </c>
      <c r="D248" t="str">
        <f>IF(K248&lt;22.15,"down",IF(K248=22.15,"low",IF(K248=22.55,"high",IF(AND(K248&gt;22.15,K248&lt;22.55),"normal","up"))))</f>
        <v>normal</v>
      </c>
      <c r="E248" t="str">
        <f>IF(K248&lt;22.15,"down",IF(K248=22.15,"low",IF(K248=23.55,"high",IF(AND(K248&gt;22.15,K248&lt;23.55),"normal","up"))))</f>
        <v>normal</v>
      </c>
      <c r="F248" t="str">
        <f>IF(P248&lt;22.25,"PVP-down",IF(P248=22.25,22.25,IF(P248&gt;22.25,"PVP-up")))</f>
        <v>PVP-down</v>
      </c>
      <c r="G248" t="str">
        <f>IF(R248&lt;1141,"PVV-down",IF(R248=1141,1141,IF(R248&gt;1141,"PVV-up")))</f>
        <v>PVV-up</v>
      </c>
      <c r="H248" s="3">
        <f t="shared" si="34"/>
        <v>6.7113461838205326E-3</v>
      </c>
      <c r="I248">
        <f>[1]!'2027.PreviousPrice'</f>
        <v>22.5</v>
      </c>
      <c r="J248">
        <f>[1]!'2027.PreOpenPrice'</f>
        <v>22.2</v>
      </c>
      <c r="K248">
        <f>[1]!'2027.Open'</f>
        <v>22.5</v>
      </c>
      <c r="L248">
        <f>[1]!'2027.Change'</f>
        <v>-0.3</v>
      </c>
      <c r="M248">
        <f>[1]!'2027.ChangePercent'</f>
        <v>-1.3299999999999999E-2</v>
      </c>
      <c r="N248">
        <f>[1]!'2027.BidPrice'</f>
        <v>22.2</v>
      </c>
      <c r="O248">
        <f>[1]!'2027.AskPrice'</f>
        <v>22.25</v>
      </c>
      <c r="P248">
        <f>[1]!'2027.Price'</f>
        <v>22.2</v>
      </c>
      <c r="Q248">
        <f>[1]!'2027.Volume'</f>
        <v>593</v>
      </c>
      <c r="R248">
        <f>[1]!'2027.CumulativeVolume'</f>
        <v>8446</v>
      </c>
      <c r="S248">
        <f>[1]!'2027.PreviousVolume'</f>
        <v>4656</v>
      </c>
      <c r="T248">
        <f t="shared" si="35"/>
        <v>-1.3333333333333365E-2</v>
      </c>
      <c r="U248">
        <f>((T248*AB248)*D4)</f>
        <v>-0.13349445341853999</v>
      </c>
      <c r="V248" s="5">
        <f t="shared" si="36"/>
        <v>13164600</v>
      </c>
      <c r="W248" s="5">
        <f t="shared" si="37"/>
        <v>0</v>
      </c>
      <c r="X248">
        <v>2027</v>
      </c>
      <c r="Y248" s="5">
        <v>12584658530</v>
      </c>
      <c r="Z248" s="3">
        <f>((D2*AB248)/P248)/10</f>
        <v>4.5501096851123517E-2</v>
      </c>
      <c r="AA248" s="3">
        <f>((M248*AB248)*D2)</f>
        <v>-0.13434653856262729</v>
      </c>
      <c r="AB248" s="3">
        <f>AE248/AE323</f>
        <v>7.8340650697606806E-4</v>
      </c>
      <c r="AC248" s="3">
        <f>AF248/AF323</f>
        <v>7.8661611523337381E-4</v>
      </c>
      <c r="AD248" s="5">
        <f t="shared" si="38"/>
        <v>27937941936.599998</v>
      </c>
      <c r="AE248" s="5">
        <f t="shared" si="39"/>
        <v>27937941936.599998</v>
      </c>
      <c r="AF248" s="5">
        <f t="shared" si="40"/>
        <v>28315481692.5</v>
      </c>
      <c r="AG248" t="str">
        <f t="shared" si="41"/>
        <v>DBM200</v>
      </c>
      <c r="AH248">
        <f t="shared" si="42"/>
        <v>0</v>
      </c>
      <c r="AI248">
        <f t="shared" si="43"/>
        <v>0</v>
      </c>
      <c r="AJ248">
        <f t="shared" si="44"/>
        <v>0</v>
      </c>
      <c r="AK248" t="str">
        <f>IF(Q248&lt;38,"down",IF(Q248=38,38,IF(Q248&gt;38,"up")))</f>
        <v>up</v>
      </c>
    </row>
    <row r="249" spans="1:37" x14ac:dyDescent="0.25">
      <c r="A249">
        <f>IF(X249=8341,8341,"Error")</f>
        <v>8341</v>
      </c>
      <c r="B249" t="str">
        <f>IF(K249&lt;255.5,"down",IF(K249=255.5,"low",IF(K249=260,"high",IF(AND(K249&gt;255.5,K249&lt;260),"normal","up"))))</f>
        <v>normal</v>
      </c>
      <c r="C249" t="str">
        <f>IF(K249&lt;255.5,"down",IF(K249=255.5,"low",IF(K249=260,"high",IF(AND(K249&gt;255.5,K249&lt;260),"normal","up"))))</f>
        <v>normal</v>
      </c>
      <c r="D249" t="str">
        <f>IF(K249&lt;255.5,"down",IF(K249=255.5,"low",IF(K249=260,"high",IF(AND(K249&gt;255.5,K249&lt;260),"normal","up"))))</f>
        <v>normal</v>
      </c>
      <c r="E249" t="str">
        <f>IF(K249&lt;255.5,"down",IF(K249=255.5,"low",IF(K249=265.5,"high",IF(AND(K249&gt;255.5,K249&lt;265.5),"normal","up"))))</f>
        <v>normal</v>
      </c>
      <c r="F249" t="str">
        <f>IF(P249&lt;256,"PVP-down",IF(P249=256,256,IF(P249&gt;256,"PVP-up")))</f>
        <v>PVP-up</v>
      </c>
      <c r="G249" t="str">
        <f>IF(R249&lt;23,"PVV-down",IF(R249=23,23,IF(R249&gt;23,"PVV-up")))</f>
        <v>PVV-up</v>
      </c>
      <c r="H249" s="3">
        <f t="shared" si="34"/>
        <v>4.5739910313901343E-4</v>
      </c>
      <c r="I249">
        <f>[1]!'8341.PreviousPrice'</f>
        <v>258.5</v>
      </c>
      <c r="J249">
        <f>[1]!'8341.PreOpenPrice'</f>
        <v>258.5</v>
      </c>
      <c r="K249">
        <f>[1]!'8341.Open'</f>
        <v>259</v>
      </c>
      <c r="L249">
        <f>[1]!'8341.Change'</f>
        <v>-0.5</v>
      </c>
      <c r="M249">
        <f>[1]!'8341.ChangePercent'</f>
        <v>-1.9E-3</v>
      </c>
      <c r="N249">
        <f>[1]!'8341.BidPrice'</f>
        <v>258</v>
      </c>
      <c r="O249">
        <f>[1]!'8341.AskPrice'</f>
        <v>259</v>
      </c>
      <c r="P249">
        <f>[1]!'8341.Price'</f>
        <v>258</v>
      </c>
      <c r="Q249">
        <f>[1]!'8341.Volume'</f>
        <v>4</v>
      </c>
      <c r="R249">
        <f>[1]!'8341.CumulativeVolume'</f>
        <v>51</v>
      </c>
      <c r="S249">
        <f>[1]!'8341.PreviousVolume'</f>
        <v>61</v>
      </c>
      <c r="T249">
        <f t="shared" si="35"/>
        <v>-3.8610038610038611E-3</v>
      </c>
      <c r="U249">
        <f>((T249*AB249)*D4)</f>
        <v>-3.9803831926596547E-2</v>
      </c>
      <c r="V249" s="5">
        <f t="shared" si="36"/>
        <v>1032000</v>
      </c>
      <c r="W249" s="5">
        <f t="shared" si="37"/>
        <v>0</v>
      </c>
      <c r="X249">
        <v>8341</v>
      </c>
      <c r="Y249" s="5">
        <v>1115000000</v>
      </c>
      <c r="Z249" s="3">
        <f>((D2*AB249)/P249)/10</f>
        <v>4.0313944846465952E-3</v>
      </c>
      <c r="AA249" s="3">
        <f>((M249*AB249)*D2)</f>
        <v>-1.9761895763737613E-2</v>
      </c>
      <c r="AB249" s="3">
        <f>AE249/AE323</f>
        <v>8.0665408487577293E-4</v>
      </c>
      <c r="AC249" s="3">
        <f>AF249/AF323</f>
        <v>8.0070824440002508E-4</v>
      </c>
      <c r="AD249" s="5">
        <f t="shared" si="38"/>
        <v>28822750000</v>
      </c>
      <c r="AE249" s="5">
        <f t="shared" si="39"/>
        <v>28767000000</v>
      </c>
      <c r="AF249" s="5">
        <f t="shared" si="40"/>
        <v>28822750000</v>
      </c>
      <c r="AG249" t="str">
        <f t="shared" si="41"/>
        <v>DBL10</v>
      </c>
      <c r="AH249">
        <f t="shared" si="42"/>
        <v>0</v>
      </c>
      <c r="AI249">
        <f t="shared" si="43"/>
        <v>0</v>
      </c>
      <c r="AJ249">
        <f t="shared" si="44"/>
        <v>0</v>
      </c>
      <c r="AK249" t="str">
        <f>IF(Q249&lt;1,"down",IF(Q249=1,1,IF(Q249&gt;1,"up")))</f>
        <v>up</v>
      </c>
    </row>
    <row r="250" spans="1:37" x14ac:dyDescent="0.25">
      <c r="A250">
        <f>IF(X250=4142,4142,"Error")</f>
        <v>4142</v>
      </c>
      <c r="B250" t="str">
        <f>IF(K250&lt;69.8,"down",IF(K250=69.8,"low",IF(K250=73,"high",IF(AND(K250&gt;69.8,K250&lt;73),"normal","up"))))</f>
        <v>normal</v>
      </c>
      <c r="C250" t="str">
        <f>IF(K250&lt;69.8,"down",IF(K250=69.8,"low",IF(K250=73,"high",IF(AND(K250&gt;69.8,K250&lt;73),"normal","up"))))</f>
        <v>normal</v>
      </c>
      <c r="D250" t="str">
        <f>IF(K250&lt;69.8,"down",IF(K250=69.8,"low",IF(K250=73,"high",IF(AND(K250&gt;69.8,K250&lt;73),"normal","up"))))</f>
        <v>normal</v>
      </c>
      <c r="E250" t="str">
        <f>IF(K250&lt;68.8,"down",IF(K250=68.8,"low",IF(K250=75.3,"high",IF(AND(K250&gt;68.8,K250&lt;75.3),"normal","up"))))</f>
        <v>normal</v>
      </c>
      <c r="F250" t="str">
        <f>IF(P250&lt;70,"PVP-down",IF(P250=70,70,IF(P250&gt;70,"PVP-up")))</f>
        <v>PVP-down</v>
      </c>
      <c r="G250" t="str">
        <f>IF(R250&lt;2666,"PVV-down",IF(R250=2666,2666,IF(R250&gt;2666,"PVV-up")))</f>
        <v>PVV-up</v>
      </c>
      <c r="H250" s="3">
        <f t="shared" si="34"/>
        <v>8.4464509643798105E-2</v>
      </c>
      <c r="I250">
        <f>[1]!'4142.PreviousPrice'</f>
        <v>70</v>
      </c>
      <c r="J250">
        <f>[1]!'4142.PreOpenPrice'</f>
        <v>66.8</v>
      </c>
      <c r="K250">
        <f>[1]!'4142.Open'</f>
        <v>70.3</v>
      </c>
      <c r="L250">
        <f>[1]!'4142.Change'</f>
        <v>-3.3</v>
      </c>
      <c r="M250">
        <f>[1]!'4142.ChangePercent'</f>
        <v>-4.7100000000000003E-2</v>
      </c>
      <c r="N250">
        <f>[1]!'4142.BidPrice'</f>
        <v>66.7</v>
      </c>
      <c r="O250">
        <f>[1]!'4142.AskPrice'</f>
        <v>66.8</v>
      </c>
      <c r="P250">
        <f>[1]!'4142.Price'</f>
        <v>66.7</v>
      </c>
      <c r="Q250">
        <f>[1]!'4142.Volume'</f>
        <v>1359</v>
      </c>
      <c r="R250">
        <f>[1]!'4142.CumulativeVolume'</f>
        <v>34542</v>
      </c>
      <c r="S250">
        <f>[1]!'4142.PreviousVolume'</f>
        <v>25461</v>
      </c>
      <c r="T250">
        <f t="shared" si="35"/>
        <v>-5.120910384068271E-2</v>
      </c>
      <c r="U250">
        <f>((T250*AB250)*D4)</f>
        <v>-0.50058323300831664</v>
      </c>
      <c r="V250" s="5">
        <f t="shared" si="36"/>
        <v>90645300</v>
      </c>
      <c r="W250" s="5">
        <f t="shared" si="37"/>
        <v>0</v>
      </c>
      <c r="X250">
        <v>4142</v>
      </c>
      <c r="Y250" s="5">
        <v>4089528270</v>
      </c>
      <c r="Z250" s="3">
        <f>((D2*AB250)/P250)/10</f>
        <v>1.4786100190568908E-2</v>
      </c>
      <c r="AA250" s="3">
        <f>((M250*AB250)*D2)</f>
        <v>-0.4645156877568557</v>
      </c>
      <c r="AB250" s="3">
        <f>AE250/AE323</f>
        <v>7.6487737142154973E-4</v>
      </c>
      <c r="AC250" s="3">
        <f>AF250/AF323</f>
        <v>7.952618334639062E-4</v>
      </c>
      <c r="AD250" s="5">
        <f t="shared" si="38"/>
        <v>27318048843.599998</v>
      </c>
      <c r="AE250" s="5">
        <f t="shared" si="39"/>
        <v>27277153560.900002</v>
      </c>
      <c r="AF250" s="5">
        <f t="shared" si="40"/>
        <v>28626697890</v>
      </c>
      <c r="AG250" t="str">
        <f t="shared" si="41"/>
        <v>DBM200</v>
      </c>
      <c r="AH250">
        <f t="shared" si="42"/>
        <v>0</v>
      </c>
      <c r="AI250">
        <f t="shared" si="43"/>
        <v>0</v>
      </c>
      <c r="AJ250">
        <f t="shared" si="44"/>
        <v>0</v>
      </c>
      <c r="AK250" t="str">
        <f>IF(Q250&lt;1665,"down",IF(Q250=1665,1665,IF(Q250&gt;1665,"up")))</f>
        <v>down</v>
      </c>
    </row>
    <row r="251" spans="1:37" x14ac:dyDescent="0.25">
      <c r="A251">
        <f>IF(X251=9933,9933,"Error")</f>
        <v>9933</v>
      </c>
      <c r="B251" t="str">
        <f>IF(K251&lt;35.25,"down",IF(K251=35.25,"low",IF(K251=35.6,"high",IF(AND(K251&gt;35.25,K251&lt;35.6),"normal","up"))))</f>
        <v>normal</v>
      </c>
      <c r="C251" t="str">
        <f>IF(K251&lt;35.25,"down",IF(K251=35.25,"low",IF(K251=35.6,"high",IF(AND(K251&gt;35.25,K251&lt;35.6),"normal","up"))))</f>
        <v>normal</v>
      </c>
      <c r="D251" t="str">
        <f>IF(K251&lt;35.25,"down",IF(K251=35.25,"low",IF(K251=35.6,"high",IF(AND(K251&gt;35.25,K251&lt;35.6),"normal","up"))))</f>
        <v>normal</v>
      </c>
      <c r="E251" t="str">
        <f>IF(K251&lt;35,"down",IF(K251=35,"low",IF(K251=36.7,"high",IF(AND(K251&gt;35,K251&lt;36.7),"normal","up"))))</f>
        <v>normal</v>
      </c>
      <c r="F251">
        <f>IF(P251&lt;35.4,"PVP-down",IF(P251=35.4,35.4,IF(P251&gt;35.4,"PVP-up")))</f>
        <v>35.4</v>
      </c>
      <c r="G251" t="str">
        <f>IF(R251&lt;246,"PVV-down",IF(R251=246,246,IF(R251&gt;246,"PVV-up")))</f>
        <v>PVV-up</v>
      </c>
      <c r="H251" s="3">
        <f t="shared" si="34"/>
        <v>8.6986681033023581E-4</v>
      </c>
      <c r="I251">
        <f>[1]!'9933.PreviousPrice'</f>
        <v>35.4</v>
      </c>
      <c r="J251">
        <f>[1]!'9933.PreOpenPrice'</f>
        <v>35.4</v>
      </c>
      <c r="K251">
        <f>[1]!'9933.Open'</f>
        <v>35.4</v>
      </c>
      <c r="L251">
        <f>[1]!'9933.Change'</f>
        <v>0</v>
      </c>
      <c r="M251">
        <f>[1]!'9933.ChangePercent'</f>
        <v>0</v>
      </c>
      <c r="N251">
        <f>[1]!'9933.BidPrice'</f>
        <v>35.4</v>
      </c>
      <c r="O251">
        <f>[1]!'9933.AskPrice'</f>
        <v>35.450000000000003</v>
      </c>
      <c r="P251">
        <f>[1]!'9933.Price'</f>
        <v>35.4</v>
      </c>
      <c r="Q251">
        <f>[1]!'9933.Volume'</f>
        <v>17</v>
      </c>
      <c r="R251">
        <f>[1]!'9933.CumulativeVolume'</f>
        <v>664</v>
      </c>
      <c r="S251">
        <f>[1]!'9933.PreviousVolume'</f>
        <v>889</v>
      </c>
      <c r="T251">
        <f t="shared" si="35"/>
        <v>0</v>
      </c>
      <c r="U251">
        <f>((T251*AB251)*D4)</f>
        <v>0</v>
      </c>
      <c r="V251" s="5">
        <f t="shared" si="36"/>
        <v>601800</v>
      </c>
      <c r="W251" s="5">
        <f t="shared" si="37"/>
        <v>0</v>
      </c>
      <c r="X251">
        <v>9933</v>
      </c>
      <c r="Y251" s="5">
        <v>7633352510</v>
      </c>
      <c r="Z251" s="3">
        <f>((D2*AB251)/P251)/10</f>
        <v>2.759915265307376E-2</v>
      </c>
      <c r="AA251" s="3">
        <f>((M251*AB251)*D2)</f>
        <v>0</v>
      </c>
      <c r="AB251" s="3">
        <f>AE251/AE323</f>
        <v>7.5772452607322099E-4</v>
      </c>
      <c r="AC251" s="3">
        <f>AF251/AF323</f>
        <v>7.5068452998332681E-4</v>
      </c>
      <c r="AD251" s="5">
        <f t="shared" si="38"/>
        <v>27022067885.400002</v>
      </c>
      <c r="AE251" s="5">
        <f t="shared" si="39"/>
        <v>27022067885.400002</v>
      </c>
      <c r="AF251" s="5">
        <f t="shared" si="40"/>
        <v>27022067885.400002</v>
      </c>
      <c r="AG251">
        <f t="shared" si="41"/>
        <v>0</v>
      </c>
      <c r="AH251">
        <f t="shared" si="42"/>
        <v>0</v>
      </c>
      <c r="AI251">
        <f t="shared" si="43"/>
        <v>0</v>
      </c>
      <c r="AJ251">
        <f t="shared" si="44"/>
        <v>0</v>
      </c>
      <c r="AK251" t="str">
        <f>IF(Q251&lt;15,"down",IF(Q251=15,15,IF(Q251&gt;15,"up")))</f>
        <v>up</v>
      </c>
    </row>
    <row r="252" spans="1:37" x14ac:dyDescent="0.25">
      <c r="A252">
        <f>IF(X252=1314,1314,"Error")</f>
        <v>1314</v>
      </c>
      <c r="B252" t="str">
        <f>IF(K252&lt;8.41,"down",IF(K252=8.41,"low",IF(K252=8.6,"high",IF(AND(K252&gt;8.41,K252&lt;8.6),"normal","up"))))</f>
        <v>down</v>
      </c>
      <c r="C252" t="str">
        <f>IF(K252&lt;8.41,"down",IF(K252=8.41,"low",IF(K252=8.6,"high",IF(AND(K252&gt;8.41,K252&lt;8.6),"normal","up"))))</f>
        <v>down</v>
      </c>
      <c r="D252" t="str">
        <f>IF(K252&lt;8.41,"down",IF(K252=8.41,"low",IF(K252=8.6,"high",IF(AND(K252&gt;8.41,K252&lt;8.6),"normal","up"))))</f>
        <v>down</v>
      </c>
      <c r="E252" t="str">
        <f>IF(K252&lt;8.16,"down",IF(K252=8.16,"low",IF(K252=8.6,"high",IF(AND(K252&gt;8.16,K252&lt;8.6),"normal","up"))))</f>
        <v>normal</v>
      </c>
      <c r="F252" t="str">
        <f>IF(P252&lt;8.43,"PVP-down",IF(P252=8.43,8.43,IF(P252&gt;8.43,"PVP-up")))</f>
        <v>PVP-up</v>
      </c>
      <c r="G252" t="str">
        <f>IF(R252&lt;6718,"PVV-down",IF(R252=6718,6718,IF(R252&gt;6718,"PVV-up")))</f>
        <v>PVV-up</v>
      </c>
      <c r="H252" s="3">
        <f t="shared" si="34"/>
        <v>2.5542717834740304E-2</v>
      </c>
      <c r="I252">
        <f>[1]!'1314.PreviousPrice'</f>
        <v>8.6</v>
      </c>
      <c r="J252">
        <f>[1]!'1314.PreOpenPrice'</f>
        <v>8.51</v>
      </c>
      <c r="K252">
        <f>[1]!'1314.Open'</f>
        <v>8.4</v>
      </c>
      <c r="L252">
        <f>[1]!'1314.Change'</f>
        <v>0.21</v>
      </c>
      <c r="M252">
        <f>[1]!'1314.ChangePercent'</f>
        <v>2.53E-2</v>
      </c>
      <c r="N252">
        <f>[1]!'1314.BidPrice'</f>
        <v>8.51</v>
      </c>
      <c r="O252">
        <f>[1]!'1314.AskPrice'</f>
        <v>8.52</v>
      </c>
      <c r="P252">
        <f>[1]!'1314.Price'</f>
        <v>8.51</v>
      </c>
      <c r="Q252">
        <f>[1]!'1314.Volume'</f>
        <v>961</v>
      </c>
      <c r="R252">
        <f>[1]!'1314.CumulativeVolume'</f>
        <v>83904</v>
      </c>
      <c r="S252">
        <f>[1]!'1314.PreviousVolume'</f>
        <v>39890</v>
      </c>
      <c r="T252">
        <f t="shared" si="35"/>
        <v>1.3095238095238026E-2</v>
      </c>
      <c r="U252">
        <f>((T252*AB252)*D4)</f>
        <v>0.13118633327775137</v>
      </c>
      <c r="V252" s="5">
        <f t="shared" si="36"/>
        <v>8178110</v>
      </c>
      <c r="W252" s="5">
        <f t="shared" si="37"/>
        <v>0</v>
      </c>
      <c r="X252">
        <v>1314</v>
      </c>
      <c r="Y252" s="5">
        <v>32848501300</v>
      </c>
      <c r="Z252" s="3">
        <f>((D2*AB252)/P252)/10</f>
        <v>0.11876705557823006</v>
      </c>
      <c r="AA252" s="3">
        <f>((M252*AB252)*D2)</f>
        <v>0.25570903367159664</v>
      </c>
      <c r="AB252" s="3">
        <f>AE252/AE323</f>
        <v>7.8385888240324012E-4</v>
      </c>
      <c r="AC252" s="3">
        <f>AF252/AF323</f>
        <v>7.8478898072188285E-4</v>
      </c>
      <c r="AD252" s="5">
        <f t="shared" si="38"/>
        <v>27954074606.299999</v>
      </c>
      <c r="AE252" s="5">
        <f t="shared" si="39"/>
        <v>27954074606.299999</v>
      </c>
      <c r="AF252" s="5">
        <f t="shared" si="40"/>
        <v>28249711118</v>
      </c>
      <c r="AG252">
        <f t="shared" si="41"/>
        <v>0</v>
      </c>
      <c r="AH252">
        <f t="shared" si="42"/>
        <v>0</v>
      </c>
      <c r="AI252">
        <f t="shared" si="43"/>
        <v>0</v>
      </c>
      <c r="AJ252" t="str">
        <f t="shared" si="44"/>
        <v>UBM200</v>
      </c>
      <c r="AK252" t="str">
        <f>IF(Q252&lt;445,"down",IF(Q252=445,445,IF(Q252&gt;445,"up")))</f>
        <v>up</v>
      </c>
    </row>
    <row r="253" spans="1:37" x14ac:dyDescent="0.25">
      <c r="A253">
        <f>IF(X253=5534,5534,"Error")</f>
        <v>5534</v>
      </c>
      <c r="B253" t="str">
        <f>IF(K253&lt;89.8,"down",IF(K253=89.8,"low",IF(K253=90.2,"high",IF(AND(K253&gt;89.8,K253&lt;90.2),"normal","up"))))</f>
        <v>normal</v>
      </c>
      <c r="C253" t="str">
        <f>IF(K253&lt;89.8,"down",IF(K253=89.8,"low",IF(K253=90.2,"high",IF(AND(K253&gt;89.8,K253&lt;90.2),"normal","up"))))</f>
        <v>normal</v>
      </c>
      <c r="D253" t="str">
        <f>IF(K253&lt;89.8,"down",IF(K253=89.8,"low",IF(K253=90.2,"high",IF(AND(K253&gt;89.8,K253&lt;90.2),"normal","up"))))</f>
        <v>normal</v>
      </c>
      <c r="E253" t="str">
        <f>IF(K253&lt;88.7,"down",IF(K253=88.7,"low",IF(K253=90.2,"high",IF(AND(K253&gt;88.7,K253&lt;90.2),"normal","up"))))</f>
        <v>normal</v>
      </c>
      <c r="F253" t="str">
        <f>IF(P253&lt;90,"PVP-down",IF(P253=90,90,IF(P253&gt;90,"PVP-up")))</f>
        <v>PVP-up</v>
      </c>
      <c r="G253" t="str">
        <f>IF(R253&lt;195,"PVV-down",IF(R253=195,195,IF(R253&gt;195,"PVV-up")))</f>
        <v>PVV-up</v>
      </c>
      <c r="H253" s="3">
        <f t="shared" si="34"/>
        <v>2.2560848502834537E-3</v>
      </c>
      <c r="I253">
        <f>[1]!'5534.PreviousPrice'</f>
        <v>90</v>
      </c>
      <c r="J253">
        <f>[1]!'5534.PreOpenPrice'</f>
        <v>90.1</v>
      </c>
      <c r="K253">
        <f>[1]!'5534.Open'</f>
        <v>89.9</v>
      </c>
      <c r="L253">
        <f>[1]!'5534.Change'</f>
        <v>0.1</v>
      </c>
      <c r="M253">
        <f>[1]!'5534.ChangePercent'</f>
        <v>1.1000000000000001E-3</v>
      </c>
      <c r="N253">
        <f>[1]!'5534.BidPrice'</f>
        <v>90</v>
      </c>
      <c r="O253">
        <f>[1]!'5534.AskPrice'</f>
        <v>90.1</v>
      </c>
      <c r="P253">
        <f>[1]!'5534.Price'</f>
        <v>90.1</v>
      </c>
      <c r="Q253">
        <f>[1]!'5534.Volume'</f>
        <v>7</v>
      </c>
      <c r="R253">
        <f>[1]!'5534.CumulativeVolume'</f>
        <v>655</v>
      </c>
      <c r="S253">
        <f>[1]!'5534.PreviousVolume'</f>
        <v>375</v>
      </c>
      <c r="T253">
        <f t="shared" si="35"/>
        <v>2.2246941045604963E-3</v>
      </c>
      <c r="U253">
        <f>((T253*AB253)*D4)</f>
        <v>2.0855040623815317E-2</v>
      </c>
      <c r="V253" s="5">
        <f t="shared" si="36"/>
        <v>0</v>
      </c>
      <c r="W253" s="5">
        <f t="shared" si="37"/>
        <v>630699.99999999988</v>
      </c>
      <c r="X253">
        <v>5534</v>
      </c>
      <c r="Y253" s="5">
        <v>2903259600</v>
      </c>
      <c r="Z253" s="3">
        <f>((D2*AB253)/P253)/10</f>
        <v>1.0497026671692628E-2</v>
      </c>
      <c r="AA253" s="3">
        <f>((M253*AB253)*D2)</f>
        <v>1.0403603134314564E-2</v>
      </c>
      <c r="AB253" s="3">
        <f>AE253/AE323</f>
        <v>7.3350558641190142E-4</v>
      </c>
      <c r="AC253" s="3">
        <f>AF253/AF323</f>
        <v>7.2588406991635677E-4</v>
      </c>
      <c r="AD253" s="5">
        <f t="shared" si="38"/>
        <v>26158368995.999996</v>
      </c>
      <c r="AE253" s="5">
        <f t="shared" si="39"/>
        <v>26158368995.999996</v>
      </c>
      <c r="AF253" s="5">
        <f t="shared" si="40"/>
        <v>26129336400</v>
      </c>
      <c r="AG253">
        <f t="shared" si="41"/>
        <v>0</v>
      </c>
      <c r="AH253">
        <f t="shared" si="42"/>
        <v>0</v>
      </c>
      <c r="AI253" t="str">
        <f t="shared" si="43"/>
        <v>UAL10</v>
      </c>
      <c r="AJ253">
        <f t="shared" si="44"/>
        <v>0</v>
      </c>
      <c r="AK253" t="str">
        <f>IF(Q253&lt;12,"down",IF(Q253=12,12,IF(Q253&gt;12,"up")))</f>
        <v>down</v>
      </c>
    </row>
    <row r="254" spans="1:37" x14ac:dyDescent="0.25">
      <c r="A254">
        <f>IF(X254=1904,1904,"Error")</f>
        <v>1904</v>
      </c>
      <c r="B254" t="str">
        <f>IF(K254&lt;23.75,"down",IF(K254=23.75,"low",IF(K254=24.4,"high",IF(AND(K254&gt;23.75,K254&lt;24.4),"normal","up"))))</f>
        <v>normal</v>
      </c>
      <c r="C254" t="str">
        <f>IF(K254&lt;23.75,"down",IF(K254=23.75,"low",IF(K254=24.4,"high",IF(AND(K254&gt;23.75,K254&lt;24.4),"normal","up"))))</f>
        <v>normal</v>
      </c>
      <c r="D254" t="str">
        <f>IF(K254&lt;23.75,"down",IF(K254=23.75,"low",IF(K254=24.4,"high",IF(AND(K254&gt;23.75,K254&lt;24.4),"normal","up"))))</f>
        <v>normal</v>
      </c>
      <c r="E254" t="str">
        <f>IF(K254&lt;23,"down",IF(K254=23,"low",IF(K254=24.4,"high",IF(AND(K254&gt;23,K254&lt;24.4),"normal","up"))))</f>
        <v>normal</v>
      </c>
      <c r="F254" t="str">
        <f>IF(P254&lt;23.85,"PVP-down",IF(P254=23.85,23.85,IF(P254&gt;23.85,"PVP-up")))</f>
        <v>PVP-up</v>
      </c>
      <c r="G254" t="str">
        <f>IF(R254&lt;1327,"PVV-down",IF(R254=1327,1327,IF(R254&gt;1327,"PVV-up")))</f>
        <v>PVV-up</v>
      </c>
      <c r="H254" s="3">
        <f t="shared" si="34"/>
        <v>1.3602225532348742E-2</v>
      </c>
      <c r="I254">
        <f>[1]!'1904.PreviousPrice'</f>
        <v>23.9</v>
      </c>
      <c r="J254">
        <f>[1]!'1904.PreOpenPrice'</f>
        <v>25.15</v>
      </c>
      <c r="K254">
        <f>[1]!'1904.Open'</f>
        <v>24</v>
      </c>
      <c r="L254">
        <f>[1]!'1904.Change'</f>
        <v>1.25</v>
      </c>
      <c r="M254">
        <f>[1]!'1904.ChangePercent'</f>
        <v>5.2299999999999999E-2</v>
      </c>
      <c r="N254">
        <f>[1]!'1904.BidPrice'</f>
        <v>25.1</v>
      </c>
      <c r="O254">
        <f>[1]!'1904.AskPrice'</f>
        <v>25.15</v>
      </c>
      <c r="P254">
        <f>[1]!'1904.Price'</f>
        <v>25.15</v>
      </c>
      <c r="Q254">
        <f>[1]!'1904.Volume'</f>
        <v>519</v>
      </c>
      <c r="R254">
        <f>[1]!'1904.CumulativeVolume'</f>
        <v>15075</v>
      </c>
      <c r="S254">
        <f>[1]!'1904.PreviousVolume'</f>
        <v>4835</v>
      </c>
      <c r="T254">
        <f t="shared" si="35"/>
        <v>4.7916666666666607E-2</v>
      </c>
      <c r="U254">
        <f>((T254*AB254)*D4)</f>
        <v>0.47863230963050823</v>
      </c>
      <c r="V254" s="5">
        <f t="shared" si="36"/>
        <v>0</v>
      </c>
      <c r="W254" s="5">
        <f t="shared" si="37"/>
        <v>13052849.999999998</v>
      </c>
      <c r="X254">
        <v>1904</v>
      </c>
      <c r="Y254" s="5">
        <v>11082745220</v>
      </c>
      <c r="Z254" s="3">
        <f>((D2*AB254)/P254)/10</f>
        <v>4.0070778434664951E-2</v>
      </c>
      <c r="AA254" s="3">
        <f>((M254*AB254)*D2)</f>
        <v>0.52706898060144369</v>
      </c>
      <c r="AB254" s="3">
        <f>AE254/AE323</f>
        <v>7.8158839586770857E-4</v>
      </c>
      <c r="AC254" s="3">
        <f>AF254/AF323</f>
        <v>7.3584125973722608E-4</v>
      </c>
      <c r="AD254" s="5">
        <f t="shared" si="38"/>
        <v>27873104228.299999</v>
      </c>
      <c r="AE254" s="5">
        <f t="shared" si="39"/>
        <v>27873104228.299999</v>
      </c>
      <c r="AF254" s="5">
        <f t="shared" si="40"/>
        <v>26487761075.799995</v>
      </c>
      <c r="AG254">
        <f t="shared" si="41"/>
        <v>0</v>
      </c>
      <c r="AH254">
        <f t="shared" si="42"/>
        <v>0</v>
      </c>
      <c r="AI254" t="str">
        <f t="shared" si="43"/>
        <v>UAM200</v>
      </c>
      <c r="AJ254">
        <f t="shared" si="44"/>
        <v>0</v>
      </c>
      <c r="AK254" t="str">
        <f>IF(Q254&lt;344,"down",IF(Q254=344,344,IF(Q254&gt;344,"up")))</f>
        <v>up</v>
      </c>
    </row>
    <row r="255" spans="1:37" x14ac:dyDescent="0.25">
      <c r="A255">
        <f>IF(X255=1707,1707,"Error")</f>
        <v>1707</v>
      </c>
      <c r="B255" t="str">
        <f>IF(K255&lt;183.5,"down",IF(K255=183.5,"low",IF(K255=184.5,"high",IF(AND(K255&gt;183.5,K255&lt;184.5),"normal","up"))))</f>
        <v>normal</v>
      </c>
      <c r="C255" t="str">
        <f>IF(K255&lt;183.5,"down",IF(K255=183.5,"low",IF(K255=184.5,"high",IF(AND(K255&gt;183.5,K255&lt;184.5),"normal","up"))))</f>
        <v>normal</v>
      </c>
      <c r="D255" t="str">
        <f>IF(K255&lt;183.5,"down",IF(K255=183.5,"low",IF(K255=184.5,"high",IF(AND(K255&gt;183.5,K255&lt;184.5),"normal","up"))))</f>
        <v>normal</v>
      </c>
      <c r="E255" t="str">
        <f>IF(K255&lt;183.5,"down",IF(K255=183.5,"low",IF(K255=188,"high",IF(AND(K255&gt;183.5,K255&lt;188),"normal","up"))))</f>
        <v>normal</v>
      </c>
      <c r="F255" t="str">
        <f>IF(P255&lt;184,"PVP-down",IF(P255=184,184,IF(P255&gt;184,"PVP-up")))</f>
        <v>PVP-down</v>
      </c>
      <c r="G255" t="str">
        <f>IF(R255&lt;163,"PVV-down",IF(R255=163,163,IF(R255&gt;163,"PVV-up")))</f>
        <v>PVV-up</v>
      </c>
      <c r="H255" s="3">
        <f t="shared" si="34"/>
        <v>4.5932692038110077E-3</v>
      </c>
      <c r="I255">
        <f>[1]!'1707.PreviousPrice'</f>
        <v>184</v>
      </c>
      <c r="J255">
        <f>[1]!'1707.PreOpenPrice'</f>
        <v>183</v>
      </c>
      <c r="K255">
        <f>[1]!'1707.Open'</f>
        <v>184</v>
      </c>
      <c r="L255">
        <f>[1]!'1707.Change'</f>
        <v>-1</v>
      </c>
      <c r="M255">
        <f>[1]!'1707.ChangePercent'</f>
        <v>-5.4000000000000003E-3</v>
      </c>
      <c r="N255">
        <f>[1]!'1707.BidPrice'</f>
        <v>183</v>
      </c>
      <c r="O255">
        <f>[1]!'1707.AskPrice'</f>
        <v>183.5</v>
      </c>
      <c r="P255">
        <f>[1]!'1707.Price'</f>
        <v>183</v>
      </c>
      <c r="Q255">
        <f>[1]!'1707.Volume'</f>
        <v>19</v>
      </c>
      <c r="R255">
        <f>[1]!'1707.CumulativeVolume'</f>
        <v>626</v>
      </c>
      <c r="S255">
        <f>[1]!'1707.PreviousVolume'</f>
        <v>243</v>
      </c>
      <c r="T255">
        <f t="shared" si="35"/>
        <v>-5.434782608695652E-3</v>
      </c>
      <c r="U255">
        <f>((T255*AB255)*D4)</f>
        <v>-4.857533170911351E-2</v>
      </c>
      <c r="V255" s="5">
        <f t="shared" si="36"/>
        <v>3477000</v>
      </c>
      <c r="W255" s="5">
        <f t="shared" si="37"/>
        <v>0</v>
      </c>
      <c r="X255">
        <v>1707</v>
      </c>
      <c r="Y255" s="5">
        <v>1362863730</v>
      </c>
      <c r="Z255" s="3">
        <f>((D2*AB255)/P255)/10</f>
        <v>4.9275706945711992E-3</v>
      </c>
      <c r="AA255" s="3">
        <f>((M255*AB255)*D2)</f>
        <v>-4.8694253603752589E-2</v>
      </c>
      <c r="AB255" s="3">
        <f>AE255/AE323</f>
        <v>6.9935275097450706E-4</v>
      </c>
      <c r="AC255" s="3">
        <f>AF255/AF323</f>
        <v>6.9664117867752949E-4</v>
      </c>
      <c r="AD255" s="5">
        <f t="shared" si="38"/>
        <v>24940406259</v>
      </c>
      <c r="AE255" s="5">
        <f t="shared" si="39"/>
        <v>24940406259</v>
      </c>
      <c r="AF255" s="5">
        <f t="shared" si="40"/>
        <v>25076692632</v>
      </c>
      <c r="AG255" t="str">
        <f t="shared" si="41"/>
        <v>DBM10-50</v>
      </c>
      <c r="AH255">
        <f t="shared" si="42"/>
        <v>0</v>
      </c>
      <c r="AI255">
        <f t="shared" si="43"/>
        <v>0</v>
      </c>
      <c r="AJ255">
        <f t="shared" si="44"/>
        <v>0</v>
      </c>
      <c r="AK255" t="str">
        <f>IF(Q255&lt;9,"down",IF(Q255=9,9,IF(Q255&gt;9,"up")))</f>
        <v>up</v>
      </c>
    </row>
    <row r="256" spans="1:37" x14ac:dyDescent="0.25">
      <c r="A256">
        <f>IF(X256=2634,2634,"Error")</f>
        <v>2634</v>
      </c>
      <c r="B256" t="str">
        <f>IF(K256&lt;26.8,"down",IF(K256=26.8,"low",IF(K256=27.45,"high",IF(AND(K256&gt;26.8,K256&lt;27.45),"normal","up"))))</f>
        <v>normal</v>
      </c>
      <c r="C256" t="str">
        <f>IF(K256&lt;26.8,"down",IF(K256=26.8,"low",IF(K256=27.45,"high",IF(AND(K256&gt;26.8,K256&lt;27.45),"normal","up"))))</f>
        <v>normal</v>
      </c>
      <c r="D256" t="str">
        <f>IF(K256&lt;26.8,"down",IF(K256=26.8,"low",IF(K256=27.45,"high",IF(AND(K256&gt;26.8,K256&lt;27.45),"normal","up"))))</f>
        <v>normal</v>
      </c>
      <c r="E256" t="str">
        <f>IF(K256&lt;26.65,"down",IF(K256=26.65,"low",IF(K256=27.65,"high",IF(AND(K256&gt;26.65,K256&lt;27.65),"normal","up"))))</f>
        <v>normal</v>
      </c>
      <c r="F256" t="str">
        <f>IF(P256&lt;27.1,"PVP-down",IF(P256=27.1,27.1,IF(P256&gt;27.1,"PVP-up")))</f>
        <v>PVP-up</v>
      </c>
      <c r="G256" t="str">
        <f>IF(R256&lt;492,"PVV-down",IF(R256=492,492,IF(R256&gt;492,"PVV-up")))</f>
        <v>PVV-up</v>
      </c>
      <c r="H256" s="3">
        <f t="shared" si="34"/>
        <v>2.6128951710778568E-3</v>
      </c>
      <c r="I256">
        <f>[1]!'2634.PreviousPrice'</f>
        <v>27.2</v>
      </c>
      <c r="J256">
        <f>[1]!'2634.PreOpenPrice'</f>
        <v>27.3</v>
      </c>
      <c r="K256">
        <f>[1]!'2634.Open'</f>
        <v>27.25</v>
      </c>
      <c r="L256">
        <f>[1]!'2634.Change'</f>
        <v>0.1</v>
      </c>
      <c r="M256">
        <f>[1]!'2634.ChangePercent'</f>
        <v>3.7000000000000002E-3</v>
      </c>
      <c r="N256">
        <f>[1]!'2634.BidPrice'</f>
        <v>27.3</v>
      </c>
      <c r="O256">
        <f>[1]!'2634.AskPrice'</f>
        <v>27.4</v>
      </c>
      <c r="P256">
        <f>[1]!'2634.Price'</f>
        <v>27.3</v>
      </c>
      <c r="Q256">
        <f>[1]!'2634.Volume'</f>
        <v>54</v>
      </c>
      <c r="R256">
        <f>[1]!'2634.CumulativeVolume'</f>
        <v>2461</v>
      </c>
      <c r="S256">
        <f>[1]!'2634.PreviousVolume'</f>
        <v>2570</v>
      </c>
      <c r="T256">
        <f t="shared" si="35"/>
        <v>1.834862385321127E-3</v>
      </c>
      <c r="U256">
        <f>((T256*AB256)*D4)</f>
        <v>1.6907751129629247E-2</v>
      </c>
      <c r="V256" s="5">
        <f t="shared" si="36"/>
        <v>1474200</v>
      </c>
      <c r="W256" s="5">
        <f t="shared" si="37"/>
        <v>0</v>
      </c>
      <c r="X256">
        <v>2634</v>
      </c>
      <c r="Y256" s="5">
        <v>9418671010</v>
      </c>
      <c r="Z256" s="3">
        <f>((D2*AB256)/P256)/10</f>
        <v>3.4054150997681408E-2</v>
      </c>
      <c r="AA256" s="3">
        <f>((M256*AB256)*D2)</f>
        <v>3.4398097922757997E-2</v>
      </c>
      <c r="AB256" s="3">
        <f>AE256/AE323</f>
        <v>7.210162263352742E-4</v>
      </c>
      <c r="AC256" s="3">
        <f>AF256/AF323</f>
        <v>7.117007391340503E-4</v>
      </c>
      <c r="AD256" s="5">
        <f t="shared" si="38"/>
        <v>25712971857.299999</v>
      </c>
      <c r="AE256" s="5">
        <f t="shared" si="39"/>
        <v>25712971857.299999</v>
      </c>
      <c r="AF256" s="5">
        <f t="shared" si="40"/>
        <v>25618785147.200001</v>
      </c>
      <c r="AG256">
        <f t="shared" si="41"/>
        <v>0</v>
      </c>
      <c r="AH256">
        <f t="shared" si="42"/>
        <v>0</v>
      </c>
      <c r="AI256">
        <f t="shared" si="43"/>
        <v>0</v>
      </c>
      <c r="AJ256" t="str">
        <f t="shared" si="44"/>
        <v>UBM50</v>
      </c>
      <c r="AK256" t="str">
        <f>IF(Q256&lt;79,"down",IF(Q256=79,79,IF(Q256&gt;79,"up")))</f>
        <v>down</v>
      </c>
    </row>
    <row r="257" spans="1:37" x14ac:dyDescent="0.25">
      <c r="A257">
        <f>IF(X257=1789,1789,"Error")</f>
        <v>1789</v>
      </c>
      <c r="B257" t="str">
        <f>IF(K257&lt;33.05,"down",IF(K257=33.05,"low",IF(K257=34.9,"high",IF(AND(K257&gt;33.05,K257&lt;34.9),"normal","up"))))</f>
        <v>normal</v>
      </c>
      <c r="C257" t="str">
        <f>IF(K257&lt;33.05,"down",IF(K257=33.05,"low",IF(K257=34.9,"high",IF(AND(K257&gt;33.05,K257&lt;34.9),"normal","up"))))</f>
        <v>normal</v>
      </c>
      <c r="D257" t="str">
        <f>IF(K257&lt;33.05,"down",IF(K257=33.05,"low",IF(K257=34.9,"high",IF(AND(K257&gt;33.05,K257&lt;34.9),"normal","up"))))</f>
        <v>normal</v>
      </c>
      <c r="E257" t="str">
        <f>IF(K257&lt;32.05,"down",IF(K257=32.05,"low",IF(K257=35,"high",IF(AND(K257&gt;32.05,K257&lt;35),"normal","up"))))</f>
        <v>normal</v>
      </c>
      <c r="F257" t="str">
        <f>IF(P257&lt;33.2,"PVP-down",IF(P257=33.2,33.2,IF(P257&gt;33.2,"PVP-up")))</f>
        <v>PVP-down</v>
      </c>
      <c r="G257" t="str">
        <f>IF(R257&lt;304,"PVV-down",IF(R257=304,304,IF(R257&gt;304,"PVV-up")))</f>
        <v>PVV-up</v>
      </c>
      <c r="H257" s="3">
        <f t="shared" si="34"/>
        <v>3.1628632176285295E-3</v>
      </c>
      <c r="I257">
        <f>[1]!'1789.PreviousPrice'</f>
        <v>33.049999999999997</v>
      </c>
      <c r="J257">
        <f>[1]!'1789.PreOpenPrice'</f>
        <v>32.049999999999997</v>
      </c>
      <c r="K257">
        <f>[1]!'1789.Open'</f>
        <v>33.35</v>
      </c>
      <c r="L257">
        <f>[1]!'1789.Change'</f>
        <v>-0.95</v>
      </c>
      <c r="M257">
        <f>[1]!'1789.ChangePercent'</f>
        <v>-2.87E-2</v>
      </c>
      <c r="N257">
        <f>[1]!'1789.BidPrice'</f>
        <v>32.049999999999997</v>
      </c>
      <c r="O257">
        <f>[1]!'1789.AskPrice'</f>
        <v>32.1</v>
      </c>
      <c r="P257">
        <f>[1]!'1789.Price'</f>
        <v>32.1</v>
      </c>
      <c r="Q257">
        <f>[1]!'1789.Volume'</f>
        <v>120</v>
      </c>
      <c r="R257">
        <f>[1]!'1789.CumulativeVolume'</f>
        <v>2501</v>
      </c>
      <c r="S257">
        <f>[1]!'1789.PreviousVolume'</f>
        <v>4404</v>
      </c>
      <c r="T257">
        <f t="shared" si="35"/>
        <v>-3.7481259370314844E-2</v>
      </c>
      <c r="U257">
        <f>((T257*AB257)*D4)</f>
        <v>-0.34094361584365418</v>
      </c>
      <c r="V257" s="5">
        <f t="shared" si="36"/>
        <v>0</v>
      </c>
      <c r="W257" s="5">
        <f t="shared" si="37"/>
        <v>3852000</v>
      </c>
      <c r="X257">
        <v>1789</v>
      </c>
      <c r="Y257" s="5">
        <v>7907392220</v>
      </c>
      <c r="Z257" s="3">
        <f>((D2*AB257)/P257)/10</f>
        <v>2.8589970747664034E-2</v>
      </c>
      <c r="AA257" s="3">
        <f>((M257*AB257)*D2)</f>
        <v>-0.26339082350700443</v>
      </c>
      <c r="AB257" s="3">
        <f>AE257/AE323</f>
        <v>7.1175590274547506E-4</v>
      </c>
      <c r="AC257" s="3">
        <f>AF257/AF323</f>
        <v>7.2601171783277883E-4</v>
      </c>
      <c r="AD257" s="5">
        <f t="shared" si="38"/>
        <v>25343192065.099998</v>
      </c>
      <c r="AE257" s="5">
        <f t="shared" si="39"/>
        <v>25382729026.200001</v>
      </c>
      <c r="AF257" s="5">
        <f t="shared" si="40"/>
        <v>26133931287.099998</v>
      </c>
      <c r="AG257">
        <f t="shared" si="41"/>
        <v>0</v>
      </c>
      <c r="AH257" t="str">
        <f t="shared" si="42"/>
        <v>DAM100</v>
      </c>
      <c r="AI257">
        <f t="shared" si="43"/>
        <v>0</v>
      </c>
      <c r="AJ257">
        <f t="shared" si="44"/>
        <v>0</v>
      </c>
      <c r="AK257" t="str">
        <f>IF(Q257&lt;231,"down",IF(Q257=231,231,IF(Q257&gt;231,"up")))</f>
        <v>down</v>
      </c>
    </row>
    <row r="258" spans="1:37" x14ac:dyDescent="0.25">
      <c r="A258">
        <f>IF(X258=2106,2106,"Error")</f>
        <v>2106</v>
      </c>
      <c r="B258" t="str">
        <f>IF(K258&lt;28.45,"down",IF(K258=28.45,"low",IF(K258=28.65,"high",IF(AND(K258&gt;28.45,K258&lt;28.65),"normal","up"))))</f>
        <v>up</v>
      </c>
      <c r="C258" t="str">
        <f>IF(K258&lt;28.45,"down",IF(K258=28.45,"low",IF(K258=28.65,"high",IF(AND(K258&gt;28.45,K258&lt;28.65),"normal","up"))))</f>
        <v>up</v>
      </c>
      <c r="D258" t="str">
        <f>IF(K258&lt;28.45,"down",IF(K258=28.45,"low",IF(K258=28.65,"high",IF(AND(K258&gt;28.45,K258&lt;28.65),"normal","up"))))</f>
        <v>up</v>
      </c>
      <c r="E258" t="str">
        <f>IF(K258&lt;27.8,"down",IF(K258=27.8,"low",IF(K258=29.25,"high",IF(AND(K258&gt;27.8,K258&lt;29.25),"normal","up"))))</f>
        <v>up</v>
      </c>
      <c r="F258" t="str">
        <f>IF(P258&lt;28.5,"PVP-down",IF(P258=28.5,28.5,IF(P258&gt;28.5,"PVP-up")))</f>
        <v>PVP-up</v>
      </c>
      <c r="G258" t="str">
        <f>IF(R258&lt;895,"PVV-down",IF(R258=895,895,IF(R258&gt;895,"PVV-up")))</f>
        <v>PVV-up</v>
      </c>
      <c r="H258" s="3">
        <f t="shared" si="34"/>
        <v>1.9166771496860811E-3</v>
      </c>
      <c r="I258">
        <f>[1]!'2106.PreviousPrice'</f>
        <v>28.5</v>
      </c>
      <c r="J258">
        <f>[1]!'2106.PreOpenPrice'</f>
        <v>28.95</v>
      </c>
      <c r="K258">
        <f>[1]!'2106.Open'</f>
        <v>29.95</v>
      </c>
      <c r="L258">
        <f>[1]!'2106.Change'</f>
        <v>0.45</v>
      </c>
      <c r="M258">
        <f>[1]!'2106.ChangePercent'</f>
        <v>1.5800000000000002E-2</v>
      </c>
      <c r="N258">
        <f>[1]!'2106.BidPrice'</f>
        <v>28.95</v>
      </c>
      <c r="O258">
        <f>[1]!'2106.AskPrice'</f>
        <v>29</v>
      </c>
      <c r="P258">
        <f>[1]!'2106.Price'</f>
        <v>28.95</v>
      </c>
      <c r="Q258">
        <f>[1]!'2106.Volume'</f>
        <v>35</v>
      </c>
      <c r="R258">
        <f>[1]!'2106.CumulativeVolume'</f>
        <v>1676</v>
      </c>
      <c r="S258">
        <f>[1]!'2106.PreviousVolume'</f>
        <v>1174</v>
      </c>
      <c r="T258">
        <f t="shared" si="35"/>
        <v>-3.3388981636060099E-2</v>
      </c>
      <c r="U258">
        <f>((T258*AB258)*D4)</f>
        <v>-0.30290529474889061</v>
      </c>
      <c r="V258" s="5">
        <f t="shared" si="36"/>
        <v>1013250</v>
      </c>
      <c r="W258" s="5">
        <f t="shared" si="37"/>
        <v>0</v>
      </c>
      <c r="X258">
        <v>2106</v>
      </c>
      <c r="Y258" s="5">
        <v>8744300000</v>
      </c>
      <c r="Z258" s="3">
        <f>((D2*AB258)/P258)/10</f>
        <v>3.1615894880802894E-2</v>
      </c>
      <c r="AA258" s="3">
        <f>((M258*AB258)*D2)</f>
        <v>0.14461426477428052</v>
      </c>
      <c r="AB258" s="3">
        <f>AE258/AE323</f>
        <v>7.0984966402919472E-4</v>
      </c>
      <c r="AC258" s="3">
        <f>AF258/AF323</f>
        <v>6.9232305520102507E-4</v>
      </c>
      <c r="AD258" s="5">
        <f t="shared" si="38"/>
        <v>25314748500</v>
      </c>
      <c r="AE258" s="5">
        <f t="shared" si="39"/>
        <v>25314748500</v>
      </c>
      <c r="AF258" s="5">
        <f t="shared" si="40"/>
        <v>24921255000</v>
      </c>
      <c r="AG258">
        <f t="shared" si="41"/>
        <v>0</v>
      </c>
      <c r="AH258">
        <f t="shared" si="42"/>
        <v>0</v>
      </c>
      <c r="AI258">
        <f t="shared" si="43"/>
        <v>0</v>
      </c>
      <c r="AJ258" t="str">
        <f t="shared" si="44"/>
        <v>UBM10-50</v>
      </c>
      <c r="AK258" t="str">
        <f>IF(Q258&lt;10,"down",IF(Q258=10,10,IF(Q258&gt;10,"up")))</f>
        <v>up</v>
      </c>
    </row>
    <row r="259" spans="1:37" x14ac:dyDescent="0.25">
      <c r="A259">
        <f>IF(X259=2905,2905,"Error")</f>
        <v>2905</v>
      </c>
      <c r="B259" t="str">
        <f>IF(K259&lt;25.15,"down",IF(K259=25.15,"low",IF(K259=25.75,"high",IF(AND(K259&gt;25.15,K259&lt;25.75),"normal","up"))))</f>
        <v>normal</v>
      </c>
      <c r="C259" t="str">
        <f>IF(K259&lt;25.15,"down",IF(K259=25.15,"low",IF(K259=25.75,"high",IF(AND(K259&gt;25.15,K259&lt;25.75),"normal","up"))))</f>
        <v>normal</v>
      </c>
      <c r="D259" t="str">
        <f>IF(K259&lt;25.15,"down",IF(K259=25.15,"low",IF(K259=25.75,"high",IF(AND(K259&gt;25.15,K259&lt;25.75),"normal","up"))))</f>
        <v>normal</v>
      </c>
      <c r="E259" t="str">
        <f>IF(K259&lt;25.15,"down",IF(K259=25.15,"low",IF(K259=30.95,"high",IF(AND(K259&gt;25.15,K259&lt;30.95),"normal","up"))))</f>
        <v>normal</v>
      </c>
      <c r="F259" t="str">
        <f>IF(P259&lt;25.6,"PVP-down",IF(P259=25.6,25.6,IF(P259&gt;25.6,"PVP-up")))</f>
        <v>PVP-down</v>
      </c>
      <c r="G259" t="str">
        <f>IF(R259&lt;417,"PVV-down",IF(R259=417,417,IF(R259&gt;417,"PVV-up")))</f>
        <v>PVV-up</v>
      </c>
      <c r="H259" s="3">
        <f t="shared" si="34"/>
        <v>1.4031986115572315E-3</v>
      </c>
      <c r="I259">
        <f>[1]!'2905.PreviousPrice'</f>
        <v>25.55</v>
      </c>
      <c r="J259">
        <f>[1]!'2905.PreOpenPrice'</f>
        <v>25.2</v>
      </c>
      <c r="K259">
        <f>[1]!'2905.Open'</f>
        <v>25.3</v>
      </c>
      <c r="L259">
        <f>[1]!'2905.Change'</f>
        <v>-0.35</v>
      </c>
      <c r="M259">
        <f>[1]!'2905.ChangePercent'</f>
        <v>-1.37E-2</v>
      </c>
      <c r="N259">
        <f>[1]!'2905.BidPrice'</f>
        <v>25.15</v>
      </c>
      <c r="O259">
        <f>[1]!'2905.AskPrice'</f>
        <v>25.2</v>
      </c>
      <c r="P259">
        <f>[1]!'2905.Price'</f>
        <v>25.2</v>
      </c>
      <c r="Q259">
        <f>[1]!'2905.Volume'</f>
        <v>36</v>
      </c>
      <c r="R259">
        <f>[1]!'2905.CumulativeVolume'</f>
        <v>1160</v>
      </c>
      <c r="S259">
        <f>[1]!'2905.PreviousVolume'</f>
        <v>1268</v>
      </c>
      <c r="T259">
        <f t="shared" si="35"/>
        <v>-3.9525691699605304E-3</v>
      </c>
      <c r="U259">
        <f>((T259*AB259)*D4)</f>
        <v>-2.9508622531306383E-2</v>
      </c>
      <c r="V259" s="5">
        <f t="shared" si="36"/>
        <v>0</v>
      </c>
      <c r="W259" s="5">
        <f t="shared" si="37"/>
        <v>907199.99999999988</v>
      </c>
      <c r="X259">
        <v>2905</v>
      </c>
      <c r="Y259" s="5">
        <v>8266826880</v>
      </c>
      <c r="Z259" s="3">
        <f>((D2*AB259)/P259)/10</f>
        <v>2.9889542860592127E-2</v>
      </c>
      <c r="AA259" s="3">
        <f>((M259*AB259)*D2)</f>
        <v>-0.10319065777190826</v>
      </c>
      <c r="AB259" s="3">
        <f>AE259/AE323</f>
        <v>5.8416044678681676E-4</v>
      </c>
      <c r="AC259" s="3">
        <f>AF259/AF323</f>
        <v>5.8677098814966465E-4</v>
      </c>
      <c r="AD259" s="5">
        <f t="shared" si="38"/>
        <v>20832403737.599998</v>
      </c>
      <c r="AE259" s="5">
        <f t="shared" si="39"/>
        <v>20832403737.599998</v>
      </c>
      <c r="AF259" s="5">
        <f t="shared" si="40"/>
        <v>21121742678.400002</v>
      </c>
      <c r="AG259">
        <f t="shared" si="41"/>
        <v>0</v>
      </c>
      <c r="AH259" t="str">
        <f t="shared" si="42"/>
        <v>DAM10-50</v>
      </c>
      <c r="AI259">
        <f t="shared" si="43"/>
        <v>0</v>
      </c>
      <c r="AJ259">
        <f t="shared" si="44"/>
        <v>0</v>
      </c>
      <c r="AK259" t="str">
        <f>IF(Q259&lt;135,"down",IF(Q259=135,135,IF(Q259&gt;135,"up")))</f>
        <v>down</v>
      </c>
    </row>
    <row r="260" spans="1:37" x14ac:dyDescent="0.25">
      <c r="A260">
        <f>IF(X260=1536,1536,"Error")</f>
        <v>1536</v>
      </c>
      <c r="B260" t="str">
        <f>IF(K260&lt;95.3,"down",IF(K260=95.3,"low",IF(K260=97.5,"high",IF(AND(K260&gt;95.3,K260&lt;97.5),"normal","up"))))</f>
        <v>normal</v>
      </c>
      <c r="C260" t="str">
        <f>IF(K260&lt;95.3,"down",IF(K260=95.3,"low",IF(K260=97.5,"high",IF(AND(K260&gt;95.3,K260&lt;97.5),"normal","up"))))</f>
        <v>normal</v>
      </c>
      <c r="D260" t="str">
        <f>IF(K260&lt;95.3,"down",IF(K260=95.3,"low",IF(K260=97.5,"high",IF(AND(K260&gt;95.3,K260&lt;97.5),"normal","up"))))</f>
        <v>normal</v>
      </c>
      <c r="E260" t="str">
        <f>IF(K260&lt;93.3,"down",IF(K260=93.3,"low",IF(K260=99.4,"high",IF(AND(K260&gt;93.3,K260&lt;99.4),"normal","up"))))</f>
        <v>normal</v>
      </c>
      <c r="F260" t="str">
        <f>IF(P260&lt;95.5,"PVP-down",IF(P260=95.5,95.5,IF(P260&gt;95.5,"PVP-up")))</f>
        <v>PVP-up</v>
      </c>
      <c r="G260" t="str">
        <f>IF(R260&lt;217,"PVV-down",IF(R260=217,217,IF(R260&gt;217,"PVV-up")))</f>
        <v>PVV-up</v>
      </c>
      <c r="H260" s="3">
        <f t="shared" si="34"/>
        <v>3.7575035394369393E-3</v>
      </c>
      <c r="I260">
        <f>[1]!'1536.PreviousPrice'</f>
        <v>95.9</v>
      </c>
      <c r="J260">
        <f>[1]!'1536.PreOpenPrice'</f>
        <v>97.8</v>
      </c>
      <c r="K260">
        <f>[1]!'1536.Open'</f>
        <v>96.1</v>
      </c>
      <c r="L260">
        <f>[1]!'1536.Change'</f>
        <v>1.9</v>
      </c>
      <c r="M260">
        <f>[1]!'1536.ChangePercent'</f>
        <v>1.9800000000000002E-2</v>
      </c>
      <c r="N260">
        <f>[1]!'1536.BidPrice'</f>
        <v>97.5</v>
      </c>
      <c r="O260">
        <f>[1]!'1536.AskPrice'</f>
        <v>97.8</v>
      </c>
      <c r="P260">
        <f>[1]!'1536.Price'</f>
        <v>97.8</v>
      </c>
      <c r="Q260">
        <f>[1]!'1536.Volume'</f>
        <v>97</v>
      </c>
      <c r="R260">
        <f>[1]!'1536.CumulativeVolume'</f>
        <v>958</v>
      </c>
      <c r="S260">
        <f>[1]!'1536.PreviousVolume'</f>
        <v>1293</v>
      </c>
      <c r="T260">
        <f t="shared" si="35"/>
        <v>1.768990634755466E-2</v>
      </c>
      <c r="U260">
        <f>((T260*AB260)*D4)</f>
        <v>0.15807404754388188</v>
      </c>
      <c r="V260" s="5">
        <f t="shared" si="36"/>
        <v>0</v>
      </c>
      <c r="W260" s="5">
        <f t="shared" si="37"/>
        <v>9486600</v>
      </c>
      <c r="X260">
        <v>1536</v>
      </c>
      <c r="Y260" s="5">
        <v>2549565130</v>
      </c>
      <c r="Z260" s="3">
        <f>((D2*AB260)/P260)/10</f>
        <v>9.21820879222357E-3</v>
      </c>
      <c r="AA260" s="3">
        <f>((M260*AB260)*D2)</f>
        <v>0.1785050823361341</v>
      </c>
      <c r="AB260" s="3">
        <f>AE260/AE323</f>
        <v>6.9919405915888405E-4</v>
      </c>
      <c r="AC260" s="3">
        <f>AF260/AF323</f>
        <v>6.7924054735844536E-4</v>
      </c>
      <c r="AD260" s="5">
        <f t="shared" si="38"/>
        <v>24934746971.400002</v>
      </c>
      <c r="AE260" s="5">
        <f t="shared" si="39"/>
        <v>24934746971.400002</v>
      </c>
      <c r="AF260" s="5">
        <f t="shared" si="40"/>
        <v>24450329596.700001</v>
      </c>
      <c r="AG260">
        <f t="shared" si="41"/>
        <v>0</v>
      </c>
      <c r="AH260">
        <f t="shared" si="42"/>
        <v>0</v>
      </c>
      <c r="AI260" t="str">
        <f t="shared" si="43"/>
        <v>UAM50</v>
      </c>
      <c r="AJ260">
        <f t="shared" si="44"/>
        <v>0</v>
      </c>
      <c r="AK260" t="str">
        <f>IF(Q260&lt;24,"down",IF(Q260=24,24,IF(Q260&gt;24,"up")))</f>
        <v>up</v>
      </c>
    </row>
    <row r="261" spans="1:37" x14ac:dyDescent="0.25">
      <c r="A261">
        <f>IF(X261=1503,1503,"Error")</f>
        <v>1503</v>
      </c>
      <c r="B261" t="str">
        <f>IF(K261&lt;45.6,"down",IF(K261=45.6,"low",IF(K261=46.8,"high",IF(AND(K261&gt;45.6,K261&lt;46.8),"normal","up"))))</f>
        <v>up</v>
      </c>
      <c r="C261" t="str">
        <f>IF(K261&lt;45.6,"down",IF(K261=45.6,"low",IF(K261=46.8,"high",IF(AND(K261&gt;45.6,K261&lt;46.8),"normal","up"))))</f>
        <v>up</v>
      </c>
      <c r="D261" t="str">
        <f>IF(K261&lt;45.6,"down",IF(K261=45.6,"low",IF(K261=46.8,"high",IF(AND(K261&gt;45.6,K261&lt;46.8),"normal","up"))))</f>
        <v>up</v>
      </c>
      <c r="E261" t="str">
        <f>IF(K261&lt;45.1,"down",IF(K261=45.1,"low",IF(K261=46.8,"high",IF(AND(K261&gt;45.1,K261&lt;46.8),"normal","up"))))</f>
        <v>up</v>
      </c>
      <c r="F261" t="str">
        <f>IF(P261&lt;46.1,"PVP-down",IF(P261=46.1,46.1,IF(P261&gt;46.1,"PVP-up")))</f>
        <v>PVP-up</v>
      </c>
      <c r="G261" t="str">
        <f>IF(R261&lt;62,"PVV-down",IF(R261=62,62,IF(R261&gt;62,"PVV-up")))</f>
        <v>PVV-up</v>
      </c>
      <c r="H261" s="3">
        <f t="shared" si="34"/>
        <v>3.9925353179530264E-4</v>
      </c>
      <c r="I261">
        <f>[1]!'1503.PreviousPrice'</f>
        <v>46.55</v>
      </c>
      <c r="J261">
        <f>[1]!'1503.PreOpenPrice'</f>
        <v>46.35</v>
      </c>
      <c r="K261">
        <f>[1]!'1503.Open'</f>
        <v>47.15</v>
      </c>
      <c r="L261">
        <f>[1]!'1503.Change'</f>
        <v>-0.2</v>
      </c>
      <c r="M261">
        <f>[1]!'1503.ChangePercent'</f>
        <v>-4.3E-3</v>
      </c>
      <c r="N261">
        <f>[1]!'1503.BidPrice'</f>
        <v>46.3</v>
      </c>
      <c r="O261">
        <f>[1]!'1503.AskPrice'</f>
        <v>46.35</v>
      </c>
      <c r="P261">
        <f>[1]!'1503.Price'</f>
        <v>46.35</v>
      </c>
      <c r="Q261">
        <f>[1]!'1503.Volume'</f>
        <v>8</v>
      </c>
      <c r="R261">
        <f>[1]!'1503.CumulativeVolume'</f>
        <v>208</v>
      </c>
      <c r="S261">
        <f>[1]!'1503.PreviousVolume'</f>
        <v>238</v>
      </c>
      <c r="T261">
        <f t="shared" si="35"/>
        <v>-1.6967126193001E-2</v>
      </c>
      <c r="U261">
        <f>((T261*AB261)*D4)</f>
        <v>-0.14682589987243627</v>
      </c>
      <c r="V261" s="5">
        <f t="shared" si="36"/>
        <v>0</v>
      </c>
      <c r="W261" s="5">
        <f t="shared" si="37"/>
        <v>370800</v>
      </c>
      <c r="X261">
        <v>1503</v>
      </c>
      <c r="Y261" s="5">
        <v>5209722230</v>
      </c>
      <c r="Z261" s="3">
        <f>((D2*AB261)/P261)/10</f>
        <v>1.8836273959249108E-2</v>
      </c>
      <c r="AA261" s="3">
        <f>((M261*AB261)*D2)</f>
        <v>-3.7541635814481437E-2</v>
      </c>
      <c r="AB261" s="3">
        <f>AE261/AE323</f>
        <v>6.7710663720427818E-4</v>
      </c>
      <c r="AC261" s="3">
        <f>AF261/AF323</f>
        <v>6.7371022548057052E-4</v>
      </c>
      <c r="AD261" s="5">
        <f t="shared" si="38"/>
        <v>24147062536.049999</v>
      </c>
      <c r="AE261" s="5">
        <f t="shared" si="39"/>
        <v>24147062536.049999</v>
      </c>
      <c r="AF261" s="5">
        <f t="shared" si="40"/>
        <v>24251256980.650002</v>
      </c>
      <c r="AG261">
        <f t="shared" si="41"/>
        <v>0</v>
      </c>
      <c r="AH261" t="str">
        <f t="shared" si="42"/>
        <v>DAL10</v>
      </c>
      <c r="AI261">
        <f t="shared" si="43"/>
        <v>0</v>
      </c>
      <c r="AJ261">
        <f t="shared" si="44"/>
        <v>0</v>
      </c>
      <c r="AK261" t="str">
        <f>IF(Q261&lt;0,"down",IF(Q261=0,0,IF(Q261&gt;0,"up")))</f>
        <v>up</v>
      </c>
    </row>
    <row r="262" spans="1:37" x14ac:dyDescent="0.25">
      <c r="A262">
        <f>IF(X262=2006,2006,"Error")</f>
        <v>2006</v>
      </c>
      <c r="B262" t="str">
        <f>IF(K262&lt;23.8,"down",IF(K262=23.8,"low",IF(K262=24.3,"high",IF(AND(K262&gt;23.8,K262&lt;24.3),"normal","up"))))</f>
        <v>high</v>
      </c>
      <c r="C262" t="str">
        <f>IF(K262&lt;23.8,"down",IF(K262=23.8,"low",IF(K262=24.3,"high",IF(AND(K262&gt;23.8,K262&lt;24.3),"normal","up"))))</f>
        <v>high</v>
      </c>
      <c r="D262" t="str">
        <f>IF(K262&lt;23.8,"down",IF(K262=23.8,"low",IF(K262=24.3,"high",IF(AND(K262&gt;23.8,K262&lt;24.3),"normal","up"))))</f>
        <v>high</v>
      </c>
      <c r="E262" t="str">
        <f>IF(K262&lt;23.55,"down",IF(K262=23.55,"low",IF(K262=24.3,"high",IF(AND(K262&gt;23.55,K262&lt;24.3),"normal","up"))))</f>
        <v>high</v>
      </c>
      <c r="F262" t="str">
        <f>IF(P262&lt;24.15,"PVP-down",IF(P262=24.15,24.15,IF(P262&gt;24.15,"PVP-up")))</f>
        <v>PVP-up</v>
      </c>
      <c r="G262" t="str">
        <f>IF(R262&lt;912,"PVV-down",IF(R262=912,912,IF(R262&gt;912,"PVV-up")))</f>
        <v>PVV-up</v>
      </c>
      <c r="H262" s="3">
        <f t="shared" si="34"/>
        <v>4.2467555902760802E-3</v>
      </c>
      <c r="I262">
        <f>[1]!'2006.PreviousPrice'</f>
        <v>24.15</v>
      </c>
      <c r="J262">
        <f>[1]!'2006.PreOpenPrice'</f>
        <v>24.55</v>
      </c>
      <c r="K262">
        <f>[1]!'2006.Open'</f>
        <v>24.3</v>
      </c>
      <c r="L262">
        <f>[1]!'2006.Change'</f>
        <v>0.4</v>
      </c>
      <c r="M262">
        <f>[1]!'2006.ChangePercent'</f>
        <v>1.66E-2</v>
      </c>
      <c r="N262">
        <f>[1]!'2006.BidPrice'</f>
        <v>24.5</v>
      </c>
      <c r="O262">
        <f>[1]!'2006.AskPrice'</f>
        <v>24.55</v>
      </c>
      <c r="P262">
        <f>[1]!'2006.Price'</f>
        <v>24.55</v>
      </c>
      <c r="Q262">
        <f>[1]!'2006.Volume'</f>
        <v>181</v>
      </c>
      <c r="R262">
        <f>[1]!'2006.CumulativeVolume'</f>
        <v>4264</v>
      </c>
      <c r="S262">
        <f>[1]!'2006.PreviousVolume'</f>
        <v>2823</v>
      </c>
      <c r="T262">
        <f t="shared" si="35"/>
        <v>1.0288065843621399E-2</v>
      </c>
      <c r="U262">
        <f>((T262*AB262)*D4)</f>
        <v>9.0881447353785061E-2</v>
      </c>
      <c r="V262" s="5">
        <f t="shared" si="36"/>
        <v>0</v>
      </c>
      <c r="W262" s="5">
        <f t="shared" si="37"/>
        <v>4443550</v>
      </c>
      <c r="X262">
        <v>2006</v>
      </c>
      <c r="Y262" s="5">
        <v>10040606080</v>
      </c>
      <c r="Z262" s="3">
        <f>((D2*AB262)/P262)/10</f>
        <v>3.6302819707104098E-2</v>
      </c>
      <c r="AA262" s="3">
        <f>((M262*AB262)*D2)</f>
        <v>0.14794488115236135</v>
      </c>
      <c r="AB262" s="3">
        <f>AE262/AE323</f>
        <v>6.9120073197565196E-4</v>
      </c>
      <c r="AC262" s="3">
        <f>AF262/AF323</f>
        <v>6.7362151432028786E-4</v>
      </c>
      <c r="AD262" s="5">
        <f t="shared" si="38"/>
        <v>24649687926.400002</v>
      </c>
      <c r="AE262" s="5">
        <f t="shared" si="39"/>
        <v>24649687926.400002</v>
      </c>
      <c r="AF262" s="5">
        <f t="shared" si="40"/>
        <v>24248063683.200001</v>
      </c>
      <c r="AG262">
        <f t="shared" si="41"/>
        <v>0</v>
      </c>
      <c r="AH262">
        <f t="shared" si="42"/>
        <v>0</v>
      </c>
      <c r="AI262" t="str">
        <f t="shared" si="43"/>
        <v>UAM150</v>
      </c>
      <c r="AJ262">
        <f t="shared" si="44"/>
        <v>0</v>
      </c>
      <c r="AK262" t="str">
        <f>IF(Q262&lt;21,"down",IF(Q262=21,21,IF(Q262&gt;21,"up")))</f>
        <v>up</v>
      </c>
    </row>
    <row r="263" spans="1:37" x14ac:dyDescent="0.25">
      <c r="A263">
        <f>IF(X263=2548,2548,"Error")</f>
        <v>2548</v>
      </c>
      <c r="B263" t="str">
        <f>IF(K263&lt;85.9,"down",IF(K263=85.9,"low",IF(K263=86.5,"high",IF(AND(K263&gt;85.9,K263&lt;86.5),"normal","up"))))</f>
        <v>up</v>
      </c>
      <c r="C263" t="str">
        <f>IF(K263&lt;85.9,"down",IF(K263=85.9,"low",IF(K263=86.5,"high",IF(AND(K263&gt;85.9,K263&lt;86.5),"normal","up"))))</f>
        <v>up</v>
      </c>
      <c r="D263" t="str">
        <f>IF(K263&lt;85.9,"down",IF(K263=85.9,"low",IF(K263=86.5,"high",IF(AND(K263&gt;85.9,K263&lt;86.5),"normal","up"))))</f>
        <v>up</v>
      </c>
      <c r="E263" t="str">
        <f>IF(K263&lt;84.2,"down",IF(K263=84.2,"low",IF(K263=88,"high",IF(AND(K263&gt;84.2,K263&lt;88),"normal","up"))))</f>
        <v>normal</v>
      </c>
      <c r="F263" t="str">
        <f>IF(P263&lt;86,"PVP-down",IF(P263=86,86,IF(P263&gt;86,"PVP-up")))</f>
        <v>PVP-up</v>
      </c>
      <c r="G263" t="str">
        <f>IF(R263&lt;233,"PVV-down",IF(R263=233,233,IF(R263&gt;233,"PVV-up")))</f>
        <v>PVV-up</v>
      </c>
      <c r="H263" s="3">
        <f t="shared" si="34"/>
        <v>5.4296636636568503E-3</v>
      </c>
      <c r="I263">
        <f>[1]!'2548.PreviousPrice'</f>
        <v>86.2</v>
      </c>
      <c r="J263">
        <f>[1]!'2548.PreOpenPrice'</f>
        <v>87.2</v>
      </c>
      <c r="K263">
        <f>[1]!'2548.Open'</f>
        <v>86.6</v>
      </c>
      <c r="L263">
        <f>[1]!'2548.Change'</f>
        <v>1</v>
      </c>
      <c r="M263">
        <f>[1]!'2548.ChangePercent'</f>
        <v>1.1599999999999999E-2</v>
      </c>
      <c r="N263">
        <f>[1]!'2548.BidPrice'</f>
        <v>87.2</v>
      </c>
      <c r="O263">
        <f>[1]!'2548.AskPrice'</f>
        <v>87.3</v>
      </c>
      <c r="P263">
        <f>[1]!'2548.Price'</f>
        <v>87.2</v>
      </c>
      <c r="Q263">
        <f>[1]!'2548.Volume'</f>
        <v>38</v>
      </c>
      <c r="R263">
        <f>[1]!'2548.CumulativeVolume'</f>
        <v>1503</v>
      </c>
      <c r="S263">
        <f>[1]!'2548.PreviousVolume'</f>
        <v>715</v>
      </c>
      <c r="T263">
        <f t="shared" si="35"/>
        <v>6.9284064665128013E-3</v>
      </c>
      <c r="U263">
        <f>((T263*AB263)*D4)</f>
        <v>5.9932993477993898E-2</v>
      </c>
      <c r="V263" s="5">
        <f t="shared" si="36"/>
        <v>3313600</v>
      </c>
      <c r="W263" s="5">
        <f t="shared" si="37"/>
        <v>0</v>
      </c>
      <c r="X263">
        <v>2548</v>
      </c>
      <c r="Y263" s="5">
        <v>2768127260</v>
      </c>
      <c r="Z263" s="3">
        <f>((D2*AB263)/P263)/10</f>
        <v>1.0008442124451922E-2</v>
      </c>
      <c r="AA263" s="3">
        <f>((M263*AB263)*D2)</f>
        <v>0.10123739377725607</v>
      </c>
      <c r="AB263" s="3">
        <f>AE263/AE323</f>
        <v>6.7685446971630801E-4</v>
      </c>
      <c r="AC263" s="3">
        <f>AF263/AF323</f>
        <v>6.6287585974948585E-4</v>
      </c>
      <c r="AD263" s="5">
        <f t="shared" si="38"/>
        <v>24138069707.200001</v>
      </c>
      <c r="AE263" s="5">
        <f t="shared" si="39"/>
        <v>24138069707.200001</v>
      </c>
      <c r="AF263" s="5">
        <f t="shared" si="40"/>
        <v>23861256981.200001</v>
      </c>
      <c r="AG263">
        <f t="shared" si="41"/>
        <v>0</v>
      </c>
      <c r="AH263">
        <f t="shared" si="42"/>
        <v>0</v>
      </c>
      <c r="AI263">
        <f t="shared" si="43"/>
        <v>0</v>
      </c>
      <c r="AJ263" t="str">
        <f t="shared" si="44"/>
        <v>UBM10-50</v>
      </c>
      <c r="AK263" t="str">
        <f>IF(Q263&lt;13,"down",IF(Q263=13,13,IF(Q263&gt;13,"up")))</f>
        <v>up</v>
      </c>
    </row>
    <row r="264" spans="1:37" x14ac:dyDescent="0.25">
      <c r="A264">
        <f>IF(X264=2606,2606,"Error")</f>
        <v>2606</v>
      </c>
      <c r="B264" t="str">
        <f>IF(K264&lt;27.9,"down",IF(K264=27.9,"low",IF(K264=29.5,"high",IF(AND(K264&gt;27.9,K264&lt;29.5),"normal","up"))))</f>
        <v>up</v>
      </c>
      <c r="C264" t="str">
        <f>IF(K264&lt;27.9,"down",IF(K264=27.9,"low",IF(K264=29.5,"high",IF(AND(K264&gt;27.9,K264&lt;29.5),"normal","up"))))</f>
        <v>up</v>
      </c>
      <c r="D264" t="str">
        <f>IF(K264&lt;27.9,"down",IF(K264=27.9,"low",IF(K264=29.5,"high",IF(AND(K264&gt;27.9,K264&lt;29.5),"normal","up"))))</f>
        <v>up</v>
      </c>
      <c r="E264" t="str">
        <f>IF(K264&lt;27.2,"down",IF(K264=27.2,"low",IF(K264=29.5,"high",IF(AND(K264&gt;27.2,K264&lt;29.5),"normal","up"))))</f>
        <v>up</v>
      </c>
      <c r="F264" t="str">
        <f>IF(P264&lt;29.1,"PVP-down",IF(P264=29.1,29.1,IF(P264&gt;29.1,"PVP-up")))</f>
        <v>PVP-up</v>
      </c>
      <c r="G264" t="str">
        <f>IF(R264&lt;469,"PVV-down",IF(R264=469,469,IF(R264&gt;469,"PVV-up")))</f>
        <v>PVV-up</v>
      </c>
      <c r="H264" s="3">
        <f t="shared" si="34"/>
        <v>5.2813086008700926E-3</v>
      </c>
      <c r="I264">
        <f>[1]!'2606.PreviousPrice'</f>
        <v>29.5</v>
      </c>
      <c r="J264">
        <f>[1]!'2606.PreOpenPrice'</f>
        <v>29.8</v>
      </c>
      <c r="K264">
        <f>[1]!'2606.Open'</f>
        <v>29.65</v>
      </c>
      <c r="L264">
        <f>[1]!'2606.Change'</f>
        <v>0.3</v>
      </c>
      <c r="M264">
        <f>[1]!'2606.ChangePercent'</f>
        <v>1.0200000000000001E-2</v>
      </c>
      <c r="N264">
        <f>[1]!'2606.BidPrice'</f>
        <v>29.75</v>
      </c>
      <c r="O264">
        <f>[1]!'2606.AskPrice'</f>
        <v>29.8</v>
      </c>
      <c r="P264">
        <f>[1]!'2606.Price'</f>
        <v>29.8</v>
      </c>
      <c r="Q264">
        <f>[1]!'2606.Volume'</f>
        <v>58</v>
      </c>
      <c r="R264">
        <f>[1]!'2606.CumulativeVolume'</f>
        <v>4463</v>
      </c>
      <c r="S264">
        <f>[1]!'2606.PreviousVolume'</f>
        <v>3991</v>
      </c>
      <c r="T264">
        <f t="shared" si="35"/>
        <v>5.0590219224284022E-3</v>
      </c>
      <c r="U264">
        <f>((T264*AB264)*D4)</f>
        <v>4.5656040158504767E-2</v>
      </c>
      <c r="V264" s="5">
        <f t="shared" si="36"/>
        <v>0</v>
      </c>
      <c r="W264" s="5">
        <f t="shared" si="37"/>
        <v>1728400</v>
      </c>
      <c r="X264">
        <v>2606</v>
      </c>
      <c r="Y264" s="5">
        <v>8450557120</v>
      </c>
      <c r="Z264" s="3">
        <f>((D2*AB264)/P264)/10</f>
        <v>3.0553837996196424E-2</v>
      </c>
      <c r="AA264" s="3">
        <f>((M264*AB264)*D2)</f>
        <v>9.2871445973238667E-2</v>
      </c>
      <c r="AB264" s="3">
        <f>AE264/AE323</f>
        <v>7.061457827568276E-4</v>
      </c>
      <c r="AC264" s="3">
        <f>AF264/AF323</f>
        <v>6.9254220119468579E-4</v>
      </c>
      <c r="AD264" s="5">
        <f t="shared" si="38"/>
        <v>25182660217.599998</v>
      </c>
      <c r="AE264" s="5">
        <f t="shared" si="39"/>
        <v>25182660217.599998</v>
      </c>
      <c r="AF264" s="5">
        <f t="shared" si="40"/>
        <v>24929143504</v>
      </c>
      <c r="AG264">
        <f t="shared" si="41"/>
        <v>0</v>
      </c>
      <c r="AH264">
        <f t="shared" si="42"/>
        <v>0</v>
      </c>
      <c r="AI264" t="str">
        <f t="shared" si="43"/>
        <v>UAM50</v>
      </c>
      <c r="AJ264">
        <f t="shared" si="44"/>
        <v>0</v>
      </c>
      <c r="AK264" t="str">
        <f>IF(Q264&lt;11,"down",IF(Q264=11,11,IF(Q264&gt;11,"up")))</f>
        <v>up</v>
      </c>
    </row>
    <row r="265" spans="1:37" x14ac:dyDescent="0.25">
      <c r="A265">
        <f>IF(X265=1723,1723,"Error")</f>
        <v>1723</v>
      </c>
      <c r="B265" t="str">
        <f>IF(K265&lt;92.8,"down",IF(K265=92.8,"low",IF(K265=95.5,"high",IF(AND(K265&gt;92.8,K265&lt;95.5),"normal","up"))))</f>
        <v>normal</v>
      </c>
      <c r="C265" t="str">
        <f>IF(K265&lt;92.8,"down",IF(K265=92.8,"low",IF(K265=95.5,"high",IF(AND(K265&gt;92.8,K265&lt;95.5),"normal","up"))))</f>
        <v>normal</v>
      </c>
      <c r="D265" t="str">
        <f>IF(K265&lt;92.8,"down",IF(K265=92.8,"low",IF(K265=95.5,"high",IF(AND(K265&gt;92.8,K265&lt;95.5),"normal","up"))))</f>
        <v>normal</v>
      </c>
      <c r="E265" t="str">
        <f>IF(K265&lt;92.8,"down",IF(K265=92.8,"low",IF(K265=98.5,"high",IF(AND(K265&gt;92.8,K265&lt;98.5),"normal","up"))))</f>
        <v>normal</v>
      </c>
      <c r="F265" t="str">
        <f>IF(P265&lt;93,"PVP-down",IF(P265=93,93,IF(P265&gt;93,"PVP-up")))</f>
        <v>PVP-down</v>
      </c>
      <c r="G265" t="str">
        <f>IF(R265&lt;247,"PVV-down",IF(R265=247,247,IF(R265&gt;247,"PVV-up")))</f>
        <v>PVV-up</v>
      </c>
      <c r="H265" s="3">
        <f t="shared" si="34"/>
        <v>2.4777918931714587E-3</v>
      </c>
      <c r="I265">
        <f>[1]!'1723.PreviousPrice'</f>
        <v>93.5</v>
      </c>
      <c r="J265">
        <f>[1]!'1723.PreOpenPrice'</f>
        <v>92.9</v>
      </c>
      <c r="K265">
        <f>[1]!'1723.Open'</f>
        <v>93.5</v>
      </c>
      <c r="L265">
        <f>[1]!'1723.Change'</f>
        <v>-0.6</v>
      </c>
      <c r="M265">
        <f>[1]!'1723.ChangePercent'</f>
        <v>-6.4000000000000003E-3</v>
      </c>
      <c r="N265">
        <f>[1]!'1723.BidPrice'</f>
        <v>92.8</v>
      </c>
      <c r="O265">
        <f>[1]!'1723.AskPrice'</f>
        <v>92.9</v>
      </c>
      <c r="P265">
        <f>[1]!'1723.Price'</f>
        <v>92.9</v>
      </c>
      <c r="Q265">
        <f>[1]!'1723.Volume'</f>
        <v>3</v>
      </c>
      <c r="R265">
        <f>[1]!'1723.CumulativeVolume'</f>
        <v>587</v>
      </c>
      <c r="S265">
        <f>[1]!'1723.PreviousVolume'</f>
        <v>1188</v>
      </c>
      <c r="T265">
        <f t="shared" si="35"/>
        <v>-6.4171122994651801E-3</v>
      </c>
      <c r="U265">
        <f>((T265*AB265)*D4)</f>
        <v>-5.061260625680241E-2</v>
      </c>
      <c r="V265" s="5">
        <f t="shared" si="36"/>
        <v>0</v>
      </c>
      <c r="W265" s="5">
        <f t="shared" si="37"/>
        <v>278700.00000000006</v>
      </c>
      <c r="X265">
        <v>1723</v>
      </c>
      <c r="Y265" s="5">
        <v>2369044800</v>
      </c>
      <c r="Z265" s="3">
        <f>((D2*AB265)/P265)/10</f>
        <v>8.5655194086104898E-3</v>
      </c>
      <c r="AA265" s="3">
        <f>((M265*AB265)*D2)</f>
        <v>-5.0927152195834532E-2</v>
      </c>
      <c r="AB265" s="3">
        <f>AE265/AE323</f>
        <v>6.1713723674570694E-4</v>
      </c>
      <c r="AC265" s="3">
        <f>AF265/AF323</f>
        <v>6.1535221727165618E-4</v>
      </c>
      <c r="AD265" s="5">
        <f t="shared" si="38"/>
        <v>22008426192</v>
      </c>
      <c r="AE265" s="5">
        <f t="shared" si="39"/>
        <v>22008426192</v>
      </c>
      <c r="AF265" s="5">
        <f t="shared" si="40"/>
        <v>22150568880</v>
      </c>
      <c r="AG265">
        <f t="shared" si="41"/>
        <v>0</v>
      </c>
      <c r="AH265" t="str">
        <f t="shared" si="42"/>
        <v>DAL10</v>
      </c>
      <c r="AI265">
        <f t="shared" si="43"/>
        <v>0</v>
      </c>
      <c r="AJ265">
        <f t="shared" si="44"/>
        <v>0</v>
      </c>
      <c r="AK265" t="str">
        <f>IF(Q265&lt;47,"down",IF(Q265=47,47,IF(Q265&gt;47,"up")))</f>
        <v>down</v>
      </c>
    </row>
    <row r="266" spans="1:37" x14ac:dyDescent="0.25">
      <c r="A266">
        <f>IF(X266=8926,8926,"Error")</f>
        <v>8926</v>
      </c>
      <c r="B266" t="str">
        <f>IF(K266&lt;39.2,"down",IF(K266=39.2,"low",IF(K266=40.9,"high",IF(AND(K266&gt;39.2,K266&lt;40.9),"normal","up"))))</f>
        <v>normal</v>
      </c>
      <c r="C266" t="str">
        <f>IF(K266&lt;39.2,"down",IF(K266=39.2,"low",IF(K266=40.9,"high",IF(AND(K266&gt;39.2,K266&lt;40.9),"normal","up"))))</f>
        <v>normal</v>
      </c>
      <c r="D266" t="str">
        <f>IF(K266&lt;39.2,"down",IF(K266=39.2,"low",IF(K266=40.9,"high",IF(AND(K266&gt;39.2,K266&lt;40.9),"normal","up"))))</f>
        <v>normal</v>
      </c>
      <c r="E266" t="str">
        <f>IF(K266&lt;38.55,"down",IF(K266=38.55,"low",IF(K266=40.9,"high",IF(AND(K266&gt;38.55,K266&lt;40.9),"normal","up"))))</f>
        <v>normal</v>
      </c>
      <c r="F266" t="str">
        <f>IF(P266&lt;40.3,"PVP-down",IF(P266=40.3,40.3,IF(P266&gt;40.3,"PVP-up")))</f>
        <v>PVP-down</v>
      </c>
      <c r="G266" t="str">
        <f>IF(R266&lt;457,"PVV-down",IF(R266=457,457,IF(R266&gt;457,"PVV-up")))</f>
        <v>PVV-up</v>
      </c>
      <c r="H266" s="3">
        <f t="shared" si="34"/>
        <v>2.9725900627943949E-3</v>
      </c>
      <c r="I266">
        <f>[1]!'8926.PreviousPrice'</f>
        <v>40.15</v>
      </c>
      <c r="J266">
        <f>[1]!'8926.PreOpenPrice'</f>
        <v>39.75</v>
      </c>
      <c r="K266">
        <f>[1]!'8926.Open'</f>
        <v>40.200000000000003</v>
      </c>
      <c r="L266">
        <f>[1]!'8926.Change'</f>
        <v>-0.4</v>
      </c>
      <c r="M266">
        <f>[1]!'8926.ChangePercent'</f>
        <v>-0.01</v>
      </c>
      <c r="N266">
        <f>[1]!'8926.BidPrice'</f>
        <v>39.700000000000003</v>
      </c>
      <c r="O266">
        <f>[1]!'8926.AskPrice'</f>
        <v>39.75</v>
      </c>
      <c r="P266">
        <f>[1]!'8926.Price'</f>
        <v>39.75</v>
      </c>
      <c r="Q266">
        <f>[1]!'8926.Volume'</f>
        <v>52</v>
      </c>
      <c r="R266">
        <f>[1]!'8926.CumulativeVolume'</f>
        <v>1751</v>
      </c>
      <c r="S266">
        <f>[1]!'8926.PreviousVolume'</f>
        <v>4847</v>
      </c>
      <c r="T266">
        <f t="shared" si="35"/>
        <v>-1.1194029850746339E-2</v>
      </c>
      <c r="U266">
        <f>((T266*AB266)*D4)</f>
        <v>-9.3930101711239139E-2</v>
      </c>
      <c r="V266" s="5">
        <f t="shared" si="36"/>
        <v>0</v>
      </c>
      <c r="W266" s="5">
        <f t="shared" si="37"/>
        <v>2067000</v>
      </c>
      <c r="X266">
        <v>8926</v>
      </c>
      <c r="Y266" s="5">
        <v>5890485950</v>
      </c>
      <c r="Z266" s="3">
        <f>((D2*AB266)/P266)/10</f>
        <v>2.1297643561182293E-2</v>
      </c>
      <c r="AA266" s="3">
        <f>((M266*AB266)*D2)</f>
        <v>-8.4658133155699616E-2</v>
      </c>
      <c r="AB266" s="3">
        <f>AE266/AE323</f>
        <v>6.5656997949200884E-4</v>
      </c>
      <c r="AC266" s="3">
        <f>AF266/AF323</f>
        <v>6.5701541541682762E-4</v>
      </c>
      <c r="AD266" s="5">
        <f t="shared" si="38"/>
        <v>23414681651.25</v>
      </c>
      <c r="AE266" s="5">
        <f t="shared" si="39"/>
        <v>23414681651.25</v>
      </c>
      <c r="AF266" s="5">
        <f t="shared" si="40"/>
        <v>23650301089.25</v>
      </c>
      <c r="AG266">
        <f t="shared" si="41"/>
        <v>0</v>
      </c>
      <c r="AH266" t="str">
        <f t="shared" si="42"/>
        <v>DAM50</v>
      </c>
      <c r="AI266">
        <f t="shared" si="43"/>
        <v>0</v>
      </c>
      <c r="AJ266">
        <f t="shared" si="44"/>
        <v>0</v>
      </c>
      <c r="AK266" t="str">
        <f>IF(Q266&lt;29,"down",IF(Q266=29,29,IF(Q266&gt;29,"up")))</f>
        <v>up</v>
      </c>
    </row>
    <row r="267" spans="1:37" x14ac:dyDescent="0.25">
      <c r="A267">
        <f>IF(X267=2504,2504,"Error")</f>
        <v>2504</v>
      </c>
      <c r="B267" t="str">
        <f>IF(K267&lt;16.2,"down",IF(K267=16.2,"low",IF(K267=16.7,"high",IF(AND(K267&gt;16.2,K267&lt;16.7),"normal","up"))))</f>
        <v>normal</v>
      </c>
      <c r="C267" t="str">
        <f>IF(K267&lt;16.2,"down",IF(K267=16.2,"low",IF(K267=16.7,"high",IF(AND(K267&gt;16.2,K267&lt;16.7),"normal","up"))))</f>
        <v>normal</v>
      </c>
      <c r="D267" t="str">
        <f>IF(K267&lt;16.2,"down",IF(K267=16.2,"low",IF(K267=16.7,"high",IF(AND(K267&gt;16.2,K267&lt;16.7),"normal","up"))))</f>
        <v>normal</v>
      </c>
      <c r="E267" t="str">
        <f>IF(K267&lt;16.1,"down",IF(K267=16.1,"low",IF(K267=16.9,"high",IF(AND(K267&gt;16.1,K267&lt;16.9),"normal","up"))))</f>
        <v>normal</v>
      </c>
      <c r="F267" t="str">
        <f>IF(P267&lt;16.3,"PVP-down",IF(P267=16.3,16.3,IF(P267&gt;16.3,"PVP-up")))</f>
        <v>PVP-up</v>
      </c>
      <c r="G267" t="str">
        <f>IF(R267&lt;1023,"PVV-down",IF(R267=1023,1023,IF(R267&gt;1023,"PVV-up")))</f>
        <v>PVV-up</v>
      </c>
      <c r="H267" s="3">
        <f t="shared" si="34"/>
        <v>5.6483516627772179E-3</v>
      </c>
      <c r="I267">
        <f>[1]!'2504.PreviousPrice'</f>
        <v>16.25</v>
      </c>
      <c r="J267">
        <f>[1]!'2504.PreOpenPrice'</f>
        <v>16.5</v>
      </c>
      <c r="K267">
        <f>[1]!'2504.Open'</f>
        <v>16.399999999999999</v>
      </c>
      <c r="L267">
        <f>[1]!'2504.Change'</f>
        <v>0.25</v>
      </c>
      <c r="M267">
        <f>[1]!'2504.ChangePercent'</f>
        <v>1.54E-2</v>
      </c>
      <c r="N267">
        <f>[1]!'2504.BidPrice'</f>
        <v>16.5</v>
      </c>
      <c r="O267">
        <f>[1]!'2504.AskPrice'</f>
        <v>16.55</v>
      </c>
      <c r="P267">
        <f>[1]!'2504.Price'</f>
        <v>16.5</v>
      </c>
      <c r="Q267">
        <f>[1]!'2504.Volume'</f>
        <v>176</v>
      </c>
      <c r="R267">
        <f>[1]!'2504.CumulativeVolume'</f>
        <v>7788</v>
      </c>
      <c r="S267">
        <f>[1]!'2504.PreviousVolume'</f>
        <v>5840</v>
      </c>
      <c r="T267">
        <f t="shared" si="35"/>
        <v>6.097560975609843E-3</v>
      </c>
      <c r="U267">
        <f>((T267*AB267)*D4)</f>
        <v>4.9713505228960828E-2</v>
      </c>
      <c r="V267" s="5">
        <f t="shared" si="36"/>
        <v>2904000</v>
      </c>
      <c r="W267" s="5">
        <f t="shared" si="37"/>
        <v>0</v>
      </c>
      <c r="X267">
        <v>2504</v>
      </c>
      <c r="Y267" s="5">
        <v>13788093350</v>
      </c>
      <c r="Z267" s="3">
        <f>((D2*AB267)/P267)/10</f>
        <v>4.9852236309401263E-2</v>
      </c>
      <c r="AA267" s="3">
        <f>((M267*AB267)*D2)</f>
        <v>0.1266745324621886</v>
      </c>
      <c r="AB267" s="3">
        <f>AE267/AE323</f>
        <v>6.3794160005050467E-4</v>
      </c>
      <c r="AC267" s="3">
        <f>AF267/AF323</f>
        <v>6.2243852624544881E-4</v>
      </c>
      <c r="AD267" s="5">
        <f t="shared" si="38"/>
        <v>22750354027.5</v>
      </c>
      <c r="AE267" s="5">
        <f t="shared" si="39"/>
        <v>22750354027.5</v>
      </c>
      <c r="AF267" s="5">
        <f t="shared" si="40"/>
        <v>22405651693.75</v>
      </c>
      <c r="AG267">
        <f t="shared" si="41"/>
        <v>0</v>
      </c>
      <c r="AH267">
        <f t="shared" si="42"/>
        <v>0</v>
      </c>
      <c r="AI267">
        <f t="shared" si="43"/>
        <v>0</v>
      </c>
      <c r="AJ267" t="str">
        <f t="shared" si="44"/>
        <v>UBM150</v>
      </c>
      <c r="AK267" t="str">
        <f>IF(Q267&lt;49,"down",IF(Q267=49,49,IF(Q267&gt;49,"up")))</f>
        <v>up</v>
      </c>
    </row>
    <row r="268" spans="1:37" x14ac:dyDescent="0.25">
      <c r="A268">
        <f>IF(X268=1907,1907,"Error")</f>
        <v>1907</v>
      </c>
      <c r="B268" t="str">
        <f>IF(K268&lt;13.85,"down",IF(K268=13.85,"low",IF(K268=14.15,"high",IF(AND(K268&gt;13.85,K268&lt;14.15),"normal","up"))))</f>
        <v>up</v>
      </c>
      <c r="C268" t="str">
        <f>IF(K268&lt;13.85,"down",IF(K268=13.85,"low",IF(K268=14.15,"high",IF(AND(K268&gt;13.85,K268&lt;14.15),"normal","up"))))</f>
        <v>up</v>
      </c>
      <c r="D268" t="str">
        <f>IF(K268&lt;13.85,"down",IF(K268=13.85,"low",IF(K268=14.15,"high",IF(AND(K268&gt;13.85,K268&lt;14.15),"normal","up"))))</f>
        <v>up</v>
      </c>
      <c r="E268" t="str">
        <f>IF(K268&lt;13.55,"down",IF(K268=13.55,"low",IF(K268=14.15,"high",IF(AND(K268&gt;13.55,K268&lt;14.15),"normal","up"))))</f>
        <v>up</v>
      </c>
      <c r="F268" t="str">
        <f>IF(P268&lt;14,"PVP-down",IF(P268=14,14,IF(P268&gt;14,"PVP-up")))</f>
        <v>PVP-up</v>
      </c>
      <c r="G268" t="str">
        <f>IF(R268&lt;1494,"PVV-down",IF(R268=1494,1494,IF(R268&gt;1494,"PVV-up")))</f>
        <v>PVV-up</v>
      </c>
      <c r="H268" s="3">
        <f t="shared" si="34"/>
        <v>1.5472441003331003E-3</v>
      </c>
      <c r="I268">
        <f>[1]!'1907.PreviousPrice'</f>
        <v>14.1</v>
      </c>
      <c r="J268">
        <f>[1]!'1907.PreOpenPrice'</f>
        <v>14.05</v>
      </c>
      <c r="K268">
        <f>[1]!'1907.Open'</f>
        <v>14.2</v>
      </c>
      <c r="L268">
        <f>[1]!'1907.Change'</f>
        <v>-0.05</v>
      </c>
      <c r="M268">
        <f>[1]!'1907.ChangePercent'</f>
        <v>-3.5000000000000001E-3</v>
      </c>
      <c r="N268">
        <f>[1]!'1907.BidPrice'</f>
        <v>14.05</v>
      </c>
      <c r="O268">
        <f>[1]!'1907.AskPrice'</f>
        <v>14.1</v>
      </c>
      <c r="P268">
        <f>[1]!'1907.Price'</f>
        <v>14.05</v>
      </c>
      <c r="Q268">
        <f>[1]!'1907.Volume'</f>
        <v>85</v>
      </c>
      <c r="R268">
        <f>[1]!'1907.CumulativeVolume'</f>
        <v>2569</v>
      </c>
      <c r="S268">
        <f>[1]!'1907.PreviousVolume'</f>
        <v>4488</v>
      </c>
      <c r="T268">
        <f t="shared" si="35"/>
        <v>-1.0563380281690042E-2</v>
      </c>
      <c r="U268">
        <f>((T268*AB268)*D4)</f>
        <v>-8.8310955200015417E-2</v>
      </c>
      <c r="V268" s="5">
        <f t="shared" si="36"/>
        <v>1194250</v>
      </c>
      <c r="W268" s="5">
        <f t="shared" si="37"/>
        <v>0</v>
      </c>
      <c r="X268">
        <v>1907</v>
      </c>
      <c r="Y268" s="5">
        <v>16603714950</v>
      </c>
      <c r="Z268" s="3">
        <f>((D2*AB268)/P268)/10</f>
        <v>6.0032398990201095E-2</v>
      </c>
      <c r="AA268" s="3">
        <f>((M268*AB268)*D2)</f>
        <v>-2.9520932203431393E-2</v>
      </c>
      <c r="AB268" s="3">
        <f>AE268/AE323</f>
        <v>6.5414549853600541E-4</v>
      </c>
      <c r="AC268" s="3">
        <f>AF268/AF323</f>
        <v>6.5037414340642237E-4</v>
      </c>
      <c r="AD268" s="5">
        <f t="shared" si="38"/>
        <v>23328219504.75</v>
      </c>
      <c r="AE268" s="5">
        <f t="shared" si="39"/>
        <v>23328219504.75</v>
      </c>
      <c r="AF268" s="5">
        <f t="shared" si="40"/>
        <v>23411238079.5</v>
      </c>
      <c r="AG268" t="str">
        <f t="shared" si="41"/>
        <v>DBM50</v>
      </c>
      <c r="AH268">
        <f t="shared" si="42"/>
        <v>0</v>
      </c>
      <c r="AI268">
        <f t="shared" si="43"/>
        <v>0</v>
      </c>
      <c r="AJ268">
        <f t="shared" si="44"/>
        <v>0</v>
      </c>
      <c r="AK268" t="str">
        <f>IF(Q268&lt;43,"down",IF(Q268=43,43,IF(Q268&gt;43,"up")))</f>
        <v>up</v>
      </c>
    </row>
    <row r="269" spans="1:37" x14ac:dyDescent="0.25">
      <c r="A269">
        <f>IF(X269=1507,1507,"Error")</f>
        <v>1507</v>
      </c>
      <c r="B269" t="str">
        <f>IF(K269&lt;54,"down",IF(K269=54,"low",IF(K269=54.5,"high",IF(AND(K269&gt;54,K269&lt;54.5),"normal","up"))))</f>
        <v>normal</v>
      </c>
      <c r="C269" t="str">
        <f>IF(K269&lt;54,"down",IF(K269=54,"low",IF(K269=54.5,"high",IF(AND(K269&gt;54,K269&lt;54.5),"normal","up"))))</f>
        <v>normal</v>
      </c>
      <c r="D269" t="str">
        <f>IF(K269&lt;54,"down",IF(K269=54,"low",IF(K269=54.5,"high",IF(AND(K269&gt;54,K269&lt;54.5),"normal","up"))))</f>
        <v>normal</v>
      </c>
      <c r="E269" t="str">
        <f>IF(K269&lt;54,"down",IF(K269=54,"low",IF(K269=55,"high",IF(AND(K269&gt;54,K269&lt;55),"normal","up"))))</f>
        <v>normal</v>
      </c>
      <c r="F269" t="str">
        <f>IF(P269&lt;54.2,"PVP-down",IF(P269=54.2,54.2,IF(P269&gt;54.2,"PVP-up")))</f>
        <v>PVP-up</v>
      </c>
      <c r="G269" t="str">
        <f>IF(R269&lt;14,"PVV-down",IF(R269=14,14,IF(R269&gt;14,"PVV-up")))</f>
        <v>PVV-up</v>
      </c>
      <c r="H269" s="3">
        <f t="shared" si="34"/>
        <v>8.3491553478409037E-4</v>
      </c>
      <c r="I269">
        <f>[1]!'1507.PreviousPrice'</f>
        <v>54.2</v>
      </c>
      <c r="J269">
        <f>[1]!'1507.PreOpenPrice'</f>
        <v>55.8</v>
      </c>
      <c r="K269">
        <f>[1]!'1507.Open'</f>
        <v>54.4</v>
      </c>
      <c r="L269">
        <f>[1]!'1507.Change'</f>
        <v>1.6</v>
      </c>
      <c r="M269">
        <f>[1]!'1507.ChangePercent'</f>
        <v>2.9499999999999998E-2</v>
      </c>
      <c r="N269">
        <f>[1]!'1507.BidPrice'</f>
        <v>55.7</v>
      </c>
      <c r="O269">
        <f>[1]!'1507.AskPrice'</f>
        <v>55.8</v>
      </c>
      <c r="P269">
        <f>[1]!'1507.Price'</f>
        <v>55.8</v>
      </c>
      <c r="Q269">
        <f>[1]!'1507.Volume'</f>
        <v>7</v>
      </c>
      <c r="R269">
        <f>[1]!'1507.CumulativeVolume'</f>
        <v>343</v>
      </c>
      <c r="S269">
        <f>[1]!'1507.PreviousVolume'</f>
        <v>28</v>
      </c>
      <c r="T269">
        <f t="shared" si="35"/>
        <v>2.5735294117647033E-2</v>
      </c>
      <c r="U269">
        <f>((T269*AB269)*D4)</f>
        <v>0.21141947383195775</v>
      </c>
      <c r="V269" s="5">
        <f t="shared" si="36"/>
        <v>0</v>
      </c>
      <c r="W269" s="5">
        <f t="shared" si="37"/>
        <v>390599.99999999994</v>
      </c>
      <c r="X269">
        <v>1507</v>
      </c>
      <c r="Y269" s="5">
        <v>4108200000</v>
      </c>
      <c r="Z269" s="3">
        <f>((D2*AB269)/P269)/10</f>
        <v>1.4853609705672774E-2</v>
      </c>
      <c r="AA269" s="3">
        <f>((M269*AB269)*D2)</f>
        <v>0.24450526936507946</v>
      </c>
      <c r="AB269" s="3">
        <f>AE269/AE323</f>
        <v>6.4280395655075284E-4</v>
      </c>
      <c r="AC269" s="3">
        <f>AF269/AF323</f>
        <v>6.1857127735110188E-4</v>
      </c>
      <c r="AD269" s="5">
        <f t="shared" si="38"/>
        <v>22923756000</v>
      </c>
      <c r="AE269" s="5">
        <f t="shared" si="39"/>
        <v>22923756000</v>
      </c>
      <c r="AF269" s="5">
        <f t="shared" si="40"/>
        <v>22266444000</v>
      </c>
      <c r="AG269">
        <f t="shared" si="41"/>
        <v>0</v>
      </c>
      <c r="AH269">
        <f t="shared" si="42"/>
        <v>0</v>
      </c>
      <c r="AI269" t="str">
        <f t="shared" si="43"/>
        <v>UAL10</v>
      </c>
      <c r="AJ269">
        <f t="shared" si="44"/>
        <v>0</v>
      </c>
      <c r="AK269" t="str">
        <f>IF(Q269&lt;1,"down",IF(Q269=1,1,IF(Q269&gt;1,"up")))</f>
        <v>up</v>
      </c>
    </row>
    <row r="270" spans="1:37" x14ac:dyDescent="0.25">
      <c r="A270">
        <f>IF(X270=2501,2501,"Error")</f>
        <v>2501</v>
      </c>
      <c r="B270" t="str">
        <f>IF(K270&lt;18.85,"down",IF(K270=18.85,"low",IF(K270=19.3,"high",IF(AND(K270&gt;18.85,K270&lt;19.3),"normal","up"))))</f>
        <v>up</v>
      </c>
      <c r="C270" t="str">
        <f>IF(K270&lt;18.85,"down",IF(K270=18.85,"low",IF(K270=19.3,"high",IF(AND(K270&gt;18.85,K270&lt;19.3),"normal","up"))))</f>
        <v>up</v>
      </c>
      <c r="D270" t="str">
        <f>IF(K270&lt;18.85,"down",IF(K270=18.85,"low",IF(K270=19.3,"high",IF(AND(K270&gt;18.85,K270&lt;19.3),"normal","up"))))</f>
        <v>up</v>
      </c>
      <c r="E270" t="str">
        <f>IF(K270&lt;18.7,"down",IF(K270=18.7,"low",IF(K270=19.3,"high",IF(AND(K270&gt;18.7,K270&lt;19.3),"normal","up"))))</f>
        <v>up</v>
      </c>
      <c r="F270" t="str">
        <f>IF(P270&lt;19.15,"PVP-down",IF(P270=19.15,19.15,IF(P270&gt;19.15,"PVP-up")))</f>
        <v>PVP-down</v>
      </c>
      <c r="G270" t="str">
        <f>IF(R270&lt;196,"PVV-down",IF(R270=196,196,IF(R270&gt;196,"PVV-up")))</f>
        <v>PVV-up</v>
      </c>
      <c r="H270" s="3">
        <f t="shared" si="34"/>
        <v>3.6565560451439757E-4</v>
      </c>
      <c r="I270">
        <f>[1]!'2501.PreviousPrice'</f>
        <v>19.2</v>
      </c>
      <c r="J270">
        <f>[1]!'2501.PreOpenPrice'</f>
        <v>19.05</v>
      </c>
      <c r="K270">
        <f>[1]!'2501.Open'</f>
        <v>19.350000000000001</v>
      </c>
      <c r="L270">
        <f>[1]!'2501.Change'</f>
        <v>-0.15</v>
      </c>
      <c r="M270">
        <f>[1]!'2501.ChangePercent'</f>
        <v>-7.7999999999999996E-3</v>
      </c>
      <c r="N270">
        <f>[1]!'2501.BidPrice'</f>
        <v>19.05</v>
      </c>
      <c r="O270">
        <f>[1]!'2501.AskPrice'</f>
        <v>19.100000000000001</v>
      </c>
      <c r="P270">
        <f>[1]!'2501.Price'</f>
        <v>19.05</v>
      </c>
      <c r="Q270">
        <f>[1]!'2501.Volume'</f>
        <v>43</v>
      </c>
      <c r="R270">
        <f>[1]!'2501.CumulativeVolume'</f>
        <v>424</v>
      </c>
      <c r="S270">
        <f>[1]!'2501.PreviousVolume'</f>
        <v>1001</v>
      </c>
      <c r="T270">
        <f t="shared" si="35"/>
        <v>-1.5503875968992284E-2</v>
      </c>
      <c r="U270">
        <f>((T270*AB270)*D4)</f>
        <v>-0.12273232518288039</v>
      </c>
      <c r="V270" s="5">
        <f t="shared" si="36"/>
        <v>819150</v>
      </c>
      <c r="W270" s="5">
        <f t="shared" si="37"/>
        <v>0</v>
      </c>
      <c r="X270">
        <v>2501</v>
      </c>
      <c r="Y270" s="5">
        <v>11595610590</v>
      </c>
      <c r="Z270" s="3">
        <f>((D2*AB270)/P270)/10</f>
        <v>4.192509468935933E-2</v>
      </c>
      <c r="AA270" s="3">
        <f>((M270*AB270)*D2)</f>
        <v>-6.2296498198919026E-2</v>
      </c>
      <c r="AB270" s="3">
        <f>AE270/AE323</f>
        <v>6.1941449808616041E-4</v>
      </c>
      <c r="AC270" s="3">
        <f>AF270/AF323</f>
        <v>6.1849150121585407E-4</v>
      </c>
      <c r="AD270" s="5">
        <f t="shared" si="38"/>
        <v>22089638173.950001</v>
      </c>
      <c r="AE270" s="5">
        <f t="shared" si="39"/>
        <v>22089638173.950001</v>
      </c>
      <c r="AF270" s="5">
        <f t="shared" si="40"/>
        <v>22263572332.799999</v>
      </c>
      <c r="AG270" t="str">
        <f t="shared" si="41"/>
        <v>DBM10-50</v>
      </c>
      <c r="AH270">
        <f t="shared" si="42"/>
        <v>0</v>
      </c>
      <c r="AI270">
        <f t="shared" si="43"/>
        <v>0</v>
      </c>
      <c r="AJ270">
        <f t="shared" si="44"/>
        <v>0</v>
      </c>
      <c r="AK270" t="str">
        <f>IF(Q270&lt;10,"down",IF(Q270=10,10,IF(Q270&gt;10,"up")))</f>
        <v>up</v>
      </c>
    </row>
    <row r="271" spans="1:37" x14ac:dyDescent="0.25">
      <c r="A271">
        <f>IF(X271=2204,2204,"Error")</f>
        <v>2204</v>
      </c>
      <c r="B271" t="str">
        <f>IF(K271&lt;39.3,"down",IF(K271=39.3,"low",IF(K271=39.7,"high",IF(AND(K271&gt;39.3,K271&lt;39.7),"normal","up"))))</f>
        <v>up</v>
      </c>
      <c r="C271" t="str">
        <f>IF(K271&lt;39.3,"down",IF(K271=39.3,"low",IF(K271=39.7,"high",IF(AND(K271&gt;39.3,K271&lt;39.7),"normal","up"))))</f>
        <v>up</v>
      </c>
      <c r="D271" t="str">
        <f>IF(K271&lt;39.3,"down",IF(K271=39.3,"low",IF(K271=39.7,"high",IF(AND(K271&gt;39.3,K271&lt;39.7),"normal","up"))))</f>
        <v>up</v>
      </c>
      <c r="E271" t="str">
        <f>IF(K271&lt;38.9,"down",IF(K271=38.9,"low",IF(K271=40.5,"high",IF(AND(K271&gt;38.9,K271&lt;40.5),"normal","up"))))</f>
        <v>normal</v>
      </c>
      <c r="F271" t="str">
        <f>IF(P271&lt;39.45,"PVP-down",IF(P271=39.45,39.45,IF(P271&gt;39.45,"PVP-up")))</f>
        <v>PVP-up</v>
      </c>
      <c r="G271" t="str">
        <f>IF(R271&lt;216,"PVV-down",IF(R271=216,216,IF(R271&gt;216,"PVV-up")))</f>
        <v>PVV-up</v>
      </c>
      <c r="H271" s="3">
        <f t="shared" si="34"/>
        <v>2.7997526145814929E-3</v>
      </c>
      <c r="I271">
        <f>[1]!'2204.PreviousPrice'</f>
        <v>39.700000000000003</v>
      </c>
      <c r="J271">
        <f>[1]!'2204.PreOpenPrice'</f>
        <v>40.700000000000003</v>
      </c>
      <c r="K271">
        <f>[1]!'2204.Open'</f>
        <v>40.049999999999997</v>
      </c>
      <c r="L271">
        <f>[1]!'2204.Change'</f>
        <v>1</v>
      </c>
      <c r="M271">
        <f>[1]!'2204.ChangePercent'</f>
        <v>2.52E-2</v>
      </c>
      <c r="N271">
        <f>[1]!'2204.BidPrice'</f>
        <v>40.700000000000003</v>
      </c>
      <c r="O271">
        <f>[1]!'2204.AskPrice'</f>
        <v>40.799999999999997</v>
      </c>
      <c r="P271">
        <f>[1]!'2204.Price'</f>
        <v>40.700000000000003</v>
      </c>
      <c r="Q271">
        <f>[1]!'2204.Volume'</f>
        <v>39</v>
      </c>
      <c r="R271">
        <f>[1]!'2204.CumulativeVolume'</f>
        <v>1550</v>
      </c>
      <c r="S271">
        <f>[1]!'2204.PreviousVolume'</f>
        <v>776</v>
      </c>
      <c r="T271">
        <f t="shared" si="35"/>
        <v>1.6229712858926486E-2</v>
      </c>
      <c r="U271">
        <f>((T271*AB271)*D4)</f>
        <v>0.13105311833766994</v>
      </c>
      <c r="V271" s="5">
        <f t="shared" si="36"/>
        <v>1587300.0000000002</v>
      </c>
      <c r="W271" s="5">
        <f t="shared" si="37"/>
        <v>0</v>
      </c>
      <c r="X271">
        <v>2204</v>
      </c>
      <c r="Y271" s="5">
        <v>5536203420</v>
      </c>
      <c r="Z271" s="3">
        <f>((D2*AB271)/P271)/10</f>
        <v>2.0016699491721628E-2</v>
      </c>
      <c r="AA271" s="3">
        <f>((M271*AB271)*D2)</f>
        <v>0.20529927666689371</v>
      </c>
      <c r="AB271" s="3">
        <f>AE271/AE323</f>
        <v>6.318285010959131E-4</v>
      </c>
      <c r="AC271" s="3">
        <f>AF271/AF323</f>
        <v>6.1057839285447678E-4</v>
      </c>
      <c r="AD271" s="5">
        <f t="shared" si="38"/>
        <v>22532347919.400002</v>
      </c>
      <c r="AE271" s="5">
        <f t="shared" si="39"/>
        <v>22532347919.400002</v>
      </c>
      <c r="AF271" s="5">
        <f t="shared" si="40"/>
        <v>21978727577.400002</v>
      </c>
      <c r="AG271">
        <f t="shared" si="41"/>
        <v>0</v>
      </c>
      <c r="AH271">
        <f t="shared" si="42"/>
        <v>0</v>
      </c>
      <c r="AI271">
        <f t="shared" si="43"/>
        <v>0</v>
      </c>
      <c r="AJ271" t="str">
        <f t="shared" si="44"/>
        <v>UBM10-50</v>
      </c>
      <c r="AK271" t="str">
        <f>IF(Q271&lt;4,"down",IF(Q271=4,4,IF(Q271&gt;4,"up")))</f>
        <v>up</v>
      </c>
    </row>
    <row r="272" spans="1:37" x14ac:dyDescent="0.25">
      <c r="A272">
        <f>IF(X272=6670,6670,"Error")</f>
        <v>6670</v>
      </c>
      <c r="B272" t="str">
        <f>IF(K272&lt;162,"down",IF(K272=162,"low",IF(K272=163.5,"high",IF(AND(K272&gt;162,K272&lt;163.5),"normal","up"))))</f>
        <v>up</v>
      </c>
      <c r="C272" t="str">
        <f>IF(K272&lt;162,"down",IF(K272=162,"low",IF(K272=163.5,"high",IF(AND(K272&gt;162,K272&lt;163.5),"normal","up"))))</f>
        <v>up</v>
      </c>
      <c r="D272" t="str">
        <f>IF(K272&lt;162,"down",IF(K272=162,"low",IF(K272=163.5,"high",IF(AND(K272&gt;162,K272&lt;163.5),"normal","up"))))</f>
        <v>up</v>
      </c>
      <c r="E272" t="str">
        <f>IF(K272&lt;161.5,"down",IF(K272=161.5,"low",IF(K272=165,"high",IF(AND(K272&gt;161.5,K272&lt;165),"normal","up"))))</f>
        <v>normal</v>
      </c>
      <c r="F272" t="str">
        <f>IF(P272&lt;162.5,"PVP-down",IF(P272=162.5,162.5,IF(P272&gt;162.5,"PVP-up")))</f>
        <v>PVP-up</v>
      </c>
      <c r="G272" t="str">
        <f>IF(R272&lt;81,"PVV-down",IF(R272=81,81,IF(R272&gt;81,"PVV-up")))</f>
        <v>PVV-up</v>
      </c>
      <c r="H272" s="3">
        <f t="shared" si="34"/>
        <v>2.2056017705868883E-3</v>
      </c>
      <c r="I272">
        <f>[1]!'6670.PreviousPrice'</f>
        <v>162</v>
      </c>
      <c r="J272">
        <f>[1]!'6670.PreOpenPrice'</f>
        <v>164.5</v>
      </c>
      <c r="K272">
        <f>[1]!'6670.Open'</f>
        <v>164</v>
      </c>
      <c r="L272">
        <f>[1]!'6670.Change'</f>
        <v>2.5</v>
      </c>
      <c r="M272">
        <f>[1]!'6670.ChangePercent'</f>
        <v>1.54E-2</v>
      </c>
      <c r="N272">
        <f>[1]!'6670.BidPrice'</f>
        <v>164.5</v>
      </c>
      <c r="O272">
        <f>[1]!'6670.AskPrice'</f>
        <v>165.5</v>
      </c>
      <c r="P272">
        <f>[1]!'6670.Price'</f>
        <v>164.5</v>
      </c>
      <c r="Q272">
        <f>[1]!'6670.Volume'</f>
        <v>12</v>
      </c>
      <c r="R272">
        <f>[1]!'6670.CumulativeVolume'</f>
        <v>289</v>
      </c>
      <c r="S272">
        <f>[1]!'6670.PreviousVolume'</f>
        <v>193</v>
      </c>
      <c r="T272">
        <f t="shared" si="35"/>
        <v>3.0487804878048782E-3</v>
      </c>
      <c r="U272">
        <f>((T272*AB272)*D4)</f>
        <v>2.355010642437751E-2</v>
      </c>
      <c r="V272" s="5">
        <f t="shared" si="36"/>
        <v>1974000</v>
      </c>
      <c r="W272" s="5">
        <f t="shared" si="37"/>
        <v>0</v>
      </c>
      <c r="X272">
        <v>6670</v>
      </c>
      <c r="Y272" s="5">
        <v>1310300000</v>
      </c>
      <c r="Z272" s="3">
        <f>((D2*AB272)/P272)/10</f>
        <v>4.7375212495358154E-3</v>
      </c>
      <c r="AA272" s="3">
        <f>((M272*AB272)*D2)</f>
        <v>0.1200156258144908</v>
      </c>
      <c r="AB272" s="3">
        <f>AE272/AE323</f>
        <v>6.044068912274248E-4</v>
      </c>
      <c r="AC272" s="3">
        <f>AF272/AF323</f>
        <v>5.8969119201759425E-4</v>
      </c>
      <c r="AD272" s="5">
        <f t="shared" si="38"/>
        <v>21554435000</v>
      </c>
      <c r="AE272" s="5">
        <f t="shared" si="39"/>
        <v>21554435000</v>
      </c>
      <c r="AF272" s="5">
        <f t="shared" si="40"/>
        <v>21226860000</v>
      </c>
      <c r="AG272">
        <f t="shared" si="41"/>
        <v>0</v>
      </c>
      <c r="AH272">
        <f t="shared" si="42"/>
        <v>0</v>
      </c>
      <c r="AI272">
        <f t="shared" si="43"/>
        <v>0</v>
      </c>
      <c r="AJ272" t="str">
        <f t="shared" si="44"/>
        <v>UBM10-50</v>
      </c>
      <c r="AK272" t="str">
        <f>IF(Q272&lt;0,"down",IF(Q272=0,0,IF(Q272&gt;0,"up")))</f>
        <v>up</v>
      </c>
    </row>
    <row r="273" spans="1:37" x14ac:dyDescent="0.25">
      <c r="A273">
        <f>IF(X273=9940,9940,"Error")</f>
        <v>9940</v>
      </c>
      <c r="B273" t="str">
        <f>IF(K273&lt;29.6,"down",IF(K273=29.6,"low",IF(K273=30.25,"high",IF(AND(K273&gt;29.6,K273&lt;30.25),"normal","up"))))</f>
        <v>up</v>
      </c>
      <c r="C273" t="str">
        <f>IF(K273&lt;29.6,"down",IF(K273=29.6,"low",IF(K273=30.25,"high",IF(AND(K273&gt;29.6,K273&lt;30.25),"normal","up"))))</f>
        <v>up</v>
      </c>
      <c r="D273" t="str">
        <f>IF(K273&lt;29.6,"down",IF(K273=29.6,"low",IF(K273=30.25,"high",IF(AND(K273&gt;29.6,K273&lt;30.25),"normal","up"))))</f>
        <v>up</v>
      </c>
      <c r="E273" t="str">
        <f>IF(K273&lt;28.45,"down",IF(K273=28.45,"low",IF(K273=30.25,"high",IF(AND(K273&gt;28.45,K273&lt;30.25),"normal","up"))))</f>
        <v>up</v>
      </c>
      <c r="F273" t="str">
        <f>IF(P273&lt;30.2,"PVP-down",IF(P273=30.2,30.2,IF(P273&gt;30.2,"PVP-up")))</f>
        <v>PVP-down</v>
      </c>
      <c r="G273" t="str">
        <f>IF(R273&lt;111,"PVV-down",IF(R273=111,111,IF(R273&gt;111,"PVV-up")))</f>
        <v>PVV-up</v>
      </c>
      <c r="H273" s="3">
        <f t="shared" si="34"/>
        <v>8.0342377957960036E-4</v>
      </c>
      <c r="I273">
        <f>[1]!'9940.PreviousPrice'</f>
        <v>30.05</v>
      </c>
      <c r="J273">
        <f>[1]!'9940.PreOpenPrice'</f>
        <v>30.1</v>
      </c>
      <c r="K273">
        <f>[1]!'9940.Open'</f>
        <v>30.3</v>
      </c>
      <c r="L273">
        <f>[1]!'9940.Change'</f>
        <v>0.05</v>
      </c>
      <c r="M273">
        <f>[1]!'9940.ChangePercent'</f>
        <v>1.6999999999999999E-3</v>
      </c>
      <c r="N273">
        <f>[1]!'9940.BidPrice'</f>
        <v>30.05</v>
      </c>
      <c r="O273">
        <f>[1]!'9940.AskPrice'</f>
        <v>30.15</v>
      </c>
      <c r="P273">
        <f>[1]!'9940.Price'</f>
        <v>30.1</v>
      </c>
      <c r="Q273">
        <f>[1]!'9940.Volume'</f>
        <v>16</v>
      </c>
      <c r="R273">
        <f>[1]!'9940.CumulativeVolume'</f>
        <v>592</v>
      </c>
      <c r="S273">
        <f>[1]!'9940.PreviousVolume'</f>
        <v>668</v>
      </c>
      <c r="T273">
        <f t="shared" si="35"/>
        <v>-6.6006600660065773E-3</v>
      </c>
      <c r="U273">
        <f>((T273*AB273)*D4)</f>
        <v>-5.2463947194920334E-2</v>
      </c>
      <c r="V273" s="5">
        <f t="shared" si="36"/>
        <v>0</v>
      </c>
      <c r="W273" s="5">
        <f t="shared" si="37"/>
        <v>0</v>
      </c>
      <c r="X273">
        <v>9940</v>
      </c>
      <c r="Y273" s="5">
        <v>7368465000</v>
      </c>
      <c r="Z273" s="3">
        <f>((D2*AB273)/P273)/10</f>
        <v>2.6641425256781585E-2</v>
      </c>
      <c r="AA273" s="3">
        <f>((M273*AB273)*D2)</f>
        <v>1.3632417303895141E-2</v>
      </c>
      <c r="AB273" s="3">
        <f>AE273/AE323</f>
        <v>6.2192252228100351E-4</v>
      </c>
      <c r="AC273" s="3">
        <f>AF273/AF323</f>
        <v>6.1512076313292299E-4</v>
      </c>
      <c r="AD273" s="5">
        <f t="shared" si="38"/>
        <v>22179079650</v>
      </c>
      <c r="AE273" s="5">
        <f t="shared" si="39"/>
        <v>22179079650</v>
      </c>
      <c r="AF273" s="5">
        <f t="shared" si="40"/>
        <v>22142237325</v>
      </c>
      <c r="AG273">
        <f t="shared" si="41"/>
        <v>0</v>
      </c>
      <c r="AH273">
        <f t="shared" si="42"/>
        <v>0</v>
      </c>
      <c r="AI273">
        <f t="shared" si="43"/>
        <v>0</v>
      </c>
      <c r="AJ273">
        <f t="shared" si="44"/>
        <v>0</v>
      </c>
      <c r="AK273" t="str">
        <f>IF(Q273&lt;5,"down",IF(Q273=5,5,IF(Q273&gt;5,"up")))</f>
        <v>up</v>
      </c>
    </row>
    <row r="274" spans="1:37" x14ac:dyDescent="0.25">
      <c r="A274">
        <f>IF(X274=1808,1808,"Error")</f>
        <v>1808</v>
      </c>
      <c r="B274" t="str">
        <f>IF(K274&lt;67.1,"down",IF(K274=67.1,"low",IF(K274=67.6,"high",IF(AND(K274&gt;67.1,K274&lt;67.6),"normal","up"))))</f>
        <v>high</v>
      </c>
      <c r="C274" t="str">
        <f>IF(K274&lt;67.1,"down",IF(K274=67.1,"low",IF(K274=67.6,"high",IF(AND(K274&gt;67.1,K274&lt;67.6),"normal","up"))))</f>
        <v>high</v>
      </c>
      <c r="D274" t="str">
        <f>IF(K274&lt;67.1,"down",IF(K274=67.1,"low",IF(K274=67.6,"high",IF(AND(K274&gt;67.1,K274&lt;67.6),"normal","up"))))</f>
        <v>high</v>
      </c>
      <c r="E274" t="str">
        <f>IF(K274&lt;67.1,"down",IF(K274=67.1,"low",IF(K274=68.7,"high",IF(AND(K274&gt;67.1,K274&lt;68.7),"normal","up"))))</f>
        <v>normal</v>
      </c>
      <c r="F274" t="str">
        <f>IF(P274&lt;67.4,"PVP-down",IF(P274=67.4,67.4,IF(P274&gt;67.4,"PVP-up")))</f>
        <v>PVP-up</v>
      </c>
      <c r="G274" t="str">
        <f>IF(R274&lt;48,"PVV-down",IF(R274=48,48,IF(R274&gt;48,"PVV-up")))</f>
        <v>PVV-up</v>
      </c>
      <c r="H274" s="3">
        <f t="shared" si="34"/>
        <v>6.0649199867917063E-4</v>
      </c>
      <c r="I274">
        <f>[1]!'1808.PreviousPrice'</f>
        <v>67.400000000000006</v>
      </c>
      <c r="J274">
        <f>[1]!'1808.PreOpenPrice'</f>
        <v>67.7</v>
      </c>
      <c r="K274">
        <f>[1]!'1808.Open'</f>
        <v>67.599999999999994</v>
      </c>
      <c r="L274">
        <f>[1]!'1808.Change'</f>
        <v>0.3</v>
      </c>
      <c r="M274">
        <f>[1]!'1808.ChangePercent'</f>
        <v>4.4999999999999997E-3</v>
      </c>
      <c r="N274">
        <f>[1]!'1808.BidPrice'</f>
        <v>67.7</v>
      </c>
      <c r="O274">
        <f>[1]!'1808.AskPrice'</f>
        <v>67.8</v>
      </c>
      <c r="P274">
        <f>[1]!'1808.Price'</f>
        <v>67.7</v>
      </c>
      <c r="Q274">
        <f>[1]!'1808.Volume'</f>
        <v>6</v>
      </c>
      <c r="R274">
        <f>[1]!'1808.CumulativeVolume'</f>
        <v>187</v>
      </c>
      <c r="S274">
        <f>[1]!'1808.PreviousVolume'</f>
        <v>127</v>
      </c>
      <c r="T274">
        <f t="shared" si="35"/>
        <v>1.4792899408285285E-3</v>
      </c>
      <c r="U274">
        <f>((T274*AB274)*D4)</f>
        <v>1.1065946801993699E-2</v>
      </c>
      <c r="V274" s="5">
        <f t="shared" si="36"/>
        <v>406200.00000000006</v>
      </c>
      <c r="W274" s="5">
        <f t="shared" si="37"/>
        <v>0</v>
      </c>
      <c r="X274">
        <v>1808</v>
      </c>
      <c r="Y274" s="5">
        <v>3083305310</v>
      </c>
      <c r="Z274" s="3">
        <f>((D2*AB274)/P274)/10</f>
        <v>1.1148000019027408E-2</v>
      </c>
      <c r="AA274" s="3">
        <f>((M274*AB274)*D2)</f>
        <v>3.3962382057966999E-2</v>
      </c>
      <c r="AB274" s="3">
        <f>AE274/AE323</f>
        <v>5.8532619923077061E-4</v>
      </c>
      <c r="AC274" s="3">
        <f>AF274/AF323</f>
        <v>5.7731828492383925E-4</v>
      </c>
      <c r="AD274" s="5">
        <f t="shared" si="38"/>
        <v>20873976948.700001</v>
      </c>
      <c r="AE274" s="5">
        <f t="shared" si="39"/>
        <v>20873976948.700001</v>
      </c>
      <c r="AF274" s="5">
        <f t="shared" si="40"/>
        <v>20781477789.400002</v>
      </c>
      <c r="AG274">
        <f t="shared" si="41"/>
        <v>0</v>
      </c>
      <c r="AH274">
        <f t="shared" si="42"/>
        <v>0</v>
      </c>
      <c r="AI274">
        <f t="shared" si="43"/>
        <v>0</v>
      </c>
      <c r="AJ274" t="str">
        <f t="shared" si="44"/>
        <v>UBL10</v>
      </c>
      <c r="AK274" t="str">
        <f>IF(Q274&lt;2,"down",IF(Q274=2,2,IF(Q274&gt;2,"up")))</f>
        <v>up</v>
      </c>
    </row>
    <row r="275" spans="1:37" x14ac:dyDescent="0.25">
      <c r="A275">
        <f>IF(X275=1736,1736,"Error")</f>
        <v>1736</v>
      </c>
      <c r="B275" t="str">
        <f>IF(K275&lt;67,"down",IF(K275=67,"low",IF(K275=68.8,"high",IF(AND(K275&gt;67,K275&lt;68.8),"normal","up"))))</f>
        <v>normal</v>
      </c>
      <c r="C275" t="str">
        <f>IF(K275&lt;67,"down",IF(K275=67,"low",IF(K275=68.8,"high",IF(AND(K275&gt;67,K275&lt;68.8),"normal","up"))))</f>
        <v>normal</v>
      </c>
      <c r="D275" t="str">
        <f>IF(K275&lt;67,"down",IF(K275=67,"low",IF(K275=68.8,"high",IF(AND(K275&gt;67,K275&lt;68.8),"normal","up"))))</f>
        <v>normal</v>
      </c>
      <c r="E275" t="str">
        <f>IF(K275&lt;66.1,"down",IF(K275=66.1,"low",IF(K275=70,"high",IF(AND(K275&gt;66.1,K275&lt;70),"normal","up"))))</f>
        <v>normal</v>
      </c>
      <c r="F275" t="str">
        <f>IF(P275&lt;67.3,"PVP-down",IF(P275=67.3,67.3,IF(P275&gt;67.3,"PVP-up")))</f>
        <v>PVP-down</v>
      </c>
      <c r="G275" t="str">
        <f>IF(R275&lt;101,"PVV-down",IF(R275=101,101,IF(R275&gt;101,"PVV-up")))</f>
        <v>PVV-up</v>
      </c>
      <c r="H275" s="3">
        <f t="shared" si="34"/>
        <v>4.8548067446519232E-3</v>
      </c>
      <c r="I275">
        <f>[1]!'1736.PreviousPrice'</f>
        <v>67.3</v>
      </c>
      <c r="J275">
        <f>[1]!'1736.PreOpenPrice'</f>
        <v>65.3</v>
      </c>
      <c r="K275">
        <f>[1]!'1736.Open'</f>
        <v>68.7</v>
      </c>
      <c r="L275">
        <f>[1]!'1736.Change'</f>
        <v>-2</v>
      </c>
      <c r="M275">
        <f>[1]!'1736.ChangePercent'</f>
        <v>-2.9700000000000001E-2</v>
      </c>
      <c r="N275">
        <f>[1]!'1736.BidPrice'</f>
        <v>65.3</v>
      </c>
      <c r="O275">
        <f>[1]!'1736.AskPrice'</f>
        <v>65.400000000000006</v>
      </c>
      <c r="P275">
        <f>[1]!'1736.Price'</f>
        <v>65.3</v>
      </c>
      <c r="Q275">
        <f>[1]!'1736.Volume'</f>
        <v>90</v>
      </c>
      <c r="R275">
        <f>[1]!'1736.CumulativeVolume'</f>
        <v>1474</v>
      </c>
      <c r="S275">
        <f>[1]!'1736.PreviousVolume'</f>
        <v>791</v>
      </c>
      <c r="T275">
        <f t="shared" si="35"/>
        <v>-4.9490538573508089E-2</v>
      </c>
      <c r="U275">
        <f>((T275*AB275)*D4)</f>
        <v>-0.35163409039300747</v>
      </c>
      <c r="V275" s="5">
        <f t="shared" si="36"/>
        <v>5877000</v>
      </c>
      <c r="W275" s="5">
        <f t="shared" si="37"/>
        <v>0</v>
      </c>
      <c r="X275">
        <v>1736</v>
      </c>
      <c r="Y275" s="5">
        <v>3036166170</v>
      </c>
      <c r="Z275" s="3">
        <f>((D2*AB275)/P275)/10</f>
        <v>1.097756372395388E-2</v>
      </c>
      <c r="AA275" s="3">
        <f>((M275*AB275)*D2)</f>
        <v>-0.21289996861873392</v>
      </c>
      <c r="AB275" s="3">
        <f>AE275/AE323</f>
        <v>5.5594455651790625E-4</v>
      </c>
      <c r="AC275" s="3">
        <f>AF275/AF323</f>
        <v>5.6764848944727776E-4</v>
      </c>
      <c r="AD275" s="5">
        <f t="shared" si="38"/>
        <v>19826165090.099998</v>
      </c>
      <c r="AE275" s="5">
        <f t="shared" si="39"/>
        <v>19826165090.099998</v>
      </c>
      <c r="AF275" s="5">
        <f t="shared" si="40"/>
        <v>20433398324.099998</v>
      </c>
      <c r="AG275" t="str">
        <f t="shared" si="41"/>
        <v>DBM50</v>
      </c>
      <c r="AH275">
        <f t="shared" si="42"/>
        <v>0</v>
      </c>
      <c r="AI275">
        <f t="shared" si="43"/>
        <v>0</v>
      </c>
      <c r="AJ275">
        <f t="shared" si="44"/>
        <v>0</v>
      </c>
      <c r="AK275" t="str">
        <f>IF(Q275&lt;31,"down",IF(Q275=31,31,IF(Q275&gt;31,"up")))</f>
        <v>up</v>
      </c>
    </row>
    <row r="276" spans="1:37" x14ac:dyDescent="0.25">
      <c r="A276">
        <f>IF(X276=1319,1319,"Error")</f>
        <v>1319</v>
      </c>
      <c r="B276" t="str">
        <f>IF(K276&lt;37,"down",IF(K276=37,"low",IF(K276=37.6,"high",IF(AND(K276&gt;37,K276&lt;37.6),"normal","up"))))</f>
        <v>normal</v>
      </c>
      <c r="C276" t="str">
        <f>IF(K276&lt;37,"down",IF(K276=37,"low",IF(K276=37.6,"high",IF(AND(K276&gt;37,K276&lt;37.6),"normal","up"))))</f>
        <v>normal</v>
      </c>
      <c r="D276" t="str">
        <f>IF(K276&lt;37,"down",IF(K276=37,"low",IF(K276=37.6,"high",IF(AND(K276&gt;37,K276&lt;37.6),"normal","up"))))</f>
        <v>normal</v>
      </c>
      <c r="E276" t="str">
        <f>IF(K276&lt;33.95,"down",IF(K276=33.95,"low",IF(K276=37.65,"high",IF(AND(K276&gt;33.95,K276&lt;37.65),"normal","up"))))</f>
        <v>normal</v>
      </c>
      <c r="F276" t="str">
        <f>IF(P276&lt;37.4,"PVP-down",IF(P276=37.4,37.4,IF(P276&gt;37.4,"PVP-up")))</f>
        <v>PVP-up</v>
      </c>
      <c r="G276" t="str">
        <f>IF(R276&lt;125,"PVV-down",IF(R276=125,125,IF(R276&gt;125,"PVV-up")))</f>
        <v>PVV-up</v>
      </c>
      <c r="H276" s="3">
        <f t="shared" si="34"/>
        <v>2.1488576121771134E-3</v>
      </c>
      <c r="I276">
        <f>[1]!'1319.PreviousPrice'</f>
        <v>37.549999999999997</v>
      </c>
      <c r="J276">
        <f>[1]!'1319.PreOpenPrice'</f>
        <v>37.700000000000003</v>
      </c>
      <c r="K276">
        <f>[1]!'1319.Open'</f>
        <v>37.549999999999997</v>
      </c>
      <c r="L276">
        <f>[1]!'1319.Change'</f>
        <v>0.15</v>
      </c>
      <c r="M276">
        <f>[1]!'1319.ChangePercent'</f>
        <v>4.0000000000000001E-3</v>
      </c>
      <c r="N276">
        <f>[1]!'1319.BidPrice'</f>
        <v>37.65</v>
      </c>
      <c r="O276">
        <f>[1]!'1319.AskPrice'</f>
        <v>37.700000000000003</v>
      </c>
      <c r="P276">
        <f>[1]!'1319.Price'</f>
        <v>37.700000000000003</v>
      </c>
      <c r="Q276">
        <f>[1]!'1319.Volume'</f>
        <v>26</v>
      </c>
      <c r="R276">
        <f>[1]!'1319.CumulativeVolume'</f>
        <v>1271</v>
      </c>
      <c r="S276">
        <f>[1]!'1319.PreviousVolume'</f>
        <v>713</v>
      </c>
      <c r="T276">
        <f t="shared" si="35"/>
        <v>3.9946737683090733E-3</v>
      </c>
      <c r="U276">
        <f>((T276*AB276)*D4)</f>
        <v>3.1922041199518213E-2</v>
      </c>
      <c r="V276" s="5">
        <f t="shared" si="36"/>
        <v>0</v>
      </c>
      <c r="W276" s="5">
        <f t="shared" si="37"/>
        <v>980200</v>
      </c>
      <c r="X276">
        <v>1319</v>
      </c>
      <c r="Y276" s="5">
        <v>5914770680</v>
      </c>
      <c r="Z276" s="3">
        <f>((D2*AB276)/P276)/10</f>
        <v>2.1385447441525911E-2</v>
      </c>
      <c r="AA276" s="3">
        <f>((M276*AB276)*D2)</f>
        <v>3.2249254741821075E-2</v>
      </c>
      <c r="AB276" s="3">
        <f>AE276/AE323</f>
        <v>6.2527638323679768E-4</v>
      </c>
      <c r="AC276" s="3">
        <f>AF276/AF323</f>
        <v>6.1700223626403932E-4</v>
      </c>
      <c r="AD276" s="5">
        <f t="shared" si="38"/>
        <v>22298685463.600002</v>
      </c>
      <c r="AE276" s="5">
        <f t="shared" si="39"/>
        <v>22298685463.600002</v>
      </c>
      <c r="AF276" s="5">
        <f t="shared" si="40"/>
        <v>22209963903.399998</v>
      </c>
      <c r="AG276">
        <f t="shared" si="41"/>
        <v>0</v>
      </c>
      <c r="AH276">
        <f t="shared" si="42"/>
        <v>0</v>
      </c>
      <c r="AI276" t="str">
        <f t="shared" si="43"/>
        <v>UAM10-50</v>
      </c>
      <c r="AJ276">
        <f t="shared" si="44"/>
        <v>0</v>
      </c>
      <c r="AK276" t="str">
        <f>IF(Q276&lt;3,"down",IF(Q276=3,3,IF(Q276&gt;3,"up")))</f>
        <v>up</v>
      </c>
    </row>
    <row r="277" spans="1:37" x14ac:dyDescent="0.25">
      <c r="A277">
        <f>IF(X277=1773,1773,"Error")</f>
        <v>1773</v>
      </c>
      <c r="B277" t="str">
        <f>IF(K277&lt;105,"down",IF(K277=105,"low",IF(K277=107.5,"high",IF(AND(K277&gt;105,K277&lt;107.5),"normal","up"))))</f>
        <v>normal</v>
      </c>
      <c r="C277" t="str">
        <f>IF(K277&lt;105,"down",IF(K277=105,"low",IF(K277=107.5,"high",IF(AND(K277&gt;105,K277&lt;107.5),"normal","up"))))</f>
        <v>normal</v>
      </c>
      <c r="D277" t="str">
        <f>IF(K277&lt;105,"down",IF(K277=105,"low",IF(K277=107.5,"high",IF(AND(K277&gt;105,K277&lt;107.5),"normal","up"))))</f>
        <v>normal</v>
      </c>
      <c r="E277" t="str">
        <f>IF(K277&lt;105,"down",IF(K277=105,"low",IF(K277=113.5,"high",IF(AND(K277&gt;105,K277&lt;113.5),"normal","up"))))</f>
        <v>normal</v>
      </c>
      <c r="F277" t="str">
        <f>IF(P277&lt;106,"PVP-down",IF(P277=106,106,IF(P277&gt;106,"PVP-up")))</f>
        <v>PVP-up</v>
      </c>
      <c r="G277" t="str">
        <f>IF(R277&lt;117,"PVV-down",IF(R277=117,117,IF(R277&gt;117,"PVV-up")))</f>
        <v>PVV-up</v>
      </c>
      <c r="H277" s="3">
        <f t="shared" si="34"/>
        <v>1.0666666666666667E-3</v>
      </c>
      <c r="I277">
        <f>[1]!'1773.PreviousPrice'</f>
        <v>105.5</v>
      </c>
      <c r="J277">
        <f>[1]!'1773.PreOpenPrice'</f>
        <v>106.5</v>
      </c>
      <c r="K277">
        <f>[1]!'1773.Open'</f>
        <v>105.5</v>
      </c>
      <c r="L277">
        <f>[1]!'1773.Change'</f>
        <v>1</v>
      </c>
      <c r="M277">
        <f>[1]!'1773.ChangePercent'</f>
        <v>9.4999999999999998E-3</v>
      </c>
      <c r="N277">
        <f>[1]!'1773.BidPrice'</f>
        <v>106</v>
      </c>
      <c r="O277">
        <f>[1]!'1773.AskPrice'</f>
        <v>106.5</v>
      </c>
      <c r="P277">
        <f>[1]!'1773.Price'</f>
        <v>106.5</v>
      </c>
      <c r="Q277">
        <f>[1]!'1773.Volume'</f>
        <v>9</v>
      </c>
      <c r="R277">
        <f>[1]!'1773.CumulativeVolume'</f>
        <v>192</v>
      </c>
      <c r="S277">
        <f>[1]!'1773.PreviousVolume'</f>
        <v>351</v>
      </c>
      <c r="T277">
        <f t="shared" si="35"/>
        <v>9.4786729857819912E-3</v>
      </c>
      <c r="U277">
        <f>((T277*AB277)*D4)</f>
        <v>6.5117801229426633E-2</v>
      </c>
      <c r="V277" s="5">
        <f t="shared" si="36"/>
        <v>0</v>
      </c>
      <c r="W277" s="5">
        <f t="shared" si="37"/>
        <v>958500</v>
      </c>
      <c r="X277">
        <v>1773</v>
      </c>
      <c r="Y277" s="5">
        <v>1800000000</v>
      </c>
      <c r="Z277" s="3">
        <f>((D2*AB277)/P277)/10</f>
        <v>6.5080807823891225E-3</v>
      </c>
      <c r="AA277" s="3">
        <f>((M277*AB277)*D2)</f>
        <v>6.5845507315821949E-2</v>
      </c>
      <c r="AB277" s="3">
        <f>AE277/AE323</f>
        <v>5.3754506229598386E-4</v>
      </c>
      <c r="AC277" s="3">
        <f>AF277/AF323</f>
        <v>5.2755027057294936E-4</v>
      </c>
      <c r="AD277" s="5">
        <f t="shared" si="38"/>
        <v>19170000000</v>
      </c>
      <c r="AE277" s="5">
        <f t="shared" si="39"/>
        <v>19170000000</v>
      </c>
      <c r="AF277" s="5">
        <f t="shared" si="40"/>
        <v>18990000000</v>
      </c>
      <c r="AG277">
        <f t="shared" si="41"/>
        <v>0</v>
      </c>
      <c r="AH277">
        <f t="shared" si="42"/>
        <v>0</v>
      </c>
      <c r="AI277" t="str">
        <f t="shared" si="43"/>
        <v>UAL10</v>
      </c>
      <c r="AJ277">
        <f t="shared" si="44"/>
        <v>0</v>
      </c>
      <c r="AK277" t="str">
        <f>IF(Q277&lt;2,"down",IF(Q277=2,2,IF(Q277&gt;2,"up")))</f>
        <v>up</v>
      </c>
    </row>
    <row r="278" spans="1:37" x14ac:dyDescent="0.25">
      <c r="A278">
        <f>IF(X278=2505,2505,"Error")</f>
        <v>2505</v>
      </c>
      <c r="B278" t="str">
        <f>IF(K278&lt;31.3,"down",IF(K278=31.3,"low",IF(K278=32.5,"high",IF(AND(K278&gt;31.3,K278&lt;32.5),"normal","up"))))</f>
        <v>normal</v>
      </c>
      <c r="C278" t="str">
        <f>IF(K278&lt;31.3,"down",IF(K278=31.3,"low",IF(K278=32.5,"high",IF(AND(K278&gt;31.3,K278&lt;32.5),"normal","up"))))</f>
        <v>normal</v>
      </c>
      <c r="D278" t="str">
        <f>IF(K278&lt;31.3,"down",IF(K278=31.3,"low",IF(K278=32.5,"high",IF(AND(K278&gt;31.3,K278&lt;32.5),"normal","up"))))</f>
        <v>normal</v>
      </c>
      <c r="E278" t="str">
        <f>IF(K278&lt;27.5,"down",IF(K278=27.5,"low",IF(K278=32.8,"high",IF(AND(K278&gt;27.5,K278&lt;32.8),"normal","up"))))</f>
        <v>normal</v>
      </c>
      <c r="F278" t="str">
        <f>IF(P278&lt;31.5,"PVP-down",IF(P278=31.5,31.5,IF(P278&gt;31.5,"PVP-up")))</f>
        <v>PVP-up</v>
      </c>
      <c r="G278" t="str">
        <f>IF(R278&lt;1421,"PVV-down",IF(R278=1421,1421,IF(R278&gt;1421,"PVV-up")))</f>
        <v>PVV-up</v>
      </c>
      <c r="H278" s="3">
        <f t="shared" si="34"/>
        <v>1.1455929829667736E-2</v>
      </c>
      <c r="I278">
        <f>[1]!'2505.PreviousPrice'</f>
        <v>31.7</v>
      </c>
      <c r="J278">
        <f>[1]!'2505.PreOpenPrice'</f>
        <v>31.9</v>
      </c>
      <c r="K278">
        <f>[1]!'2505.Open'</f>
        <v>31.8</v>
      </c>
      <c r="L278">
        <f>[1]!'2505.Change'</f>
        <v>0.2</v>
      </c>
      <c r="M278">
        <f>[1]!'2505.ChangePercent'</f>
        <v>6.3E-3</v>
      </c>
      <c r="N278">
        <f>[1]!'2505.BidPrice'</f>
        <v>31.85</v>
      </c>
      <c r="O278">
        <f>[1]!'2505.AskPrice'</f>
        <v>31.9</v>
      </c>
      <c r="P278">
        <f>[1]!'2505.Price'</f>
        <v>31.9</v>
      </c>
      <c r="Q278">
        <f>[1]!'2505.Volume'</f>
        <v>515</v>
      </c>
      <c r="R278">
        <f>[1]!'2505.CumulativeVolume'</f>
        <v>7980</v>
      </c>
      <c r="S278">
        <f>[1]!'2505.PreviousVolume'</f>
        <v>11342</v>
      </c>
      <c r="T278">
        <f t="shared" si="35"/>
        <v>3.1446540880502474E-3</v>
      </c>
      <c r="U278">
        <f>((T278*AB278)*D4)</f>
        <v>2.5041836984824515E-2</v>
      </c>
      <c r="V278" s="5">
        <f t="shared" si="36"/>
        <v>0</v>
      </c>
      <c r="W278" s="5">
        <f t="shared" si="37"/>
        <v>16428500</v>
      </c>
      <c r="X278">
        <v>2505</v>
      </c>
      <c r="Y278" s="5">
        <v>6965824790</v>
      </c>
      <c r="Z278" s="3">
        <f>((D2*AB278)/P278)/10</f>
        <v>2.5185639138493747E-2</v>
      </c>
      <c r="AA278" s="3">
        <f>((M278*AB278)*D2)</f>
        <v>5.0615578976630882E-2</v>
      </c>
      <c r="AB278" s="3">
        <f>AE278/AE323</f>
        <v>6.23097478298395E-4</v>
      </c>
      <c r="AC278" s="3">
        <f>AF278/AF323</f>
        <v>6.1343802665342697E-4</v>
      </c>
      <c r="AD278" s="5">
        <f t="shared" si="38"/>
        <v>22220981080.099998</v>
      </c>
      <c r="AE278" s="5">
        <f t="shared" si="39"/>
        <v>22220981080.099998</v>
      </c>
      <c r="AF278" s="5">
        <f t="shared" si="40"/>
        <v>22081664584.299999</v>
      </c>
      <c r="AG278">
        <f t="shared" si="41"/>
        <v>0</v>
      </c>
      <c r="AH278">
        <f t="shared" si="42"/>
        <v>0</v>
      </c>
      <c r="AI278" t="str">
        <f t="shared" si="43"/>
        <v>UAM200</v>
      </c>
      <c r="AJ278">
        <f t="shared" si="44"/>
        <v>0</v>
      </c>
      <c r="AK278" t="str">
        <f>IF(Q278&lt;533,"down",IF(Q278=533,533,IF(Q278&gt;533,"up")))</f>
        <v>down</v>
      </c>
    </row>
    <row r="279" spans="1:37" x14ac:dyDescent="0.25">
      <c r="A279">
        <f>IF(X279=9958,9958,"Error")</f>
        <v>9958</v>
      </c>
      <c r="B279" t="str">
        <f>IF(K279&lt;98,"down",IF(K279=98,"low",IF(K279=104,"high",IF(AND(K279&gt;98,K279&lt;104),"normal","up"))))</f>
        <v>normal</v>
      </c>
      <c r="C279" t="str">
        <f>IF(K279&lt;98,"down",IF(K279=98,"low",IF(K279=104,"high",IF(AND(K279&gt;98,K279&lt;104),"normal","up"))))</f>
        <v>normal</v>
      </c>
      <c r="D279" t="str">
        <f>IF(K279&lt;98,"down",IF(K279=98,"low",IF(K279=104,"high",IF(AND(K279&gt;98,K279&lt;104),"normal","up"))))</f>
        <v>normal</v>
      </c>
      <c r="E279" t="str">
        <f>IF(K279&lt;92.2,"down",IF(K279=92.2,"low",IF(K279=104,"high",IF(AND(K279&gt;92.2,K279&lt;104),"normal","up"))))</f>
        <v>normal</v>
      </c>
      <c r="F279" t="str">
        <f>IF(P279&lt;100.5,"PVP-down",IF(P279=100.5,100.5,IF(P279&gt;100.5,"PVP-up")))</f>
        <v>PVP-down</v>
      </c>
      <c r="G279" t="str">
        <f>IF(R279&lt;3516,"PVV-down",IF(R279=3516,3516,IF(R279&gt;3516,"PVV-up")))</f>
        <v>PVV-up</v>
      </c>
      <c r="H279" s="3">
        <f t="shared" si="34"/>
        <v>6.4137907190109936E-2</v>
      </c>
      <c r="I279">
        <f>[1]!'9958.PreviousPrice'</f>
        <v>98.4</v>
      </c>
      <c r="J279">
        <f>[1]!'9958.PreOpenPrice'</f>
        <v>99</v>
      </c>
      <c r="K279">
        <f>[1]!'9958.Open'</f>
        <v>99.9</v>
      </c>
      <c r="L279">
        <f>[1]!'9958.Change'</f>
        <v>0.7</v>
      </c>
      <c r="M279">
        <f>[1]!'9958.ChangePercent'</f>
        <v>7.1000000000000004E-3</v>
      </c>
      <c r="N279">
        <f>[1]!'9958.BidPrice'</f>
        <v>99.1</v>
      </c>
      <c r="O279">
        <f>[1]!'9958.AskPrice'</f>
        <v>99.2</v>
      </c>
      <c r="P279">
        <f>[1]!'9958.Price'</f>
        <v>99.1</v>
      </c>
      <c r="Q279">
        <f>[1]!'9958.Volume'</f>
        <v>402</v>
      </c>
      <c r="R279">
        <f>[1]!'9958.CumulativeVolume'</f>
        <v>13440</v>
      </c>
      <c r="S279">
        <f>[1]!'9958.PreviousVolume'</f>
        <v>26234</v>
      </c>
      <c r="T279">
        <f t="shared" si="35"/>
        <v>-8.0080080080081207E-3</v>
      </c>
      <c r="U279">
        <f>((T279*AB279)*D4)</f>
        <v>-5.9595396227756565E-2</v>
      </c>
      <c r="V279" s="5">
        <f t="shared" si="36"/>
        <v>39838200</v>
      </c>
      <c r="W279" s="5">
        <f t="shared" si="37"/>
        <v>0</v>
      </c>
      <c r="X279">
        <v>9958</v>
      </c>
      <c r="Y279" s="5">
        <v>2095484650</v>
      </c>
      <c r="Z279" s="3">
        <f>((D2*AB279)/P279)/10</f>
        <v>7.5764352113646656E-3</v>
      </c>
      <c r="AA279" s="3">
        <f>((M279*AB279)*D2)</f>
        <v>5.3308555790682915E-2</v>
      </c>
      <c r="AB279" s="3">
        <f>AE279/AE323</f>
        <v>5.8230551376317532E-4</v>
      </c>
      <c r="AC279" s="3">
        <f>AF279/AF323</f>
        <v>5.7282038872224258E-4</v>
      </c>
      <c r="AD279" s="5">
        <f t="shared" si="38"/>
        <v>20745298035</v>
      </c>
      <c r="AE279" s="5">
        <f t="shared" si="39"/>
        <v>20766252881.5</v>
      </c>
      <c r="AF279" s="5">
        <f t="shared" si="40"/>
        <v>20619568956</v>
      </c>
      <c r="AG279">
        <f t="shared" si="41"/>
        <v>0</v>
      </c>
      <c r="AH279">
        <f t="shared" si="42"/>
        <v>0</v>
      </c>
      <c r="AI279">
        <f t="shared" si="43"/>
        <v>0</v>
      </c>
      <c r="AJ279" t="str">
        <f t="shared" si="44"/>
        <v>UBM200</v>
      </c>
      <c r="AK279" t="str">
        <f>IF(Q279&lt;1412,"down",IF(Q279=1412,1412,IF(Q279&gt;1412,"up")))</f>
        <v>down</v>
      </c>
    </row>
    <row r="280" spans="1:37" x14ac:dyDescent="0.25">
      <c r="A280">
        <f>IF(X280=9938,9938,"Error")</f>
        <v>9938</v>
      </c>
      <c r="B280" t="str">
        <f>IF(K280&lt;70.5,"down",IF(K280=70.5,"low",IF(K280=73.3,"high",IF(AND(K280&gt;70.5,K280&lt;73.3),"normal","up"))))</f>
        <v>normal</v>
      </c>
      <c r="C280" t="str">
        <f>IF(K280&lt;70.5,"down",IF(K280=70.5,"low",IF(K280=73.3,"high",IF(AND(K280&gt;70.5,K280&lt;73.3),"normal","up"))))</f>
        <v>normal</v>
      </c>
      <c r="D280" t="str">
        <f>IF(K280&lt;70.5,"down",IF(K280=70.5,"low",IF(K280=73.3,"high",IF(AND(K280&gt;70.5,K280&lt;73.3),"normal","up"))))</f>
        <v>normal</v>
      </c>
      <c r="E280" t="str">
        <f>IF(K280&lt;61.1,"down",IF(K280=61.1,"low",IF(K280=73.8,"high",IF(AND(K280&gt;61.1,K280&lt;73.8),"normal","up"))))</f>
        <v>normal</v>
      </c>
      <c r="F280">
        <f>IF(P280&lt;72.8,"PVP-down",IF(P280=72.8,72.8,IF(P280&gt;72.8,"PVP-up")))</f>
        <v>72.8</v>
      </c>
      <c r="G280" t="str">
        <f>IF(R280&lt;508,"PVV-down",IF(R280=508,508,IF(R280&gt;508,"PVV-up")))</f>
        <v>PVV-up</v>
      </c>
      <c r="H280" s="3">
        <f t="shared" si="34"/>
        <v>2.7708054380359136E-2</v>
      </c>
      <c r="I280">
        <f>[1]!'9938.PreviousPrice'</f>
        <v>70.8</v>
      </c>
      <c r="J280">
        <f>[1]!'9938.PreOpenPrice'</f>
        <v>72.900000000000006</v>
      </c>
      <c r="K280">
        <f>[1]!'9938.Open'</f>
        <v>71.2</v>
      </c>
      <c r="L280">
        <f>[1]!'9938.Change'</f>
        <v>2</v>
      </c>
      <c r="M280">
        <f>[1]!'9938.ChangePercent'</f>
        <v>2.8199999999999999E-2</v>
      </c>
      <c r="N280">
        <f>[1]!'9938.BidPrice'</f>
        <v>72.8</v>
      </c>
      <c r="O280">
        <f>[1]!'9938.AskPrice'</f>
        <v>72.900000000000006</v>
      </c>
      <c r="P280">
        <f>[1]!'9938.Price'</f>
        <v>72.8</v>
      </c>
      <c r="Q280">
        <f>[1]!'9938.Volume'</f>
        <v>242</v>
      </c>
      <c r="R280">
        <f>[1]!'9938.CumulativeVolume'</f>
        <v>8256</v>
      </c>
      <c r="S280">
        <f>[1]!'9938.PreviousVolume'</f>
        <v>7390</v>
      </c>
      <c r="T280">
        <f t="shared" si="35"/>
        <v>2.247191011235947E-2</v>
      </c>
      <c r="U280">
        <f>((T280*AB280)*D4)</f>
        <v>0.1746888137802233</v>
      </c>
      <c r="V280" s="5">
        <f t="shared" si="36"/>
        <v>17617600</v>
      </c>
      <c r="W280" s="5">
        <f t="shared" si="37"/>
        <v>0</v>
      </c>
      <c r="X280">
        <v>9938</v>
      </c>
      <c r="Y280" s="5">
        <v>2979639020</v>
      </c>
      <c r="Z280" s="3">
        <f>((D2*AB280)/P280)/10</f>
        <v>1.0773184135843755E-2</v>
      </c>
      <c r="AA280" s="3">
        <f>((M280*AB280)*D2)</f>
        <v>0.22116916103521791</v>
      </c>
      <c r="AB280" s="3">
        <f>AE280/AE323</f>
        <v>6.08257953380972E-4</v>
      </c>
      <c r="AC280" s="3">
        <f>AF280/AF323</f>
        <v>5.8605151912437497E-4</v>
      </c>
      <c r="AD280" s="5">
        <f t="shared" si="38"/>
        <v>21721568455.800003</v>
      </c>
      <c r="AE280" s="5">
        <f t="shared" si="39"/>
        <v>21691772065.599998</v>
      </c>
      <c r="AF280" s="5">
        <f t="shared" si="40"/>
        <v>21095844261.599998</v>
      </c>
      <c r="AG280">
        <f t="shared" si="41"/>
        <v>0</v>
      </c>
      <c r="AH280">
        <f t="shared" si="42"/>
        <v>0</v>
      </c>
      <c r="AI280">
        <f t="shared" si="43"/>
        <v>0</v>
      </c>
      <c r="AJ280" t="str">
        <f t="shared" si="44"/>
        <v>UBM200</v>
      </c>
      <c r="AK280" t="str">
        <f>IF(Q280&lt;391,"down",IF(Q280=391,391,IF(Q280&gt;391,"up")))</f>
        <v>down</v>
      </c>
    </row>
    <row r="281" spans="1:37" x14ac:dyDescent="0.25">
      <c r="A281">
        <f>IF(X281=6504,6504,"Error")</f>
        <v>6504</v>
      </c>
      <c r="B281" t="str">
        <f>IF(K281&lt;303,"down",IF(K281=303,"low",IF(K281=324.5,"high",IF(AND(K281&gt;303,K281&lt;324.5),"normal","up"))))</f>
        <v>low</v>
      </c>
      <c r="C281" t="str">
        <f>IF(K281&lt;303,"down",IF(K281=303,"low",IF(K281=324.5,"high",IF(AND(K281&gt;303,K281&lt;324.5),"normal","up"))))</f>
        <v>low</v>
      </c>
      <c r="D281" t="str">
        <f>IF(K281&lt;303,"down",IF(K281=303,"low",IF(K281=324.5,"high",IF(AND(K281&gt;303,K281&lt;324.5),"normal","up"))))</f>
        <v>low</v>
      </c>
      <c r="E281" t="str">
        <f>IF(K281&lt;274,"down",IF(K281=274,"low",IF(K281=334.5,"high",IF(AND(K281&gt;274,K281&lt;334.5),"normal","up"))))</f>
        <v>normal</v>
      </c>
      <c r="F281" t="str">
        <f>IF(P281&lt;307,"PVP-down",IF(P281=307,307,IF(P281&gt;307,"PVP-up")))</f>
        <v>PVP-down</v>
      </c>
      <c r="G281" t="str">
        <f>IF(R281&lt;300,"PVV-down",IF(R281=300,300,IF(R281&gt;300,"PVV-up")))</f>
        <v>PVV-up</v>
      </c>
      <c r="H281" s="3">
        <f t="shared" si="34"/>
        <v>5.0730027548209364E-2</v>
      </c>
      <c r="I281">
        <f>[1]!'6504.PreviousPrice'</f>
        <v>307</v>
      </c>
      <c r="J281">
        <f>[1]!'6504.PreOpenPrice'</f>
        <v>289</v>
      </c>
      <c r="K281">
        <f>[1]!'6504.Open'</f>
        <v>303</v>
      </c>
      <c r="L281">
        <f>[1]!'6504.Change'</f>
        <v>-18</v>
      </c>
      <c r="M281">
        <f>[1]!'6504.ChangePercent'</f>
        <v>-5.8599999999999999E-2</v>
      </c>
      <c r="N281">
        <f>[1]!'6504.BidPrice'</f>
        <v>289</v>
      </c>
      <c r="O281">
        <f>[1]!'6504.AskPrice'</f>
        <v>289.5</v>
      </c>
      <c r="P281">
        <f>[1]!'6504.Price'</f>
        <v>289</v>
      </c>
      <c r="Q281">
        <f>[1]!'6504.Volume'</f>
        <v>133</v>
      </c>
      <c r="R281">
        <f>[1]!'6504.CumulativeVolume'</f>
        <v>3683</v>
      </c>
      <c r="S281">
        <f>[1]!'6504.PreviousVolume'</f>
        <v>2849</v>
      </c>
      <c r="T281">
        <f t="shared" si="35"/>
        <v>-4.6204620462046202E-2</v>
      </c>
      <c r="U281">
        <f>((T281*AB281)*D4)</f>
        <v>-0.34741610352296731</v>
      </c>
      <c r="V281" s="5">
        <f t="shared" si="36"/>
        <v>38437000</v>
      </c>
      <c r="W281" s="5">
        <f t="shared" si="37"/>
        <v>0</v>
      </c>
      <c r="X281">
        <v>6504</v>
      </c>
      <c r="Y281" s="5">
        <v>726000000</v>
      </c>
      <c r="Z281" s="3">
        <f>((D2*AB281)/P281)/10</f>
        <v>2.6249259155636129E-3</v>
      </c>
      <c r="AA281" s="3">
        <f>((M281*AB281)*D2)</f>
        <v>-0.44454170350436012</v>
      </c>
      <c r="AB281" s="3">
        <f>AE281/AE323</f>
        <v>5.8833844392576712E-4</v>
      </c>
      <c r="AC281" s="3">
        <f>AF281/AF323</f>
        <v>6.1917566827719901E-4</v>
      </c>
      <c r="AD281" s="5">
        <f t="shared" si="38"/>
        <v>20981400000</v>
      </c>
      <c r="AE281" s="5">
        <f t="shared" si="39"/>
        <v>20981400000</v>
      </c>
      <c r="AF281" s="5">
        <f t="shared" si="40"/>
        <v>22288200000</v>
      </c>
      <c r="AG281" t="str">
        <f t="shared" si="41"/>
        <v>DBM100</v>
      </c>
      <c r="AH281">
        <f t="shared" si="42"/>
        <v>0</v>
      </c>
      <c r="AI281">
        <f t="shared" si="43"/>
        <v>0</v>
      </c>
      <c r="AJ281">
        <f t="shared" si="44"/>
        <v>0</v>
      </c>
      <c r="AK281" t="str">
        <f>IF(Q281&lt;149,"down",IF(Q281=149,149,IF(Q281&gt;149,"up")))</f>
        <v>down</v>
      </c>
    </row>
    <row r="282" spans="1:37" x14ac:dyDescent="0.25">
      <c r="A282">
        <f>IF(X282=1232,1232,"Error")</f>
        <v>1232</v>
      </c>
      <c r="B282" t="str">
        <f>IF(K282&lt;119,"down",IF(K282=119,"low",IF(K282=120,"high",IF(AND(K282&gt;119,K282&lt;120),"normal","up"))))</f>
        <v>normal</v>
      </c>
      <c r="C282" t="str">
        <f>IF(K282&lt;119,"down",IF(K282=119,"low",IF(K282=120,"high",IF(AND(K282&gt;119,K282&lt;120),"normal","up"))))</f>
        <v>normal</v>
      </c>
      <c r="D282" t="str">
        <f>IF(K282&lt;119,"down",IF(K282=119,"low",IF(K282=120,"high",IF(AND(K282&gt;119,K282&lt;120),"normal","up"))))</f>
        <v>normal</v>
      </c>
      <c r="E282" t="str">
        <f>IF(K282&lt;118,"down",IF(K282=118,"low",IF(K282=120.5,"high",IF(AND(K282&gt;118,K282&lt;120.5),"normal","up"))))</f>
        <v>normal</v>
      </c>
      <c r="F282">
        <f>IF(P282&lt;120,"PVP-down",IF(P282=120,120,IF(P282&gt;120,"PVP-up")))</f>
        <v>120</v>
      </c>
      <c r="G282" t="str">
        <f>IF(R282&lt;32,"PVV-down",IF(R282=32,32,IF(R282&gt;32,"PVV-up")))</f>
        <v>PVV-up</v>
      </c>
      <c r="H282" s="3">
        <f t="shared" si="34"/>
        <v>2.3753724138562599E-4</v>
      </c>
      <c r="I282">
        <f>[1]!'1232.PreviousPrice'</f>
        <v>119.5</v>
      </c>
      <c r="J282">
        <f>[1]!'1232.PreOpenPrice'</f>
        <v>120</v>
      </c>
      <c r="K282">
        <f>[1]!'1232.Open'</f>
        <v>119.5</v>
      </c>
      <c r="L282">
        <f>[1]!'1232.Change'</f>
        <v>0.5</v>
      </c>
      <c r="M282">
        <f>[1]!'1232.ChangePercent'</f>
        <v>4.1999999999999997E-3</v>
      </c>
      <c r="N282">
        <f>[1]!'1232.BidPrice'</f>
        <v>119.5</v>
      </c>
      <c r="O282">
        <f>[1]!'1232.AskPrice'</f>
        <v>120.5</v>
      </c>
      <c r="P282">
        <f>[1]!'1232.Price'</f>
        <v>120</v>
      </c>
      <c r="Q282">
        <f>[1]!'1232.Volume'</f>
        <v>1</v>
      </c>
      <c r="R282">
        <f>[1]!'1232.CumulativeVolume'</f>
        <v>38</v>
      </c>
      <c r="S282">
        <f>[1]!'1232.PreviousVolume'</f>
        <v>47</v>
      </c>
      <c r="T282">
        <f t="shared" si="35"/>
        <v>4.1841004184100415E-3</v>
      </c>
      <c r="U282">
        <f>((T282*AB282)*D4)</f>
        <v>2.8784938616381411E-2</v>
      </c>
      <c r="V282" s="5">
        <f t="shared" si="36"/>
        <v>0</v>
      </c>
      <c r="W282" s="5">
        <f t="shared" si="37"/>
        <v>0</v>
      </c>
      <c r="X282">
        <v>1232</v>
      </c>
      <c r="Y282" s="5">
        <v>1599749150</v>
      </c>
      <c r="Z282" s="3">
        <f>((D2*AB282)/P282)/10</f>
        <v>5.784053722087964E-3</v>
      </c>
      <c r="AA282" s="3">
        <f>((M282*AB282)*D2)</f>
        <v>2.9151630759323335E-2</v>
      </c>
      <c r="AB282" s="3">
        <f>AE282/AE323</f>
        <v>5.3830188199981046E-4</v>
      </c>
      <c r="AC282" s="3">
        <f>AF282/AF323</f>
        <v>5.3107844962241085E-4</v>
      </c>
      <c r="AD282" s="5">
        <f t="shared" si="38"/>
        <v>19196989800</v>
      </c>
      <c r="AE282" s="5">
        <f t="shared" si="39"/>
        <v>19196989800</v>
      </c>
      <c r="AF282" s="5">
        <f t="shared" si="40"/>
        <v>19117002342.5</v>
      </c>
      <c r="AG282">
        <f t="shared" si="41"/>
        <v>0</v>
      </c>
      <c r="AH282">
        <f t="shared" si="42"/>
        <v>0</v>
      </c>
      <c r="AI282">
        <f t="shared" si="43"/>
        <v>0</v>
      </c>
      <c r="AJ282">
        <f t="shared" si="44"/>
        <v>0</v>
      </c>
      <c r="AK282" t="str">
        <f>IF(Q282&lt;0,"down",IF(Q282=0,0,IF(Q282&gt;0,"up")))</f>
        <v>up</v>
      </c>
    </row>
    <row r="283" spans="1:37" x14ac:dyDescent="0.25">
      <c r="A283">
        <f>IF(X283=9802,9802,"Error")</f>
        <v>9802</v>
      </c>
      <c r="B283" t="str">
        <f>IF(K283&lt;108.5,"down",IF(K283=108.5,"low",IF(K283=114,"high",IF(AND(K283&gt;108.5,K283&lt;114),"normal","up"))))</f>
        <v>up</v>
      </c>
      <c r="C283" t="str">
        <f>IF(K283&lt;108.5,"down",IF(K283=108.5,"low",IF(K283=114,"high",IF(AND(K283&gt;108.5,K283&lt;114),"normal","up"))))</f>
        <v>up</v>
      </c>
      <c r="D283" t="str">
        <f>IF(K283&lt;108.5,"down",IF(K283=108.5,"low",IF(K283=114,"high",IF(AND(K283&gt;108.5,K283&lt;114),"normal","up"))))</f>
        <v>up</v>
      </c>
      <c r="E283" t="str">
        <f>IF(K283&lt;102.5,"down",IF(K283=102.5,"low",IF(K283=114,"high",IF(AND(K283&gt;102.5,K283&lt;114),"normal","up"))))</f>
        <v>up</v>
      </c>
      <c r="F283" t="str">
        <f>IF(P283&lt;112,"PVP-down",IF(P283=112,112,IF(P283&gt;112,"PVP-up")))</f>
        <v>PVP-down</v>
      </c>
      <c r="G283" t="str">
        <f>IF(R283&lt;1007,"PVV-down",IF(R283=1007,1007,IF(R283&gt;1007,"PVV-up")))</f>
        <v>PVV-up</v>
      </c>
      <c r="H283" s="3">
        <f t="shared" si="34"/>
        <v>1.5586709623600398E-2</v>
      </c>
      <c r="I283">
        <f>[1]!'9802.PreviousPrice'</f>
        <v>114</v>
      </c>
      <c r="J283">
        <f>[1]!'9802.PreOpenPrice'</f>
        <v>111.5</v>
      </c>
      <c r="K283">
        <f>[1]!'9802.Open'</f>
        <v>114.5</v>
      </c>
      <c r="L283">
        <f>[1]!'9802.Change'</f>
        <v>-2.5</v>
      </c>
      <c r="M283">
        <f>[1]!'9802.ChangePercent'</f>
        <v>-2.1899999999999999E-2</v>
      </c>
      <c r="N283">
        <f>[1]!'9802.BidPrice'</f>
        <v>111.5</v>
      </c>
      <c r="O283">
        <f>[1]!'9802.AskPrice'</f>
        <v>112</v>
      </c>
      <c r="P283">
        <f>[1]!'9802.Price'</f>
        <v>111.5</v>
      </c>
      <c r="Q283">
        <f>[1]!'9802.Volume'</f>
        <v>97</v>
      </c>
      <c r="R283">
        <f>[1]!'9802.CumulativeVolume'</f>
        <v>2735</v>
      </c>
      <c r="S283">
        <f>[1]!'9802.PreviousVolume'</f>
        <v>3738</v>
      </c>
      <c r="T283">
        <f t="shared" si="35"/>
        <v>-2.6200873362445413E-2</v>
      </c>
      <c r="U283">
        <f>((T283*AB283)*D4)</f>
        <v>-0.18370610782676783</v>
      </c>
      <c r="V283" s="5">
        <f t="shared" si="36"/>
        <v>10815500</v>
      </c>
      <c r="W283" s="5">
        <f t="shared" si="37"/>
        <v>0</v>
      </c>
      <c r="X283">
        <v>9802</v>
      </c>
      <c r="Y283" s="5">
        <v>1754700040</v>
      </c>
      <c r="Z283" s="3">
        <f>((D2*AB283)/P283)/10</f>
        <v>6.3442942273230132E-3</v>
      </c>
      <c r="AA283" s="3">
        <f>((M283*AB283)*D2)</f>
        <v>-0.15491814858988701</v>
      </c>
      <c r="AB283" s="3">
        <f>AE283/AE323</f>
        <v>5.4861858720840393E-4</v>
      </c>
      <c r="AC283" s="3">
        <f>AF283/AF323</f>
        <v>5.5570796640287321E-4</v>
      </c>
      <c r="AD283" s="5">
        <f t="shared" si="38"/>
        <v>19564905446</v>
      </c>
      <c r="AE283" s="5">
        <f t="shared" si="39"/>
        <v>19564905446</v>
      </c>
      <c r="AF283" s="5">
        <f t="shared" si="40"/>
        <v>20003580456</v>
      </c>
      <c r="AG283" t="str">
        <f t="shared" si="41"/>
        <v>DBM50</v>
      </c>
      <c r="AH283">
        <f t="shared" si="42"/>
        <v>0</v>
      </c>
      <c r="AI283">
        <f t="shared" si="43"/>
        <v>0</v>
      </c>
      <c r="AJ283">
        <f t="shared" si="44"/>
        <v>0</v>
      </c>
      <c r="AK283" t="str">
        <f>IF(Q283&lt;16,"down",IF(Q283=16,16,IF(Q283&gt;16,"up")))</f>
        <v>up</v>
      </c>
    </row>
    <row r="284" spans="1:37" x14ac:dyDescent="0.25">
      <c r="A284">
        <f>IF(X284=2608,2608,"Error")</f>
        <v>2608</v>
      </c>
      <c r="B284" t="str">
        <f>IF(K284&lt;39.05,"down",IF(K284=39.05,"low",IF(K284=39.7,"high",IF(AND(K284&gt;39.05,K284&lt;39.7),"normal","up"))))</f>
        <v>high</v>
      </c>
      <c r="C284" t="str">
        <f>IF(K284&lt;39.05,"down",IF(K284=39.05,"low",IF(K284=39.7,"high",IF(AND(K284&gt;39.05,K284&lt;39.7),"normal","up"))))</f>
        <v>high</v>
      </c>
      <c r="D284" t="str">
        <f>IF(K284&lt;39.05,"down",IF(K284=39.05,"low",IF(K284=39.7,"high",IF(AND(K284&gt;39.05,K284&lt;39.7),"normal","up"))))</f>
        <v>high</v>
      </c>
      <c r="E284" t="str">
        <f>IF(K284&lt;38.65,"down",IF(K284=38.65,"low",IF(K284=39.7,"high",IF(AND(K284&gt;38.65,K284&lt;39.7),"normal","up"))))</f>
        <v>high</v>
      </c>
      <c r="F284" t="str">
        <f>IF(P284&lt;39.2,"PVP-down",IF(P284=39.2,39.2,IF(P284&gt;39.2,"PVP-up")))</f>
        <v>PVP-up</v>
      </c>
      <c r="G284" t="str">
        <f>IF(R284&lt;19,"PVV-down",IF(R284=19,19,IF(R284&gt;19,"PVV-up")))</f>
        <v>PVV-up</v>
      </c>
      <c r="H284" s="3">
        <f t="shared" si="34"/>
        <v>1.2205554436046875E-4</v>
      </c>
      <c r="I284">
        <f>[1]!'2608.PreviousPrice'</f>
        <v>39.700000000000003</v>
      </c>
      <c r="J284">
        <f>[1]!'2608.PreOpenPrice'</f>
        <v>39.700000000000003</v>
      </c>
      <c r="K284">
        <f>[1]!'2608.Open'</f>
        <v>39.700000000000003</v>
      </c>
      <c r="L284">
        <f>[1]!'2608.Change'</f>
        <v>0</v>
      </c>
      <c r="M284">
        <f>[1]!'2608.ChangePercent'</f>
        <v>0</v>
      </c>
      <c r="N284">
        <f>[1]!'2608.BidPrice'</f>
        <v>39.6</v>
      </c>
      <c r="O284">
        <f>[1]!'2608.AskPrice'</f>
        <v>39.700000000000003</v>
      </c>
      <c r="P284">
        <f>[1]!'2608.Price'</f>
        <v>39.700000000000003</v>
      </c>
      <c r="Q284">
        <f>[1]!'2608.Volume'</f>
        <v>2</v>
      </c>
      <c r="R284">
        <f>[1]!'2608.CumulativeVolume'</f>
        <v>57</v>
      </c>
      <c r="S284">
        <f>[1]!'2608.PreviousVolume'</f>
        <v>100</v>
      </c>
      <c r="T284">
        <f t="shared" si="35"/>
        <v>0</v>
      </c>
      <c r="U284">
        <f>((T284*AB284)*D4)</f>
        <v>0</v>
      </c>
      <c r="V284" s="5">
        <f t="shared" si="36"/>
        <v>0</v>
      </c>
      <c r="W284" s="5">
        <f t="shared" si="37"/>
        <v>79400</v>
      </c>
      <c r="X284">
        <v>2608</v>
      </c>
      <c r="Y284" s="5">
        <v>4670004980</v>
      </c>
      <c r="Z284" s="3">
        <f>((D2*AB284)/P284)/10</f>
        <v>1.6884872035555273E-2</v>
      </c>
      <c r="AA284" s="3">
        <f>((M284*AB284)*D2)</f>
        <v>0</v>
      </c>
      <c r="AB284" s="3">
        <f>AE284/AE323</f>
        <v>5.1987701241782563E-4</v>
      </c>
      <c r="AC284" s="3">
        <f>AF284/AF323</f>
        <v>5.1504685052031608E-4</v>
      </c>
      <c r="AD284" s="5">
        <f t="shared" si="38"/>
        <v>18539919770.599998</v>
      </c>
      <c r="AE284" s="5">
        <f t="shared" si="39"/>
        <v>18539919770.599998</v>
      </c>
      <c r="AF284" s="5">
        <f t="shared" si="40"/>
        <v>18539919770.599998</v>
      </c>
      <c r="AG284">
        <f t="shared" si="41"/>
        <v>0</v>
      </c>
      <c r="AH284">
        <f t="shared" si="42"/>
        <v>0</v>
      </c>
      <c r="AI284">
        <f t="shared" si="43"/>
        <v>0</v>
      </c>
      <c r="AJ284">
        <f t="shared" si="44"/>
        <v>0</v>
      </c>
      <c r="AK284" t="str">
        <f>IF(Q284&lt;5,"down",IF(Q284=5,5,IF(Q284&gt;5,"up")))</f>
        <v>down</v>
      </c>
    </row>
    <row r="285" spans="1:37" x14ac:dyDescent="0.25">
      <c r="A285">
        <f>IF(X285=1440,1440,"Error")</f>
        <v>1440</v>
      </c>
      <c r="B285" t="str">
        <f>IF(K285&lt;11.15,"down",IF(K285=11.15,"low",IF(K285=11.5,"high",IF(AND(K285&gt;11.15,K285&lt;11.5),"normal","up"))))</f>
        <v>normal</v>
      </c>
      <c r="C285" t="str">
        <f>IF(K285&lt;11.15,"down",IF(K285=11.15,"low",IF(K285=11.5,"high",IF(AND(K285&gt;11.15,K285&lt;11.5),"normal","up"))))</f>
        <v>normal</v>
      </c>
      <c r="D285" t="str">
        <f>IF(K285&lt;11.15,"down",IF(K285=11.15,"low",IF(K285=11.5,"high",IF(AND(K285&gt;11.15,K285&lt;11.5),"normal","up"))))</f>
        <v>normal</v>
      </c>
      <c r="E285" t="str">
        <f>IF(K285&lt;11.1,"down",IF(K285=11.1,"low",IF(K285=11.5,"high",IF(AND(K285&gt;11.1,K285&lt;11.5),"normal","up"))))</f>
        <v>normal</v>
      </c>
      <c r="F285" t="str">
        <f>IF(P285&lt;11.35,"PVP-down",IF(P285=11.35,11.35,IF(P285&gt;11.35,"PVP-up")))</f>
        <v>PVP-down</v>
      </c>
      <c r="G285" t="str">
        <f>IF(R285&lt;1958,"PVV-down",IF(R285=1958,1958,IF(R285&gt;1958,"PVV-up")))</f>
        <v>PVV-up</v>
      </c>
      <c r="H285" s="3">
        <f t="shared" si="34"/>
        <v>1.9483154910437338E-3</v>
      </c>
      <c r="I285">
        <f>[1]!'1440.PreviousPrice'</f>
        <v>11.35</v>
      </c>
      <c r="J285">
        <f>[1]!'1440.PreOpenPrice'</f>
        <v>11.15</v>
      </c>
      <c r="K285">
        <f>[1]!'1440.Open'</f>
        <v>11.35</v>
      </c>
      <c r="L285">
        <f>[1]!'1440.Change'</f>
        <v>-0.2</v>
      </c>
      <c r="M285">
        <f>[1]!'1440.ChangePercent'</f>
        <v>-1.7600000000000001E-2</v>
      </c>
      <c r="N285">
        <f>[1]!'1440.BidPrice'</f>
        <v>11.15</v>
      </c>
      <c r="O285">
        <f>[1]!'1440.AskPrice'</f>
        <v>11.2</v>
      </c>
      <c r="P285">
        <f>[1]!'1440.Price'</f>
        <v>11.15</v>
      </c>
      <c r="Q285">
        <f>[1]!'1440.Volume'</f>
        <v>59</v>
      </c>
      <c r="R285">
        <f>[1]!'1440.CumulativeVolume'</f>
        <v>3228</v>
      </c>
      <c r="S285">
        <f>[1]!'1440.PreviousVolume'</f>
        <v>6215</v>
      </c>
      <c r="T285">
        <f t="shared" si="35"/>
        <v>-1.7621145374449278E-2</v>
      </c>
      <c r="U285">
        <f>((T285*AB285)*D4)</f>
        <v>-0.11665767548055236</v>
      </c>
      <c r="V285" s="5">
        <f t="shared" si="36"/>
        <v>657850</v>
      </c>
      <c r="W285" s="5">
        <f t="shared" si="37"/>
        <v>0</v>
      </c>
      <c r="X285">
        <v>1440</v>
      </c>
      <c r="Y285" s="5">
        <v>16568158570</v>
      </c>
      <c r="Z285" s="3">
        <f>((D2*AB285)/P285)/10</f>
        <v>5.9903841327218134E-2</v>
      </c>
      <c r="AA285" s="3">
        <f>((M285*AB285)*D2)</f>
        <v>-0.11755529822053287</v>
      </c>
      <c r="AB285" s="3">
        <f>AE285/AE323</f>
        <v>5.1801444920000165E-4</v>
      </c>
      <c r="AC285" s="3">
        <f>AF285/AF323</f>
        <v>5.2240700204983666E-4</v>
      </c>
      <c r="AD285" s="5">
        <f t="shared" si="38"/>
        <v>18473496805.549999</v>
      </c>
      <c r="AE285" s="5">
        <f t="shared" si="39"/>
        <v>18473496805.549999</v>
      </c>
      <c r="AF285" s="5">
        <f t="shared" si="40"/>
        <v>18804859976.950001</v>
      </c>
      <c r="AG285" t="str">
        <f t="shared" si="41"/>
        <v>DBM50</v>
      </c>
      <c r="AH285">
        <f t="shared" si="42"/>
        <v>0</v>
      </c>
      <c r="AI285">
        <f t="shared" si="43"/>
        <v>0</v>
      </c>
      <c r="AJ285">
        <f t="shared" si="44"/>
        <v>0</v>
      </c>
      <c r="AK285" t="str">
        <f>IF(Q285&lt;74,"down",IF(Q285=74,74,IF(Q285&gt;74,"up")))</f>
        <v>down</v>
      </c>
    </row>
    <row r="286" spans="1:37" x14ac:dyDescent="0.25">
      <c r="A286">
        <f>IF(X286=2104,2104,"Error")</f>
        <v>2104</v>
      </c>
      <c r="B286" t="str">
        <f>IF(K286&lt;19.1,"down",IF(K286=19.1,"low",IF(K286=19.35,"high",IF(AND(K286&gt;19.1,K286&lt;19.35),"normal","up"))))</f>
        <v>normal</v>
      </c>
      <c r="C286" t="str">
        <f>IF(K286&lt;19.1,"down",IF(K286=19.1,"low",IF(K286=19.35,"high",IF(AND(K286&gt;19.1,K286&lt;19.35),"normal","up"))))</f>
        <v>normal</v>
      </c>
      <c r="D286" t="str">
        <f>IF(K286&lt;19.1,"down",IF(K286=19.1,"low",IF(K286=19.35,"high",IF(AND(K286&gt;19.1,K286&lt;19.35),"normal","up"))))</f>
        <v>normal</v>
      </c>
      <c r="E286" t="str">
        <f>IF(K286&lt;18.6,"down",IF(K286=18.6,"low",IF(K286=19.7,"high",IF(AND(K286&gt;18.6,K286&lt;19.7),"normal","up"))))</f>
        <v>normal</v>
      </c>
      <c r="F286" t="str">
        <f>IF(P286&lt;19.2,"PVP-down",IF(P286=19.2,19.2,IF(P286&gt;19.2,"PVP-up")))</f>
        <v>PVP-up</v>
      </c>
      <c r="G286" t="str">
        <f>IF(R286&lt;551,"PVV-down",IF(R286=551,551,IF(R286&gt;551,"PVV-up")))</f>
        <v>PVV-up</v>
      </c>
      <c r="H286" s="3">
        <f t="shared" si="34"/>
        <v>2.4686879154756191E-3</v>
      </c>
      <c r="I286">
        <f>[1]!'2104.PreviousPrice'</f>
        <v>19.2</v>
      </c>
      <c r="J286">
        <f>[1]!'2104.PreOpenPrice'</f>
        <v>19.45</v>
      </c>
      <c r="K286">
        <f>[1]!'2104.Open'</f>
        <v>19.3</v>
      </c>
      <c r="L286">
        <f>[1]!'2104.Change'</f>
        <v>0.25</v>
      </c>
      <c r="M286">
        <f>[1]!'2104.ChangePercent'</f>
        <v>1.2999999999999999E-2</v>
      </c>
      <c r="N286">
        <f>[1]!'2104.BidPrice'</f>
        <v>19.45</v>
      </c>
      <c r="O286">
        <f>[1]!'2104.AskPrice'</f>
        <v>19.5</v>
      </c>
      <c r="P286">
        <f>[1]!'2104.Price'</f>
        <v>19.45</v>
      </c>
      <c r="Q286">
        <f>[1]!'2104.Volume'</f>
        <v>119</v>
      </c>
      <c r="R286">
        <f>[1]!'2104.CumulativeVolume'</f>
        <v>2431</v>
      </c>
      <c r="S286">
        <f>[1]!'2104.PreviousVolume'</f>
        <v>1656</v>
      </c>
      <c r="T286">
        <f t="shared" si="35"/>
        <v>7.7720207253885272E-3</v>
      </c>
      <c r="U286">
        <f>((T286*AB286)*D4)</f>
        <v>5.3346065995645862E-2</v>
      </c>
      <c r="V286" s="5">
        <f t="shared" si="36"/>
        <v>2314549.9999999995</v>
      </c>
      <c r="W286" s="5">
        <f t="shared" si="37"/>
        <v>0</v>
      </c>
      <c r="X286">
        <v>2104</v>
      </c>
      <c r="Y286" s="5">
        <v>9847336250</v>
      </c>
      <c r="Z286" s="3">
        <f>((D2*AB286)/P286)/10</f>
        <v>3.5604033225749322E-2</v>
      </c>
      <c r="AA286" s="3">
        <f>((M286*AB286)*D2)</f>
        <v>9.0024798011307139E-2</v>
      </c>
      <c r="AB286" s="3">
        <f>AE286/AE323</f>
        <v>5.3707030110192666E-4</v>
      </c>
      <c r="AC286" s="3">
        <f>AF286/AF323</f>
        <v>5.2524131721810429E-4</v>
      </c>
      <c r="AD286" s="5">
        <f t="shared" si="38"/>
        <v>19153069006.25</v>
      </c>
      <c r="AE286" s="5">
        <f t="shared" si="39"/>
        <v>19153069006.25</v>
      </c>
      <c r="AF286" s="5">
        <f t="shared" si="40"/>
        <v>18906885600</v>
      </c>
      <c r="AG286">
        <f t="shared" si="41"/>
        <v>0</v>
      </c>
      <c r="AH286">
        <f t="shared" si="42"/>
        <v>0</v>
      </c>
      <c r="AI286">
        <f t="shared" si="43"/>
        <v>0</v>
      </c>
      <c r="AJ286" t="str">
        <f t="shared" si="44"/>
        <v>UBM100</v>
      </c>
      <c r="AK286" t="str">
        <f>IF(Q286&lt;18,"down",IF(Q286=18,18,IF(Q286&gt;18,"up")))</f>
        <v>up</v>
      </c>
    </row>
    <row r="287" spans="1:37" x14ac:dyDescent="0.25">
      <c r="A287">
        <f>IF(X287=1409,1409,"Error")</f>
        <v>1409</v>
      </c>
      <c r="B287" t="str">
        <f>IF(K287&lt;11.45,"down",IF(K287=11.45,"low",IF(K287=11.85,"high",IF(AND(K287&gt;11.45,K287&lt;11.85),"normal","up"))))</f>
        <v>normal</v>
      </c>
      <c r="C287" t="str">
        <f>IF(K287&lt;11.45,"down",IF(K287=11.45,"low",IF(K287=11.85,"high",IF(AND(K287&gt;11.45,K287&lt;11.85),"normal","up"))))</f>
        <v>normal</v>
      </c>
      <c r="D287" t="str">
        <f>IF(K287&lt;11.45,"down",IF(K287=11.45,"low",IF(K287=11.85,"high",IF(AND(K287&gt;11.45,K287&lt;11.85),"normal","up"))))</f>
        <v>normal</v>
      </c>
      <c r="E287" t="str">
        <f>IF(K287&lt;11.15,"down",IF(K287=11.15,"low",IF(K287=11.9,"high",IF(AND(K287&gt;11.15,K287&lt;11.9),"normal","up"))))</f>
        <v>normal</v>
      </c>
      <c r="F287">
        <f>IF(P287&lt;11.55,"PVP-down",IF(P287=11.55,11.55,IF(P287&gt;11.55,"PVP-up")))</f>
        <v>11.55</v>
      </c>
      <c r="G287" t="str">
        <f>IF(R287&lt;1047,"PVV-down",IF(R287=1047,1047,IF(R287&gt;1047,"PVV-up")))</f>
        <v>PVV-down</v>
      </c>
      <c r="H287" s="3">
        <f t="shared" si="34"/>
        <v>5.5795527436823154E-4</v>
      </c>
      <c r="I287">
        <f>[1]!'1409.PreviousPrice'</f>
        <v>11.55</v>
      </c>
      <c r="J287">
        <f>[1]!'1409.PreOpenPrice'</f>
        <v>11.55</v>
      </c>
      <c r="K287">
        <f>[1]!'1409.Open'</f>
        <v>11.55</v>
      </c>
      <c r="L287">
        <f>[1]!'1409.Change'</f>
        <v>0</v>
      </c>
      <c r="M287">
        <f>[1]!'1409.ChangePercent'</f>
        <v>0</v>
      </c>
      <c r="N287">
        <f>[1]!'1409.BidPrice'</f>
        <v>11.5</v>
      </c>
      <c r="O287">
        <f>[1]!'1409.AskPrice'</f>
        <v>11.55</v>
      </c>
      <c r="P287">
        <f>[1]!'1409.Price'</f>
        <v>11.55</v>
      </c>
      <c r="Q287">
        <f>[1]!'1409.Volume'</f>
        <v>31</v>
      </c>
      <c r="R287">
        <f>[1]!'1409.CumulativeVolume'</f>
        <v>903</v>
      </c>
      <c r="S287">
        <f>[1]!'1409.PreviousVolume'</f>
        <v>4459</v>
      </c>
      <c r="T287">
        <f t="shared" si="35"/>
        <v>0</v>
      </c>
      <c r="U287">
        <f>((T287*AB287)*D4)</f>
        <v>0</v>
      </c>
      <c r="V287" s="5">
        <f t="shared" si="36"/>
        <v>0</v>
      </c>
      <c r="W287" s="5">
        <f t="shared" si="37"/>
        <v>358050</v>
      </c>
      <c r="X287">
        <v>1409</v>
      </c>
      <c r="Y287" s="5">
        <v>16184092910</v>
      </c>
      <c r="Z287" s="3">
        <f>((D2*AB287)/P287)/10</f>
        <v>5.85152133599839E-2</v>
      </c>
      <c r="AA287" s="3">
        <f>((M287*AB287)*D2)</f>
        <v>0</v>
      </c>
      <c r="AB287" s="3">
        <f>AE287/AE323</f>
        <v>5.2415907732884608E-4</v>
      </c>
      <c r="AC287" s="3">
        <f>AF287/AF323</f>
        <v>5.1928913089329808E-4</v>
      </c>
      <c r="AD287" s="5">
        <f t="shared" si="38"/>
        <v>18692627311.049999</v>
      </c>
      <c r="AE287" s="5">
        <f t="shared" si="39"/>
        <v>18692627311.049999</v>
      </c>
      <c r="AF287" s="5">
        <f t="shared" si="40"/>
        <v>18692627311.049999</v>
      </c>
      <c r="AG287">
        <f t="shared" si="41"/>
        <v>0</v>
      </c>
      <c r="AH287">
        <f t="shared" si="42"/>
        <v>0</v>
      </c>
      <c r="AI287">
        <f t="shared" si="43"/>
        <v>0</v>
      </c>
      <c r="AJ287">
        <f t="shared" si="44"/>
        <v>0</v>
      </c>
      <c r="AK287" t="str">
        <f>IF(Q287&lt;11,"down",IF(Q287=11,11,IF(Q287&gt;11,"up")))</f>
        <v>up</v>
      </c>
    </row>
    <row r="288" spans="1:37" x14ac:dyDescent="0.25">
      <c r="A288">
        <f>IF(X288=1215,1215,"Error")</f>
        <v>1215</v>
      </c>
      <c r="B288" t="str">
        <f>IF(K288&lt;70,"down",IF(K288=70,"low",IF(K288=72.3,"high",IF(AND(K288&gt;70,K288&lt;72.3),"normal","up"))))</f>
        <v>high</v>
      </c>
      <c r="C288" t="str">
        <f>IF(K288&lt;70,"down",IF(K288=70,"low",IF(K288=72.3,"high",IF(AND(K288&gt;70,K288&lt;72.3),"normal","up"))))</f>
        <v>high</v>
      </c>
      <c r="D288" t="str">
        <f>IF(K288&lt;70,"down",IF(K288=70,"low",IF(K288=72.3,"high",IF(AND(K288&gt;70,K288&lt;72.3),"normal","up"))))</f>
        <v>high</v>
      </c>
      <c r="E288" t="str">
        <f>IF(K288&lt;66.4,"down",IF(K288=66.4,"low",IF(K288=72.3,"high",IF(AND(K288&gt;66.4,K288&lt;72.3),"normal","up"))))</f>
        <v>high</v>
      </c>
      <c r="F288" t="str">
        <f>IF(P288&lt;72,"PVP-down",IF(P288=72,72,IF(P288&gt;72,"PVP-up")))</f>
        <v>PVP-down</v>
      </c>
      <c r="G288" t="str">
        <f>IF(R288&lt;604,"PVV-down",IF(R288=604,604,IF(R288&gt;604,"PVV-up")))</f>
        <v>PVV-up</v>
      </c>
      <c r="H288" s="3">
        <f t="shared" si="34"/>
        <v>1.0220492555499942E-2</v>
      </c>
      <c r="I288">
        <f>[1]!'1215.PreviousPrice'</f>
        <v>72.3</v>
      </c>
      <c r="J288">
        <f>[1]!'1215.PreOpenPrice'</f>
        <v>70.3</v>
      </c>
      <c r="K288">
        <f>[1]!'1215.Open'</f>
        <v>72.3</v>
      </c>
      <c r="L288">
        <f>[1]!'1215.Change'</f>
        <v>-2</v>
      </c>
      <c r="M288">
        <f>[1]!'1215.ChangePercent'</f>
        <v>-2.7699999999999999E-2</v>
      </c>
      <c r="N288">
        <f>[1]!'1215.BidPrice'</f>
        <v>70.3</v>
      </c>
      <c r="O288">
        <f>[1]!'1215.AskPrice'</f>
        <v>70.400000000000006</v>
      </c>
      <c r="P288">
        <f>[1]!'1215.Price'</f>
        <v>70.3</v>
      </c>
      <c r="Q288">
        <f>[1]!'1215.Volume'</f>
        <v>86</v>
      </c>
      <c r="R288">
        <f>[1]!'1215.CumulativeVolume'</f>
        <v>2739</v>
      </c>
      <c r="S288">
        <f>[1]!'1215.PreviousVolume'</f>
        <v>3946</v>
      </c>
      <c r="T288">
        <f t="shared" si="35"/>
        <v>-2.7662517289073308E-2</v>
      </c>
      <c r="U288">
        <f>((T288*AB288)*D4)</f>
        <v>-0.18676577911612499</v>
      </c>
      <c r="V288" s="5">
        <f t="shared" si="36"/>
        <v>6045800</v>
      </c>
      <c r="W288" s="5">
        <f t="shared" si="37"/>
        <v>0</v>
      </c>
      <c r="X288">
        <v>1215</v>
      </c>
      <c r="Y288" s="5">
        <v>2679909980</v>
      </c>
      <c r="Z288" s="3">
        <f>((D2*AB288)/P288)/10</f>
        <v>9.6894836885393441E-3</v>
      </c>
      <c r="AA288" s="3">
        <f>((M288*AB288)*D2)</f>
        <v>-0.18868428481529548</v>
      </c>
      <c r="AB288" s="3">
        <f>AE288/AE323</f>
        <v>5.2828501884932203E-4</v>
      </c>
      <c r="AC288" s="3">
        <f>AF288/AF323</f>
        <v>5.38266546049756E-4</v>
      </c>
      <c r="AD288" s="5">
        <f t="shared" si="38"/>
        <v>18839767159.400002</v>
      </c>
      <c r="AE288" s="5">
        <f t="shared" si="39"/>
        <v>18839767159.400002</v>
      </c>
      <c r="AF288" s="5">
        <f t="shared" si="40"/>
        <v>19375749155.400002</v>
      </c>
      <c r="AG288" t="str">
        <f t="shared" si="41"/>
        <v>DBM50</v>
      </c>
      <c r="AH288">
        <f t="shared" si="42"/>
        <v>0</v>
      </c>
      <c r="AI288">
        <f t="shared" si="43"/>
        <v>0</v>
      </c>
      <c r="AJ288">
        <f t="shared" si="44"/>
        <v>0</v>
      </c>
      <c r="AK288" t="str">
        <f>IF(Q288&lt;30,"down",IF(Q288=30,30,IF(Q288&gt;30,"up")))</f>
        <v>up</v>
      </c>
    </row>
    <row r="289" spans="1:37" x14ac:dyDescent="0.25">
      <c r="A289">
        <f>IF(X289=2520,2520,"Error")</f>
        <v>2520</v>
      </c>
      <c r="B289" t="str">
        <f>IF(K289&lt;35.05,"down",IF(K289=35.05,"low",IF(K289=35.55,"high",IF(AND(K289&gt;35.05,K289&lt;35.55),"normal","up"))))</f>
        <v>normal</v>
      </c>
      <c r="C289" t="str">
        <f>IF(K289&lt;35.05,"down",IF(K289=35.05,"low",IF(K289=35.55,"high",IF(AND(K289&gt;35.05,K289&lt;35.55),"normal","up"))))</f>
        <v>normal</v>
      </c>
      <c r="D289" t="str">
        <f>IF(K289&lt;35.05,"down",IF(K289=35.05,"low",IF(K289=35.55,"high",IF(AND(K289&gt;35.05,K289&lt;35.55),"normal","up"))))</f>
        <v>normal</v>
      </c>
      <c r="E289" t="str">
        <f>IF(K289&lt;34.65,"down",IF(K289=34.65,"low",IF(K289=36.45,"high",IF(AND(K289&gt;34.65,K289&lt;36.45),"normal","up"))))</f>
        <v>normal</v>
      </c>
      <c r="F289" t="str">
        <f>IF(P289&lt;35.4,"PVP-down",IF(P289=35.4,35.4,IF(P289&gt;35.4,"PVP-up")))</f>
        <v>PVP-up</v>
      </c>
      <c r="G289" t="str">
        <f>IF(R289&lt;259,"PVV-down",IF(R289=259,259,IF(R289&gt;259,"PVV-up")))</f>
        <v>PVV-up</v>
      </c>
      <c r="H289" s="3">
        <f t="shared" si="34"/>
        <v>4.0036443683988E-3</v>
      </c>
      <c r="I289">
        <f>[1]!'2520.PreviousPrice'</f>
        <v>35.15</v>
      </c>
      <c r="J289">
        <f>[1]!'2520.PreOpenPrice'</f>
        <v>35.700000000000003</v>
      </c>
      <c r="K289">
        <f>[1]!'2520.Open'</f>
        <v>35.5</v>
      </c>
      <c r="L289">
        <f>[1]!'2520.Change'</f>
        <v>0.55000000000000004</v>
      </c>
      <c r="M289">
        <f>[1]!'2520.ChangePercent'</f>
        <v>1.5599999999999999E-2</v>
      </c>
      <c r="N289">
        <f>[1]!'2520.BidPrice'</f>
        <v>35.700000000000003</v>
      </c>
      <c r="O289">
        <f>[1]!'2520.AskPrice'</f>
        <v>35.75</v>
      </c>
      <c r="P289">
        <f>[1]!'2520.Price'</f>
        <v>35.700000000000003</v>
      </c>
      <c r="Q289">
        <f>[1]!'2520.Volume'</f>
        <v>45</v>
      </c>
      <c r="R289">
        <f>[1]!'2520.CumulativeVolume'</f>
        <v>2017</v>
      </c>
      <c r="S289">
        <f>[1]!'2520.PreviousVolume'</f>
        <v>1077</v>
      </c>
      <c r="T289">
        <f t="shared" si="35"/>
        <v>5.6338028169014885E-3</v>
      </c>
      <c r="U289">
        <f>((T289*AB289)*D4)</f>
        <v>3.6312014065069696E-2</v>
      </c>
      <c r="V289" s="5">
        <f t="shared" si="36"/>
        <v>1606500.0000000002</v>
      </c>
      <c r="W289" s="5">
        <f t="shared" si="37"/>
        <v>0</v>
      </c>
      <c r="X289">
        <v>2520</v>
      </c>
      <c r="Y289" s="5">
        <v>5037910000</v>
      </c>
      <c r="Z289" s="3">
        <f>((D2*AB289)/P289)/10</f>
        <v>1.8215069585781101E-2</v>
      </c>
      <c r="AA289" s="3">
        <f>((M289*AB289)*D2)</f>
        <v>0.10144336553713211</v>
      </c>
      <c r="AB289" s="3">
        <f>AE289/AE323</f>
        <v>5.0432603087667549E-4</v>
      </c>
      <c r="AC289" s="3">
        <f>AF289/AF323</f>
        <v>4.9194281223970083E-4</v>
      </c>
      <c r="AD289" s="5">
        <f t="shared" si="38"/>
        <v>17985338700</v>
      </c>
      <c r="AE289" s="5">
        <f t="shared" si="39"/>
        <v>17985338700</v>
      </c>
      <c r="AF289" s="5">
        <f t="shared" si="40"/>
        <v>17708253650</v>
      </c>
      <c r="AG289">
        <f t="shared" si="41"/>
        <v>0</v>
      </c>
      <c r="AH289">
        <f t="shared" si="42"/>
        <v>0</v>
      </c>
      <c r="AI289">
        <f t="shared" si="43"/>
        <v>0</v>
      </c>
      <c r="AJ289" t="str">
        <f t="shared" si="44"/>
        <v>UBM10-50</v>
      </c>
      <c r="AK289" t="str">
        <f>IF(Q289&lt;16,"down",IF(Q289=16,16,IF(Q289&gt;16,"up")))</f>
        <v>up</v>
      </c>
    </row>
    <row r="290" spans="1:37" x14ac:dyDescent="0.25">
      <c r="A290">
        <f>IF(X290=2206,2206,"Error")</f>
        <v>2206</v>
      </c>
      <c r="B290" t="str">
        <f>IF(K290&lt;22.7,"down",IF(K290=22.7,"low",IF(K290=23.5,"high",IF(AND(K290&gt;22.7,K290&lt;23.5),"normal","up"))))</f>
        <v>normal</v>
      </c>
      <c r="C290" t="str">
        <f>IF(K290&lt;22.7,"down",IF(K290=22.7,"low",IF(K290=23.5,"high",IF(AND(K290&gt;22.7,K290&lt;23.5),"normal","up"))))</f>
        <v>normal</v>
      </c>
      <c r="D290" t="str">
        <f>IF(K290&lt;22.7,"down",IF(K290=22.7,"low",IF(K290=23.5,"high",IF(AND(K290&gt;22.7,K290&lt;23.5),"normal","up"))))</f>
        <v>normal</v>
      </c>
      <c r="E290" t="str">
        <f>IF(K290&lt;20.8,"down",IF(K290=20.8,"low",IF(K290=23.5,"high",IF(AND(K290&gt;20.8,K290&lt;23.5),"normal","up"))))</f>
        <v>normal</v>
      </c>
      <c r="F290" t="str">
        <f>IF(P290&lt;22.9,"PVP-down",IF(P290=22.9,22.9,IF(P290&gt;22.9,"PVP-up")))</f>
        <v>PVP-up</v>
      </c>
      <c r="G290" t="str">
        <f>IF(R290&lt;590,"PVV-down",IF(R290=590,590,IF(R290&gt;590,"PVV-up")))</f>
        <v>PVV-up</v>
      </c>
      <c r="H290" s="3">
        <f t="shared" si="34"/>
        <v>4.9128276747389902E-3</v>
      </c>
      <c r="I290">
        <f>[1]!'2206.PreviousPrice'</f>
        <v>23.2</v>
      </c>
      <c r="J290">
        <f>[1]!'2206.PreOpenPrice'</f>
        <v>23</v>
      </c>
      <c r="K290">
        <f>[1]!'2206.Open'</f>
        <v>23.2</v>
      </c>
      <c r="L290">
        <f>[1]!'2206.Change'</f>
        <v>-0.2</v>
      </c>
      <c r="M290">
        <f>[1]!'2206.ChangePercent'</f>
        <v>-8.6E-3</v>
      </c>
      <c r="N290">
        <f>[1]!'2206.BidPrice'</f>
        <v>23</v>
      </c>
      <c r="O290">
        <f>[1]!'2206.AskPrice'</f>
        <v>23.05</v>
      </c>
      <c r="P290">
        <f>[1]!'2206.Price'</f>
        <v>23</v>
      </c>
      <c r="Q290">
        <f>[1]!'2206.Volume'</f>
        <v>133</v>
      </c>
      <c r="R290">
        <f>[1]!'2206.CumulativeVolume'</f>
        <v>4001</v>
      </c>
      <c r="S290">
        <f>[1]!'2206.PreviousVolume'</f>
        <v>5284</v>
      </c>
      <c r="T290">
        <f t="shared" si="35"/>
        <v>-8.6206896551723842E-3</v>
      </c>
      <c r="U290">
        <f>((T290*AB290)*D4)</f>
        <v>-5.7867796004151373E-2</v>
      </c>
      <c r="V290" s="5">
        <f t="shared" si="36"/>
        <v>3059000</v>
      </c>
      <c r="W290" s="5">
        <f t="shared" si="37"/>
        <v>0</v>
      </c>
      <c r="X290">
        <v>2206</v>
      </c>
      <c r="Y290" s="5">
        <v>8143986040</v>
      </c>
      <c r="Z290" s="3">
        <f>((D2*AB290)/P290)/10</f>
        <v>2.9445399466094046E-2</v>
      </c>
      <c r="AA290" s="3">
        <f>((M290*AB290)*D2)</f>
        <v>-5.8243000143934034E-2</v>
      </c>
      <c r="AB290" s="3">
        <f>AE290/AE323</f>
        <v>5.252397919343595E-4</v>
      </c>
      <c r="AC290" s="3">
        <f>AF290/AF323</f>
        <v>5.2488467247766338E-4</v>
      </c>
      <c r="AD290" s="5">
        <f t="shared" si="38"/>
        <v>18731167892</v>
      </c>
      <c r="AE290" s="5">
        <f t="shared" si="39"/>
        <v>18731167892</v>
      </c>
      <c r="AF290" s="5">
        <f t="shared" si="40"/>
        <v>18894047612.799999</v>
      </c>
      <c r="AG290" t="str">
        <f t="shared" si="41"/>
        <v>DBM100</v>
      </c>
      <c r="AH290">
        <f t="shared" si="42"/>
        <v>0</v>
      </c>
      <c r="AI290">
        <f t="shared" si="43"/>
        <v>0</v>
      </c>
      <c r="AJ290">
        <f t="shared" si="44"/>
        <v>0</v>
      </c>
      <c r="AK290" t="str">
        <f>IF(Q290&lt;204,"down",IF(Q290=204,204,IF(Q290&gt;204,"up")))</f>
        <v>down</v>
      </c>
    </row>
    <row r="291" spans="1:37" x14ac:dyDescent="0.25">
      <c r="A291">
        <f>IF(X291=1909,1909,"Error")</f>
        <v>1909</v>
      </c>
      <c r="B291" t="str">
        <f>IF(K291&lt;14.9,"down",IF(K291=14.9,"low",IF(K291=15.5,"high",IF(AND(K291&gt;14.9,K291&lt;15.5),"normal","up"))))</f>
        <v>normal</v>
      </c>
      <c r="C291" t="str">
        <f>IF(K291&lt;14.9,"down",IF(K291=14.9,"low",IF(K291=15.5,"high",IF(AND(K291&gt;14.9,K291&lt;15.5),"normal","up"))))</f>
        <v>normal</v>
      </c>
      <c r="D291" t="str">
        <f>IF(K291&lt;14.9,"down",IF(K291=14.9,"low",IF(K291=15.5,"high",IF(AND(K291&gt;14.9,K291&lt;15.5),"normal","up"))))</f>
        <v>normal</v>
      </c>
      <c r="E291" t="str">
        <f>IF(K291&lt;14.15,"down",IF(K291=14.15,"low",IF(K291=15.5,"high",IF(AND(K291&gt;14.15,K291&lt;15.5),"normal","up"))))</f>
        <v>normal</v>
      </c>
      <c r="F291" t="str">
        <f>IF(P291&lt;15,"PVP-down",IF(P291=15,15,IF(P291&gt;15,"PVP-up")))</f>
        <v>PVP-up</v>
      </c>
      <c r="G291" t="str">
        <f>IF(R291&lt;2142,"PVV-down",IF(R291=2142,2142,IF(R291&gt;2142,"PVV-up")))</f>
        <v>PVV-up</v>
      </c>
      <c r="H291" s="3">
        <f t="shared" si="34"/>
        <v>6.8917618182774351E-3</v>
      </c>
      <c r="I291">
        <f>[1]!'1909.PreviousPrice'</f>
        <v>15</v>
      </c>
      <c r="J291">
        <f>[1]!'1909.PreOpenPrice'</f>
        <v>15.05</v>
      </c>
      <c r="K291">
        <f>[1]!'1909.Open'</f>
        <v>15.1</v>
      </c>
      <c r="L291">
        <f>[1]!'1909.Change'</f>
        <v>0.05</v>
      </c>
      <c r="M291">
        <f>[1]!'1909.ChangePercent'</f>
        <v>3.3E-3</v>
      </c>
      <c r="N291">
        <f>[1]!'1909.BidPrice'</f>
        <v>15.05</v>
      </c>
      <c r="O291">
        <f>[1]!'1909.AskPrice'</f>
        <v>15.1</v>
      </c>
      <c r="P291">
        <f>[1]!'1909.Price'</f>
        <v>15.05</v>
      </c>
      <c r="Q291">
        <f>[1]!'1909.Volume'</f>
        <v>241</v>
      </c>
      <c r="R291">
        <f>[1]!'1909.CumulativeVolume'</f>
        <v>8392</v>
      </c>
      <c r="S291">
        <f>[1]!'1909.PreviousVolume'</f>
        <v>13823</v>
      </c>
      <c r="T291">
        <f t="shared" si="35"/>
        <v>-3.3112582781456247E-3</v>
      </c>
      <c r="U291">
        <f>((T291*AB291)*D4)</f>
        <v>-2.1746774291143363E-2</v>
      </c>
      <c r="V291" s="5">
        <f t="shared" si="36"/>
        <v>3627050</v>
      </c>
      <c r="W291" s="5">
        <f t="shared" si="37"/>
        <v>0</v>
      </c>
      <c r="X291">
        <v>1909</v>
      </c>
      <c r="Y291" s="5">
        <v>12176857270</v>
      </c>
      <c r="Z291" s="3">
        <f>((D2*AB291)/P291)/10</f>
        <v>4.402665043821237E-2</v>
      </c>
      <c r="AA291" s="3">
        <f>((M291*AB291)*D2)</f>
        <v>2.1865835940138176E-2</v>
      </c>
      <c r="AB291" s="3">
        <f>AE291/AE323</f>
        <v>5.1388327058716934E-4</v>
      </c>
      <c r="AC291" s="3">
        <f>AF291/AF323</f>
        <v>5.0741740501711579E-4</v>
      </c>
      <c r="AD291" s="5">
        <f t="shared" si="38"/>
        <v>18326170191.349998</v>
      </c>
      <c r="AE291" s="5">
        <f t="shared" si="39"/>
        <v>18326170191.349998</v>
      </c>
      <c r="AF291" s="5">
        <f t="shared" si="40"/>
        <v>18265285905</v>
      </c>
      <c r="AG291">
        <f t="shared" si="41"/>
        <v>0</v>
      </c>
      <c r="AH291">
        <f t="shared" si="42"/>
        <v>0</v>
      </c>
      <c r="AI291">
        <f t="shared" si="43"/>
        <v>0</v>
      </c>
      <c r="AJ291" t="str">
        <f t="shared" si="44"/>
        <v>UBM200</v>
      </c>
      <c r="AK291" t="str">
        <f>IF(Q291&lt;138,"down",IF(Q291=138,138,IF(Q291&gt;138,"up")))</f>
        <v>up</v>
      </c>
    </row>
    <row r="292" spans="1:37" x14ac:dyDescent="0.25">
      <c r="A292">
        <f>IF(X292=2108,2108,"Error")</f>
        <v>2108</v>
      </c>
      <c r="B292" t="str">
        <f>IF(K292&lt;37.6,"down",IF(K292=37.6,"low",IF(K292=38.8,"high",IF(AND(K292&gt;37.6,K292&lt;38.8),"normal","up"))))</f>
        <v>normal</v>
      </c>
      <c r="C292" t="str">
        <f>IF(K292&lt;37.6,"down",IF(K292=37.6,"low",IF(K292=38.8,"high",IF(AND(K292&gt;37.6,K292&lt;38.8),"normal","up"))))</f>
        <v>normal</v>
      </c>
      <c r="D292" t="str">
        <f>IF(K292&lt;37.6,"down",IF(K292=37.6,"low",IF(K292=38.8,"high",IF(AND(K292&gt;37.6,K292&lt;38.8),"normal","up"))))</f>
        <v>normal</v>
      </c>
      <c r="E292" t="str">
        <f>IF(K292&lt;35.35,"down",IF(K292=35.35,"low",IF(K292=39.1,"high",IF(AND(K292&gt;35.35,K292&lt;39.1),"normal","up"))))</f>
        <v>normal</v>
      </c>
      <c r="F292" t="str">
        <f>IF(P292&lt;38.5,"PVP-down",IF(P292=38.5,38.5,IF(P292&gt;38.5,"PVP-up")))</f>
        <v>PVP-down</v>
      </c>
      <c r="G292" t="str">
        <f>IF(R292&lt;306,"PVV-down",IF(R292=306,306,IF(R292&gt;306,"PVV-up")))</f>
        <v>PVV-up</v>
      </c>
      <c r="H292" s="3">
        <f t="shared" si="34"/>
        <v>4.0433238063946166E-3</v>
      </c>
      <c r="I292">
        <f>[1]!'2108.PreviousPrice'</f>
        <v>38.25</v>
      </c>
      <c r="J292">
        <f>[1]!'2108.PreOpenPrice'</f>
        <v>36.950000000000003</v>
      </c>
      <c r="K292">
        <f>[1]!'2108.Open'</f>
        <v>38.25</v>
      </c>
      <c r="L292">
        <f>[1]!'2108.Change'</f>
        <v>-1.3</v>
      </c>
      <c r="M292">
        <f>[1]!'2108.ChangePercent'</f>
        <v>-3.4000000000000002E-2</v>
      </c>
      <c r="N292">
        <f>[1]!'2108.BidPrice'</f>
        <v>36.950000000000003</v>
      </c>
      <c r="O292">
        <f>[1]!'2108.AskPrice'</f>
        <v>37</v>
      </c>
      <c r="P292">
        <f>[1]!'2108.Price'</f>
        <v>36.950000000000003</v>
      </c>
      <c r="Q292">
        <f>[1]!'2108.Volume'</f>
        <v>53</v>
      </c>
      <c r="R292">
        <f>[1]!'2108.CumulativeVolume'</f>
        <v>1991</v>
      </c>
      <c r="S292">
        <f>[1]!'2108.PreviousVolume'</f>
        <v>2510</v>
      </c>
      <c r="T292">
        <f t="shared" si="35"/>
        <v>-3.3986928104575091E-2</v>
      </c>
      <c r="U292">
        <f>((T292*AB292)*D4)</f>
        <v>-0.2216099048107445</v>
      </c>
      <c r="V292" s="5">
        <f t="shared" si="36"/>
        <v>1958350.0000000002</v>
      </c>
      <c r="W292" s="5">
        <f t="shared" si="37"/>
        <v>0</v>
      </c>
      <c r="X292">
        <v>2108</v>
      </c>
      <c r="Y292" s="5">
        <v>4924166590</v>
      </c>
      <c r="Z292" s="3">
        <f>((D2*AB292)/P292)/10</f>
        <v>1.7803818863145315E-2</v>
      </c>
      <c r="AA292" s="3">
        <f>((M292*AB292)*D2)</f>
        <v>-0.22366937637769463</v>
      </c>
      <c r="AB292" s="3">
        <f>AE292/AE323</f>
        <v>5.1019940049109626E-4</v>
      </c>
      <c r="AC292" s="3">
        <f>AF292/AF323</f>
        <v>5.2324256027622292E-4</v>
      </c>
      <c r="AD292" s="5">
        <f t="shared" si="38"/>
        <v>18194795550.049999</v>
      </c>
      <c r="AE292" s="5">
        <f t="shared" si="39"/>
        <v>18194795550.049999</v>
      </c>
      <c r="AF292" s="5">
        <f t="shared" si="40"/>
        <v>18834937206.75</v>
      </c>
      <c r="AG292" t="str">
        <f t="shared" si="41"/>
        <v>DBM50</v>
      </c>
      <c r="AH292">
        <f t="shared" si="42"/>
        <v>0</v>
      </c>
      <c r="AI292">
        <f t="shared" si="43"/>
        <v>0</v>
      </c>
      <c r="AJ292">
        <f t="shared" si="44"/>
        <v>0</v>
      </c>
      <c r="AK292" t="str">
        <f>IF(Q292&lt;29,"down",IF(Q292=29,29,IF(Q292&gt;29,"up")))</f>
        <v>up</v>
      </c>
    </row>
    <row r="293" spans="1:37" x14ac:dyDescent="0.25">
      <c r="A293">
        <f>IF(X293=4551,4551,"Error")</f>
        <v>4551</v>
      </c>
      <c r="B293" t="str">
        <f>IF(K293&lt;171,"down",IF(K293=171,"low",IF(K293=176.5,"high",IF(AND(K293&gt;171,K293&lt;176.5),"normal","up"))))</f>
        <v>up</v>
      </c>
      <c r="C293" t="str">
        <f>IF(K293&lt;171,"down",IF(K293=171,"low",IF(K293=176.5,"high",IF(AND(K293&gt;171,K293&lt;176.5),"normal","up"))))</f>
        <v>up</v>
      </c>
      <c r="D293" t="str">
        <f>IF(K293&lt;171,"down",IF(K293=171,"low",IF(K293=176.5,"high",IF(AND(K293&gt;171,K293&lt;176.5),"normal","up"))))</f>
        <v>up</v>
      </c>
      <c r="E293" t="str">
        <f>IF(K293&lt;163,"down",IF(K293=163,"low",IF(K293=185.5,"high",IF(AND(K293&gt;163,K293&lt;185.5),"normal","up"))))</f>
        <v>normal</v>
      </c>
      <c r="F293" t="str">
        <f>IF(P293&lt;175,"PVP-down",IF(P293=175,175,IF(P293&gt;175,"PVP-up")))</f>
        <v>PVP-down</v>
      </c>
      <c r="G293" t="str">
        <f>IF(R293&lt;75,"PVV-down",IF(R293=75,75,IF(R293&gt;75,"PVV-up")))</f>
        <v>PVV-up</v>
      </c>
      <c r="H293" s="3">
        <f t="shared" si="34"/>
        <v>5.040874506768365E-3</v>
      </c>
      <c r="I293">
        <f>[1]!'4551.PreviousPrice'</f>
        <v>176</v>
      </c>
      <c r="J293">
        <f>[1]!'4551.PreOpenPrice'</f>
        <v>170</v>
      </c>
      <c r="K293">
        <f>[1]!'4551.Open'</f>
        <v>178.5</v>
      </c>
      <c r="L293">
        <f>[1]!'4551.Change'</f>
        <v>-6</v>
      </c>
      <c r="M293">
        <f>[1]!'4551.ChangePercent'</f>
        <v>-3.4099999999999998E-2</v>
      </c>
      <c r="N293">
        <f>[1]!'4551.BidPrice'</f>
        <v>170</v>
      </c>
      <c r="O293">
        <f>[1]!'4551.AskPrice'</f>
        <v>170.5</v>
      </c>
      <c r="P293">
        <f>[1]!'4551.Price'</f>
        <v>170</v>
      </c>
      <c r="Q293">
        <f>[1]!'4551.Volume'</f>
        <v>19</v>
      </c>
      <c r="R293">
        <f>[1]!'4551.CumulativeVolume'</f>
        <v>534</v>
      </c>
      <c r="S293">
        <f>[1]!'4551.PreviousVolume'</f>
        <v>468</v>
      </c>
      <c r="T293">
        <f t="shared" si="35"/>
        <v>-4.7619047619047616E-2</v>
      </c>
      <c r="U293">
        <f>((T293*AB293)*D4)</f>
        <v>-0.30732300594376627</v>
      </c>
      <c r="V293" s="5">
        <f t="shared" si="36"/>
        <v>3230000</v>
      </c>
      <c r="W293" s="5">
        <f t="shared" si="37"/>
        <v>0</v>
      </c>
      <c r="X293">
        <v>4551</v>
      </c>
      <c r="Y293" s="5">
        <v>1059340000</v>
      </c>
      <c r="Z293" s="3">
        <f>((D2*AB293)/P293)/10</f>
        <v>3.830150164453385E-3</v>
      </c>
      <c r="AA293" s="3">
        <f>((M293*AB293)*D2)</f>
        <v>-0.2220338050333627</v>
      </c>
      <c r="AB293" s="3">
        <f>AE293/AE323</f>
        <v>5.0498334726002442E-4</v>
      </c>
      <c r="AC293" s="3">
        <f>AF293/AF323</f>
        <v>5.1794891120937169E-4</v>
      </c>
      <c r="AD293" s="5">
        <f t="shared" si="38"/>
        <v>18008780000</v>
      </c>
      <c r="AE293" s="5">
        <f t="shared" si="39"/>
        <v>18008780000</v>
      </c>
      <c r="AF293" s="5">
        <f t="shared" si="40"/>
        <v>18644384000</v>
      </c>
      <c r="AG293" t="str">
        <f t="shared" si="41"/>
        <v>DBM10-50</v>
      </c>
      <c r="AH293">
        <f t="shared" si="42"/>
        <v>0</v>
      </c>
      <c r="AI293">
        <f t="shared" si="43"/>
        <v>0</v>
      </c>
      <c r="AJ293">
        <f t="shared" si="44"/>
        <v>0</v>
      </c>
      <c r="AK293" t="str">
        <f>IF(Q293&lt;5,"down",IF(Q293=5,5,IF(Q293&gt;5,"up")))</f>
        <v>up</v>
      </c>
    </row>
    <row r="294" spans="1:37" x14ac:dyDescent="0.25">
      <c r="A294">
        <f>IF(X294=1903,1903,"Error")</f>
        <v>1903</v>
      </c>
      <c r="B294" t="str">
        <f>IF(K294&lt;74,"down",IF(K294=74,"low",IF(K294=78.5,"high",IF(AND(K294&gt;74,K294&lt;78.5),"normal","up"))))</f>
        <v>down</v>
      </c>
      <c r="C294" t="str">
        <f>IF(K294&lt;74,"down",IF(K294=74,"low",IF(K294=78.5,"high",IF(AND(K294&gt;74,K294&lt;78.5),"normal","up"))))</f>
        <v>down</v>
      </c>
      <c r="D294" t="str">
        <f>IF(K294&lt;74,"down",IF(K294=74,"low",IF(K294=78.5,"high",IF(AND(K294&gt;74,K294&lt;78.5),"normal","up"))))</f>
        <v>down</v>
      </c>
      <c r="E294" t="str">
        <f>IF(K294&lt;67.4,"down",IF(K294=67.4,"low",IF(K294=78.5,"high",IF(AND(K294&gt;67.4,K294&lt;78.5),"normal","up"))))</f>
        <v>normal</v>
      </c>
      <c r="F294" t="str">
        <f>IF(P294&lt;77,"PVP-down",IF(P294=77,77,IF(P294&gt;77,"PVP-up")))</f>
        <v>PVP-down</v>
      </c>
      <c r="G294" t="str">
        <f>IF(R294&lt;101,"PVV-down",IF(R294=101,101,IF(R294&gt;101,"PVV-up")))</f>
        <v>PVV-up</v>
      </c>
      <c r="H294" s="3">
        <f t="shared" ref="H294:H322" si="45">R294/(Y294/10000)</f>
        <v>2.3765654860831496E-3</v>
      </c>
      <c r="I294">
        <f>[1]!'1903.PreviousPrice'</f>
        <v>74.099999999999994</v>
      </c>
      <c r="J294">
        <f>[1]!'1903.PreOpenPrice'</f>
        <v>72.099999999999994</v>
      </c>
      <c r="K294">
        <f>[1]!'1903.Open'</f>
        <v>73.900000000000006</v>
      </c>
      <c r="L294">
        <f>[1]!'1903.Change'</f>
        <v>-2.1</v>
      </c>
      <c r="M294">
        <f>[1]!'1903.ChangePercent'</f>
        <v>-2.8299999999999999E-2</v>
      </c>
      <c r="N294">
        <f>[1]!'1903.BidPrice'</f>
        <v>72</v>
      </c>
      <c r="O294">
        <f>[1]!'1903.AskPrice'</f>
        <v>73</v>
      </c>
      <c r="P294">
        <f>[1]!'1903.Price'</f>
        <v>72</v>
      </c>
      <c r="Q294">
        <f>[1]!'1903.Volume'</f>
        <v>13</v>
      </c>
      <c r="R294">
        <f>[1]!'1903.CumulativeVolume'</f>
        <v>618</v>
      </c>
      <c r="S294">
        <f>[1]!'1903.PreviousVolume'</f>
        <v>1056</v>
      </c>
      <c r="T294">
        <f t="shared" ref="T294:T322" si="46">((P294-K294)/K294)</f>
        <v>-2.5710419485791686E-2</v>
      </c>
      <c r="U294">
        <f>((T294*AB294)*D4)</f>
        <v>-0.17250846977516848</v>
      </c>
      <c r="V294" s="5">
        <f t="shared" ref="V294:V322" si="47">IF(P294&lt;=N294,(P294*Q294*1000),0)</f>
        <v>936000</v>
      </c>
      <c r="W294" s="5">
        <f t="shared" ref="W294:W322" si="48">IF(P294&gt;=O294,(P294*Q294*1000),0)</f>
        <v>0</v>
      </c>
      <c r="X294">
        <v>1903</v>
      </c>
      <c r="Y294" s="5">
        <v>2600391210</v>
      </c>
      <c r="Z294" s="3">
        <f>((D2*AB294)/P294)/10</f>
        <v>9.401975589163664E-3</v>
      </c>
      <c r="AA294" s="3">
        <f>((M294*AB294)*D2)</f>
        <v>-0.19157465460479883</v>
      </c>
      <c r="AB294" s="3">
        <f>AE294/AE323</f>
        <v>5.2500561689140985E-4</v>
      </c>
      <c r="AC294" s="3">
        <f>AF294/AF323</f>
        <v>5.3529819960262514E-4</v>
      </c>
      <c r="AD294" s="5">
        <f t="shared" ref="AD294:AD322" si="49">IF(ISNA(J294),(I294*Y294)/10,(J294*Y294)/10)</f>
        <v>18748820624.099998</v>
      </c>
      <c r="AE294" s="5">
        <f t="shared" ref="AE294:AE322" si="50">IF(ISNA(P294),(I294*Y294)/10,(P294*Y294)/10)</f>
        <v>18722816712</v>
      </c>
      <c r="AF294" s="5">
        <f t="shared" ref="AF294:AF322" si="51">(I294*Y294)/10</f>
        <v>19268898866.099998</v>
      </c>
      <c r="AG294" t="str">
        <f t="shared" ref="AG294:AG322" si="52">IF(AND(P294&lt;=N294,L294&lt;0),IF(Q294&lt;10,"DBL10",IF(Q294&gt;=200,"DBM200",IF(Q294&gt;=150,"DBM150",IF(Q294&gt;=100,"DBM100",IF(Q294&gt;=50,"DBM50","DBM10-50"))))),0)</f>
        <v>DBM10-50</v>
      </c>
      <c r="AH294">
        <f t="shared" ref="AH294:AH322" si="53">IF(AND(P294&gt;=O294,L294&lt;0),IF(Q294&lt;10,"DAL10",IF(Q294&gt;=200,"DAM200",IF(Q294&gt;=150,"DAM150",IF(Q294&gt;=100,"DAM100",IF(Q294&gt;=50,"DAM50","DAM10-50"))))),0)</f>
        <v>0</v>
      </c>
      <c r="AI294">
        <f t="shared" ref="AI294:AI322" si="54">IF(AND(P294&gt;=O294,L294&gt;0),IF(Q294&lt;10,"UAL10",IF(Q294&gt;=200,"UAM200",IF(Q294&gt;=150,"UAM150",IF(Q294&gt;=100,"UAM100",IF(Q294&gt;=50,"UAM50","UAM10-50"))))),0)</f>
        <v>0</v>
      </c>
      <c r="AJ294">
        <f t="shared" ref="AJ294:AJ322" si="55">IF(AND(P294&lt;=N294,L294&gt;0),IF(Q294&lt;10,"UBL10",IF(Q294&gt;=200,"UBM200",IF(Q294&gt;=150,"UBM150",IF(Q294&gt;=100,"UBM100",IF(Q294&gt;=50,"UBM50","UBM10-50"))))),0)</f>
        <v>0</v>
      </c>
      <c r="AK294" t="str">
        <f>IF(Q294&lt;6,"down",IF(Q294=6,6,IF(Q294&gt;6,"up")))</f>
        <v>up</v>
      </c>
    </row>
    <row r="295" spans="1:37" x14ac:dyDescent="0.25">
      <c r="A295">
        <f>IF(X295=2707,2707,"Error")</f>
        <v>2707</v>
      </c>
      <c r="B295" t="str">
        <f>IF(K295&lt;133,"down",IF(K295=133,"low",IF(K295=136,"high",IF(AND(K295&gt;133,K295&lt;136),"normal","up"))))</f>
        <v>normal</v>
      </c>
      <c r="C295" t="str">
        <f>IF(K295&lt;133,"down",IF(K295=133,"low",IF(K295=136,"high",IF(AND(K295&gt;133,K295&lt;136),"normal","up"))))</f>
        <v>normal</v>
      </c>
      <c r="D295" t="str">
        <f>IF(K295&lt;133,"down",IF(K295=133,"low",IF(K295=136,"high",IF(AND(K295&gt;133,K295&lt;136),"normal","up"))))</f>
        <v>normal</v>
      </c>
      <c r="E295" t="str">
        <f>IF(K295&lt;130.5,"down",IF(K295=130.5,"low",IF(K295=136,"high",IF(AND(K295&gt;130.5,K295&lt;136),"normal","up"))))</f>
        <v>normal</v>
      </c>
      <c r="F295" t="str">
        <f>IF(P295&lt;133.5,"PVP-down",IF(P295=133.5,133.5,IF(P295&gt;133.5,"PVP-up")))</f>
        <v>PVP-up</v>
      </c>
      <c r="G295" t="str">
        <f>IF(R295&lt;58,"PVV-down",IF(R295=58,58,IF(R295&gt;58,"PVV-up")))</f>
        <v>PVV-up</v>
      </c>
      <c r="H295" s="3">
        <f t="shared" si="45"/>
        <v>1.2009233263673503E-3</v>
      </c>
      <c r="I295">
        <f>[1]!'2707.PreviousPrice'</f>
        <v>133.5</v>
      </c>
      <c r="J295">
        <f>[1]!'2707.PreOpenPrice'</f>
        <v>134.5</v>
      </c>
      <c r="K295">
        <f>[1]!'2707.Open'</f>
        <v>133.5</v>
      </c>
      <c r="L295">
        <f>[1]!'2707.Change'</f>
        <v>1</v>
      </c>
      <c r="M295">
        <f>[1]!'2707.ChangePercent'</f>
        <v>7.4999999999999997E-3</v>
      </c>
      <c r="N295">
        <f>[1]!'2707.BidPrice'</f>
        <v>134</v>
      </c>
      <c r="O295">
        <f>[1]!'2707.AskPrice'</f>
        <v>134.5</v>
      </c>
      <c r="P295">
        <f>[1]!'2707.Price'</f>
        <v>134.5</v>
      </c>
      <c r="Q295">
        <f>[1]!'2707.Volume'</f>
        <v>6</v>
      </c>
      <c r="R295">
        <f>[1]!'2707.CumulativeVolume'</f>
        <v>153</v>
      </c>
      <c r="S295">
        <f>[1]!'2707.PreviousVolume'</f>
        <v>163</v>
      </c>
      <c r="T295">
        <f t="shared" si="46"/>
        <v>7.4906367041198503E-3</v>
      </c>
      <c r="U295">
        <f>((T295*AB295)*D4)</f>
        <v>4.5998878516833111E-2</v>
      </c>
      <c r="V295" s="5">
        <f t="shared" si="47"/>
        <v>0</v>
      </c>
      <c r="W295" s="5">
        <f t="shared" si="48"/>
        <v>807000</v>
      </c>
      <c r="X295">
        <v>2707</v>
      </c>
      <c r="Y295" s="5">
        <v>1274019720</v>
      </c>
      <c r="Z295" s="3">
        <f>((D2*AB295)/P295)/10</f>
        <v>4.6063462533982059E-3</v>
      </c>
      <c r="AA295" s="3">
        <f>((M295*AB295)*D2)</f>
        <v>4.6466517831154401E-2</v>
      </c>
      <c r="AB295" s="3">
        <f>AE295/AE323</f>
        <v>4.8049757335354328E-4</v>
      </c>
      <c r="AC295" s="3">
        <f>AF295/AF323</f>
        <v>4.7249400372917306E-4</v>
      </c>
      <c r="AD295" s="5">
        <f t="shared" si="49"/>
        <v>17135565234</v>
      </c>
      <c r="AE295" s="5">
        <f t="shared" si="50"/>
        <v>17135565234</v>
      </c>
      <c r="AF295" s="5">
        <f t="shared" si="51"/>
        <v>17008163262</v>
      </c>
      <c r="AG295">
        <f t="shared" si="52"/>
        <v>0</v>
      </c>
      <c r="AH295">
        <f t="shared" si="53"/>
        <v>0</v>
      </c>
      <c r="AI295" t="str">
        <f t="shared" si="54"/>
        <v>UAL10</v>
      </c>
      <c r="AJ295">
        <f t="shared" si="55"/>
        <v>0</v>
      </c>
      <c r="AK295" t="str">
        <f>IF(Q295&lt;7,"down",IF(Q295=7,7,IF(Q295&gt;7,"up")))</f>
        <v>down</v>
      </c>
    </row>
    <row r="296" spans="1:37" x14ac:dyDescent="0.25">
      <c r="A296">
        <f>IF(X296=2723,2723,"Error")</f>
        <v>2723</v>
      </c>
      <c r="B296" t="str">
        <f>IF(K296&lt;95.3,"down",IF(K296=95.3,"low",IF(K296=98.3,"high",IF(AND(K296&gt;95.3,K296&lt;98.3),"normal","up"))))</f>
        <v>up</v>
      </c>
      <c r="C296" t="str">
        <f>IF(K296&lt;95.3,"down",IF(K296=95.3,"low",IF(K296=98.3,"high",IF(AND(K296&gt;95.3,K296&lt;98.3),"normal","up"))))</f>
        <v>up</v>
      </c>
      <c r="D296" t="str">
        <f>IF(K296&lt;95.3,"down",IF(K296=95.3,"low",IF(K296=98.3,"high",IF(AND(K296&gt;95.3,K296&lt;98.3),"normal","up"))))</f>
        <v>up</v>
      </c>
      <c r="E296" t="str">
        <f>IF(K296&lt;91,"down",IF(K296=91,"low",IF(K296=98.3,"high",IF(AND(K296&gt;91,K296&lt;98.3),"normal","up"))))</f>
        <v>up</v>
      </c>
      <c r="F296" t="str">
        <f>IF(P296&lt;96,"PVP-down",IF(P296=96,96,IF(P296&gt;96,"PVP-up")))</f>
        <v>PVP-up</v>
      </c>
      <c r="G296" t="str">
        <f>IF(R296&lt;116,"PVV-down",IF(R296=116,116,IF(R296&gt;116,"PVV-up")))</f>
        <v>PVV-up</v>
      </c>
      <c r="H296" s="3">
        <f t="shared" si="45"/>
        <v>1.3188888888888889E-2</v>
      </c>
      <c r="I296">
        <f>[1]!'2723.PreviousPrice'</f>
        <v>96.4</v>
      </c>
      <c r="J296">
        <f>[1]!'2723.PreOpenPrice'</f>
        <v>100</v>
      </c>
      <c r="K296">
        <f>[1]!'2723.Open'</f>
        <v>98.5</v>
      </c>
      <c r="L296">
        <f>[1]!'2723.Change'</f>
        <v>3.6</v>
      </c>
      <c r="M296">
        <f>[1]!'2723.ChangePercent'</f>
        <v>3.73E-2</v>
      </c>
      <c r="N296">
        <f>[1]!'2723.BidPrice'</f>
        <v>100</v>
      </c>
      <c r="O296">
        <f>[1]!'2723.AskPrice'</f>
        <v>100.5</v>
      </c>
      <c r="P296">
        <f>[1]!'2723.Price'</f>
        <v>100</v>
      </c>
      <c r="Q296">
        <f>[1]!'2723.Volume'</f>
        <v>78</v>
      </c>
      <c r="R296">
        <f>[1]!'2723.CumulativeVolume'</f>
        <v>2374</v>
      </c>
      <c r="S296">
        <f>[1]!'2723.PreviousVolume'</f>
        <v>913</v>
      </c>
      <c r="T296">
        <f t="shared" si="46"/>
        <v>1.5228426395939087E-2</v>
      </c>
      <c r="U296">
        <f>((T296*AB296)*D4)</f>
        <v>9.8233045395074145E-2</v>
      </c>
      <c r="V296" s="5">
        <f t="shared" si="47"/>
        <v>7800000</v>
      </c>
      <c r="W296" s="5">
        <f t="shared" si="48"/>
        <v>0</v>
      </c>
      <c r="X296">
        <v>2723</v>
      </c>
      <c r="Y296" s="5">
        <v>1800000000</v>
      </c>
      <c r="Z296" s="3">
        <f>((D2*AB296)/P296)/10</f>
        <v>6.5080807823891225E-3</v>
      </c>
      <c r="AA296" s="3">
        <f>((M296*AB296)*D2)</f>
        <v>0.24275141318311427</v>
      </c>
      <c r="AB296" s="3">
        <f>AE296/AE323</f>
        <v>5.0473714769575949E-4</v>
      </c>
      <c r="AC296" s="3">
        <f>AF296/AF323</f>
        <v>4.8204593443822104E-4</v>
      </c>
      <c r="AD296" s="5">
        <f t="shared" si="49"/>
        <v>18000000000</v>
      </c>
      <c r="AE296" s="5">
        <f t="shared" si="50"/>
        <v>18000000000</v>
      </c>
      <c r="AF296" s="5">
        <f t="shared" si="51"/>
        <v>17352000000</v>
      </c>
      <c r="AG296">
        <f t="shared" si="52"/>
        <v>0</v>
      </c>
      <c r="AH296">
        <f t="shared" si="53"/>
        <v>0</v>
      </c>
      <c r="AI296">
        <f t="shared" si="54"/>
        <v>0</v>
      </c>
      <c r="AJ296" t="str">
        <f t="shared" si="55"/>
        <v>UBM50</v>
      </c>
      <c r="AK296" t="str">
        <f>IF(Q296&lt;29,"down",IF(Q296=29,29,IF(Q296&gt;29,"up")))</f>
        <v>up</v>
      </c>
    </row>
    <row r="297" spans="1:37" x14ac:dyDescent="0.25">
      <c r="A297">
        <f>IF(X297=8422,8422,"Error")</f>
        <v>8422</v>
      </c>
      <c r="B297" t="str">
        <f>IF(K297&lt;162,"down",IF(K297=162,"low",IF(K297=166.5,"high",IF(AND(K297&gt;162,K297&lt;166.5),"normal","up"))))</f>
        <v>normal</v>
      </c>
      <c r="C297" t="str">
        <f>IF(K297&lt;162,"down",IF(K297=162,"low",IF(K297=166.5,"high",IF(AND(K297&gt;162,K297&lt;166.5),"normal","up"))))</f>
        <v>normal</v>
      </c>
      <c r="D297" t="str">
        <f>IF(K297&lt;162,"down",IF(K297=162,"low",IF(K297=166.5,"high",IF(AND(K297&gt;162,K297&lt;166.5),"normal","up"))))</f>
        <v>normal</v>
      </c>
      <c r="E297" t="str">
        <f>IF(K297&lt;154,"down",IF(K297=154,"low",IF(K297=170,"high",IF(AND(K297&gt;154,K297&lt;170),"normal","up"))))</f>
        <v>normal</v>
      </c>
      <c r="F297" t="str">
        <f>IF(P297&lt;163,"PVP-down",IF(P297=163,163,IF(P297&gt;163,"PVP-up")))</f>
        <v>PVP-down</v>
      </c>
      <c r="G297" t="str">
        <f>IF(R297&lt;161,"PVV-down",IF(R297=161,161,IF(R297&gt;161,"PVV-up")))</f>
        <v>PVV-up</v>
      </c>
      <c r="H297" s="3">
        <f t="shared" si="45"/>
        <v>2.2224671221805891E-3</v>
      </c>
      <c r="I297">
        <f>[1]!'8422.PreviousPrice'</f>
        <v>162.5</v>
      </c>
      <c r="J297">
        <f>[1]!'8422.PreOpenPrice'</f>
        <v>161.5</v>
      </c>
      <c r="K297">
        <f>[1]!'8422.Open'</f>
        <v>164</v>
      </c>
      <c r="L297">
        <f>[1]!'8422.Change'</f>
        <v>-1</v>
      </c>
      <c r="M297">
        <f>[1]!'8422.ChangePercent'</f>
        <v>-6.1999999999999998E-3</v>
      </c>
      <c r="N297">
        <f>[1]!'8422.BidPrice'</f>
        <v>161.5</v>
      </c>
      <c r="O297">
        <f>[1]!'8422.AskPrice'</f>
        <v>162.5</v>
      </c>
      <c r="P297">
        <f>[1]!'8422.Price'</f>
        <v>161.5</v>
      </c>
      <c r="Q297">
        <f>[1]!'8422.Volume'</f>
        <v>4</v>
      </c>
      <c r="R297">
        <f>[1]!'8422.CumulativeVolume'</f>
        <v>242</v>
      </c>
      <c r="S297">
        <f>[1]!'8422.PreviousVolume'</f>
        <v>456</v>
      </c>
      <c r="T297">
        <f t="shared" si="46"/>
        <v>-1.524390243902439E-2</v>
      </c>
      <c r="U297">
        <f>((T297*AB297)*D4)</f>
        <v>-9.6068007376793996E-2</v>
      </c>
      <c r="V297" s="5">
        <f t="shared" si="47"/>
        <v>646000</v>
      </c>
      <c r="W297" s="5">
        <f t="shared" si="48"/>
        <v>0</v>
      </c>
      <c r="X297">
        <v>8422</v>
      </c>
      <c r="Y297" s="5">
        <v>1088880000</v>
      </c>
      <c r="Z297" s="3">
        <f>((D2*AB297)/P297)/10</f>
        <v>3.9369550012932604E-3</v>
      </c>
      <c r="AA297" s="3">
        <f>((M297*AB297)*D2)</f>
        <v>-3.9420730427949413E-2</v>
      </c>
      <c r="AB297" s="3">
        <f>AE297/AE323</f>
        <v>4.9311170521859897E-4</v>
      </c>
      <c r="AC297" s="3">
        <f>AF297/AF323</f>
        <v>4.9155517391252963E-4</v>
      </c>
      <c r="AD297" s="5">
        <f t="shared" si="49"/>
        <v>17585412000</v>
      </c>
      <c r="AE297" s="5">
        <f t="shared" si="50"/>
        <v>17585412000</v>
      </c>
      <c r="AF297" s="5">
        <f t="shared" si="51"/>
        <v>17694300000</v>
      </c>
      <c r="AG297" t="str">
        <f t="shared" si="52"/>
        <v>DBL10</v>
      </c>
      <c r="AH297">
        <f t="shared" si="53"/>
        <v>0</v>
      </c>
      <c r="AI297">
        <f t="shared" si="54"/>
        <v>0</v>
      </c>
      <c r="AJ297">
        <f t="shared" si="55"/>
        <v>0</v>
      </c>
      <c r="AK297" t="str">
        <f>IF(Q297&lt;12,"down",IF(Q297=12,12,IF(Q297&gt;12,"up")))</f>
        <v>down</v>
      </c>
    </row>
    <row r="298" spans="1:37" x14ac:dyDescent="0.25">
      <c r="A298">
        <f>IF(X298=4766,4766,"Error")</f>
        <v>4766</v>
      </c>
      <c r="B298" t="str">
        <f>IF(K298&lt;132.5,"down",IF(K298=132.5,"low",IF(K298=137,"high",IF(AND(K298&gt;132.5,K298&lt;137),"normal","up"))))</f>
        <v>normal</v>
      </c>
      <c r="C298" t="str">
        <f>IF(K298&lt;132.5,"down",IF(K298=132.5,"low",IF(K298=137,"high",IF(AND(K298&gt;132.5,K298&lt;137),"normal","up"))))</f>
        <v>normal</v>
      </c>
      <c r="D298" t="str">
        <f>IF(K298&lt;132.5,"down",IF(K298=132.5,"low",IF(K298=137,"high",IF(AND(K298&gt;132.5,K298&lt;137),"normal","up"))))</f>
        <v>normal</v>
      </c>
      <c r="E298" t="str">
        <f>IF(K298&lt;130,"down",IF(K298=130,"low",IF(K298=138.5,"high",IF(AND(K298&gt;130,K298&lt;138.5),"normal","up"))))</f>
        <v>normal</v>
      </c>
      <c r="F298" t="str">
        <f>IF(P298&lt;136.5,"PVP-down",IF(P298=136.5,136.5,IF(P298&gt;136.5,"PVP-up")))</f>
        <v>PVP-down</v>
      </c>
      <c r="G298" t="str">
        <f>IF(R298&lt;45,"PVV-down",IF(R298=45,45,IF(R298&gt;45,"PVV-up")))</f>
        <v>PVV-up</v>
      </c>
      <c r="H298" s="3">
        <f t="shared" si="45"/>
        <v>5.142207755477737E-4</v>
      </c>
      <c r="I298">
        <f>[1]!'4766.PreviousPrice'</f>
        <v>135</v>
      </c>
      <c r="J298">
        <f>[1]!'4766.PreOpenPrice'</f>
        <v>134.5</v>
      </c>
      <c r="K298">
        <f>[1]!'4766.Open'</f>
        <v>134.5</v>
      </c>
      <c r="L298">
        <f>[1]!'4766.Change'</f>
        <v>-0.5</v>
      </c>
      <c r="M298">
        <f>[1]!'4766.ChangePercent'</f>
        <v>-3.7000000000000002E-3</v>
      </c>
      <c r="N298">
        <f>[1]!'4766.BidPrice'</f>
        <v>134</v>
      </c>
      <c r="O298">
        <f>[1]!'4766.AskPrice'</f>
        <v>134.5</v>
      </c>
      <c r="P298">
        <f>[1]!'4766.Price'</f>
        <v>134.5</v>
      </c>
      <c r="Q298">
        <f>[1]!'4766.Volume'</f>
        <v>1</v>
      </c>
      <c r="R298">
        <f>[1]!'4766.CumulativeVolume'</f>
        <v>62</v>
      </c>
      <c r="S298">
        <f>[1]!'4766.PreviousVolume'</f>
        <v>165</v>
      </c>
      <c r="T298">
        <f t="shared" si="46"/>
        <v>0</v>
      </c>
      <c r="U298">
        <f>((T298*AB298)*D4)</f>
        <v>0</v>
      </c>
      <c r="V298" s="5">
        <f t="shared" si="47"/>
        <v>0</v>
      </c>
      <c r="W298" s="5">
        <f t="shared" si="48"/>
        <v>134500</v>
      </c>
      <c r="X298">
        <v>4766</v>
      </c>
      <c r="Y298" s="5">
        <v>1205707800</v>
      </c>
      <c r="Z298" s="3">
        <f>((D2*AB298)/P298)/10</f>
        <v>4.3593576457537043E-3</v>
      </c>
      <c r="AA298" s="3">
        <f>((M298*AB298)*D2)</f>
        <v>-2.1694343324093313E-2</v>
      </c>
      <c r="AB298" s="3">
        <f>AE298/AE323</f>
        <v>4.5473367717843434E-4</v>
      </c>
      <c r="AC298" s="3">
        <f>AF298/AF323</f>
        <v>4.5218351383074563E-4</v>
      </c>
      <c r="AD298" s="5">
        <f t="shared" si="49"/>
        <v>16216769910</v>
      </c>
      <c r="AE298" s="5">
        <f t="shared" si="50"/>
        <v>16216769910</v>
      </c>
      <c r="AF298" s="5">
        <f t="shared" si="51"/>
        <v>16277055300</v>
      </c>
      <c r="AG298">
        <f t="shared" si="52"/>
        <v>0</v>
      </c>
      <c r="AH298" t="str">
        <f t="shared" si="53"/>
        <v>DAL10</v>
      </c>
      <c r="AI298">
        <f t="shared" si="54"/>
        <v>0</v>
      </c>
      <c r="AJ298">
        <f t="shared" si="55"/>
        <v>0</v>
      </c>
      <c r="AK298" t="str">
        <f>IF(Q298&lt;0,"down",IF(Q298=0,0,IF(Q298&gt;0,"up")))</f>
        <v>up</v>
      </c>
    </row>
    <row r="299" spans="1:37" x14ac:dyDescent="0.25">
      <c r="A299">
        <f>IF(X299=4137,4137,"Error")</f>
        <v>4137</v>
      </c>
      <c r="B299" t="str">
        <f>IF(K299&lt;202.5,"down",IF(K299=202.5,"low",IF(K299=206,"high",IF(AND(K299&gt;202.5,K299&lt;206),"normal","up"))))</f>
        <v>normal</v>
      </c>
      <c r="C299" t="str">
        <f>IF(K299&lt;202.5,"down",IF(K299=202.5,"low",IF(K299=206,"high",IF(AND(K299&gt;202.5,K299&lt;206),"normal","up"))))</f>
        <v>normal</v>
      </c>
      <c r="D299" t="str">
        <f>IF(K299&lt;202.5,"down",IF(K299=202.5,"low",IF(K299=206,"high",IF(AND(K299&gt;202.5,K299&lt;206),"normal","up"))))</f>
        <v>normal</v>
      </c>
      <c r="E299" t="str">
        <f>IF(K299&lt;202.5,"down",IF(K299=202.5,"low",IF(K299=215,"high",IF(AND(K299&gt;202.5,K299&lt;215),"normal","up"))))</f>
        <v>normal</v>
      </c>
      <c r="F299" t="str">
        <f>IF(P299&lt;203,"PVP-down",IF(P299=203,203,IF(P299&gt;203,"PVP-up")))</f>
        <v>PVP-down</v>
      </c>
      <c r="G299" t="str">
        <f>IF(R299&lt;93,"PVV-down",IF(R299=93,93,IF(R299&gt;93,"PVV-up")))</f>
        <v>PVV-up</v>
      </c>
      <c r="H299" s="3">
        <f t="shared" si="45"/>
        <v>2.7549820831815888E-3</v>
      </c>
      <c r="I299">
        <f>[1]!'4137.PreviousPrice'</f>
        <v>203</v>
      </c>
      <c r="J299">
        <f>[1]!'4137.PreOpenPrice'</f>
        <v>202</v>
      </c>
      <c r="K299">
        <f>[1]!'4137.Open'</f>
        <v>203</v>
      </c>
      <c r="L299">
        <f>[1]!'4137.Change'</f>
        <v>-1</v>
      </c>
      <c r="M299">
        <f>[1]!'4137.ChangePercent'</f>
        <v>-4.8999999999999998E-3</v>
      </c>
      <c r="N299">
        <f>[1]!'4137.BidPrice'</f>
        <v>202</v>
      </c>
      <c r="O299">
        <f>[1]!'4137.AskPrice'</f>
        <v>202.5</v>
      </c>
      <c r="P299">
        <f>[1]!'4137.Price'</f>
        <v>202</v>
      </c>
      <c r="Q299">
        <f>[1]!'4137.Volume'</f>
        <v>9</v>
      </c>
      <c r="R299">
        <f>[1]!'4137.CumulativeVolume'</f>
        <v>219</v>
      </c>
      <c r="S299">
        <f>[1]!'4137.PreviousVolume'</f>
        <v>283</v>
      </c>
      <c r="T299">
        <f t="shared" si="46"/>
        <v>-4.9261083743842365E-3</v>
      </c>
      <c r="U299">
        <f>((T299*AB299)*D4)</f>
        <v>-2.8347237480885419E-2</v>
      </c>
      <c r="V299" s="5">
        <f t="shared" si="47"/>
        <v>1818000</v>
      </c>
      <c r="W299" s="5">
        <f t="shared" si="48"/>
        <v>0</v>
      </c>
      <c r="X299">
        <v>4137</v>
      </c>
      <c r="Y299" s="5">
        <v>794923500</v>
      </c>
      <c r="Z299" s="3">
        <f>((D2*AB299)/P299)/10</f>
        <v>2.8741257521219441E-3</v>
      </c>
      <c r="AA299" s="3">
        <f>((M299*AB299)*D2)</f>
        <v>-2.8448096694503003E-2</v>
      </c>
      <c r="AB299" s="3">
        <f>AE299/AE323</f>
        <v>4.5026632691843704E-4</v>
      </c>
      <c r="AC299" s="3">
        <f>AF299/AF323</f>
        <v>4.4829124710104565E-4</v>
      </c>
      <c r="AD299" s="5">
        <f t="shared" si="49"/>
        <v>16057454700</v>
      </c>
      <c r="AE299" s="5">
        <f t="shared" si="50"/>
        <v>16057454700</v>
      </c>
      <c r="AF299" s="5">
        <f t="shared" si="51"/>
        <v>16136947050</v>
      </c>
      <c r="AG299" t="str">
        <f t="shared" si="52"/>
        <v>DBL10</v>
      </c>
      <c r="AH299">
        <f t="shared" si="53"/>
        <v>0</v>
      </c>
      <c r="AI299">
        <f t="shared" si="54"/>
        <v>0</v>
      </c>
      <c r="AJ299">
        <f t="shared" si="55"/>
        <v>0</v>
      </c>
      <c r="AK299" t="str">
        <f>IF(Q299&lt;14,"down",IF(Q299=14,14,IF(Q299&gt;14,"up")))</f>
        <v>down</v>
      </c>
    </row>
    <row r="300" spans="1:37" x14ac:dyDescent="0.25">
      <c r="A300">
        <f>IF(X300=2539,2539,"Error")</f>
        <v>2539</v>
      </c>
      <c r="B300" t="str">
        <f>IF(K300&lt;35,"down",IF(K300=35,"low",IF(K300=35.4,"high",IF(AND(K300&gt;35,K300&lt;35.4),"normal","up"))))</f>
        <v>low</v>
      </c>
      <c r="C300" t="str">
        <f>IF(K300&lt;35,"down",IF(K300=35,"low",IF(K300=35.4,"high",IF(AND(K300&gt;35,K300&lt;35.4),"normal","up"))))</f>
        <v>low</v>
      </c>
      <c r="D300" t="str">
        <f>IF(K300&lt;35,"down",IF(K300=35,"low",IF(K300=35.4,"high",IF(AND(K300&gt;35,K300&lt;35.4),"normal","up"))))</f>
        <v>low</v>
      </c>
      <c r="E300" t="str">
        <f>IF(K300&lt;34.5,"down",IF(K300=34.5,"low",IF(K300=35.4,"high",IF(AND(K300&gt;34.5,K300&lt;35.4),"normal","up"))))</f>
        <v>normal</v>
      </c>
      <c r="F300" t="str">
        <f>IF(P300&lt;35,"PVP-down",IF(P300=35,35,IF(P300&gt;35,"PVP-up")))</f>
        <v>PVP-up</v>
      </c>
      <c r="G300" t="str">
        <f>IF(R300&lt;194,"PVV-down",IF(R300=194,194,IF(R300&gt;194,"PVV-up")))</f>
        <v>PVV-up</v>
      </c>
      <c r="H300" s="3">
        <f t="shared" si="45"/>
        <v>8.674171594283195E-4</v>
      </c>
      <c r="I300">
        <f>[1]!'2539.PreviousPrice'</f>
        <v>35</v>
      </c>
      <c r="J300">
        <f>[1]!'2539.PreOpenPrice'</f>
        <v>35.15</v>
      </c>
      <c r="K300">
        <f>[1]!'2539.Open'</f>
        <v>35</v>
      </c>
      <c r="L300">
        <f>[1]!'2539.Change'</f>
        <v>0.15</v>
      </c>
      <c r="M300">
        <f>[1]!'2539.ChangePercent'</f>
        <v>4.3E-3</v>
      </c>
      <c r="N300">
        <f>[1]!'2539.BidPrice'</f>
        <v>35.1</v>
      </c>
      <c r="O300">
        <f>[1]!'2539.AskPrice'</f>
        <v>35.15</v>
      </c>
      <c r="P300">
        <f>[1]!'2539.Price'</f>
        <v>35.15</v>
      </c>
      <c r="Q300">
        <f>[1]!'2539.Volume'</f>
        <v>16</v>
      </c>
      <c r="R300">
        <f>[1]!'2539.CumulativeVolume'</f>
        <v>404</v>
      </c>
      <c r="S300">
        <f>[1]!'2539.PreviousVolume'</f>
        <v>557</v>
      </c>
      <c r="T300">
        <f t="shared" si="46"/>
        <v>4.2857142857142452E-3</v>
      </c>
      <c r="U300">
        <f>((T300*AB300)*D4)</f>
        <v>2.5143861422213976E-2</v>
      </c>
      <c r="V300" s="5">
        <f t="shared" si="47"/>
        <v>0</v>
      </c>
      <c r="W300" s="5">
        <f t="shared" si="48"/>
        <v>562400</v>
      </c>
      <c r="X300">
        <v>2539</v>
      </c>
      <c r="Y300" s="5">
        <v>4657505280</v>
      </c>
      <c r="Z300" s="3">
        <f>((D2*AB300)/P300)/10</f>
        <v>1.6839678114802151E-2</v>
      </c>
      <c r="AA300" s="3">
        <f>((M300*AB300)*D2)</f>
        <v>2.5452331486617713E-2</v>
      </c>
      <c r="AB300" s="3">
        <f>AE300/AE323</f>
        <v>4.5906211085411478E-4</v>
      </c>
      <c r="AC300" s="3">
        <f>AF300/AF323</f>
        <v>4.5285616626152138E-4</v>
      </c>
      <c r="AD300" s="5">
        <f t="shared" si="49"/>
        <v>16371131059.200001</v>
      </c>
      <c r="AE300" s="5">
        <f t="shared" si="50"/>
        <v>16371131059.200001</v>
      </c>
      <c r="AF300" s="5">
        <f t="shared" si="51"/>
        <v>16301268480</v>
      </c>
      <c r="AG300">
        <f t="shared" si="52"/>
        <v>0</v>
      </c>
      <c r="AH300">
        <f t="shared" si="53"/>
        <v>0</v>
      </c>
      <c r="AI300" t="str">
        <f t="shared" si="54"/>
        <v>UAM10-50</v>
      </c>
      <c r="AJ300">
        <f t="shared" si="55"/>
        <v>0</v>
      </c>
      <c r="AK300" t="str">
        <f>IF(Q300&lt;9,"down",IF(Q300=9,9,IF(Q300&gt;9,"up")))</f>
        <v>up</v>
      </c>
    </row>
    <row r="301" spans="1:37" x14ac:dyDescent="0.25">
      <c r="A301">
        <f>IF(X301=2637,2637,"Error")</f>
        <v>2637</v>
      </c>
      <c r="B301" t="str">
        <f>IF(K301&lt;22.2,"down",IF(K301=22.2,"low",IF(K301=22.7,"high",IF(AND(K301&gt;22.2,K301&lt;22.7),"normal","up"))))</f>
        <v>normal</v>
      </c>
      <c r="C301" t="str">
        <f>IF(K301&lt;22.2,"down",IF(K301=22.2,"low",IF(K301=22.7,"high",IF(AND(K301&gt;22.2,K301&lt;22.7),"normal","up"))))</f>
        <v>normal</v>
      </c>
      <c r="D301" t="str">
        <f>IF(K301&lt;22.2,"down",IF(K301=22.2,"low",IF(K301=22.7,"high",IF(AND(K301&gt;22.2,K301&lt;22.7),"normal","up"))))</f>
        <v>normal</v>
      </c>
      <c r="E301" t="str">
        <f>IF(K301&lt;21.15,"down",IF(K301=21.15,"low",IF(K301=22.7,"high",IF(AND(K301&gt;21.15,K301&lt;22.7),"normal","up"))))</f>
        <v>normal</v>
      </c>
      <c r="F301" t="str">
        <f>IF(P301&lt;22.6,"PVP-down",IF(P301=22.6,22.6,IF(P301&gt;22.6,"PVP-up")))</f>
        <v>PVP-up</v>
      </c>
      <c r="G301" t="str">
        <f>IF(R301&lt;546,"PVV-down",IF(R301=546,546,IF(R301&gt;546,"PVV-up")))</f>
        <v>PVV-up</v>
      </c>
      <c r="H301" s="3">
        <f t="shared" si="45"/>
        <v>2.0726007831571923E-3</v>
      </c>
      <c r="I301">
        <f>[1]!'2637.PreviousPrice'</f>
        <v>22.6</v>
      </c>
      <c r="J301">
        <f>[1]!'2637.PreOpenPrice'</f>
        <v>22.8</v>
      </c>
      <c r="K301">
        <f>[1]!'2637.Open'</f>
        <v>22.65</v>
      </c>
      <c r="L301">
        <f>[1]!'2637.Change'</f>
        <v>0.2</v>
      </c>
      <c r="M301">
        <f>[1]!'2637.ChangePercent'</f>
        <v>8.8000000000000005E-3</v>
      </c>
      <c r="N301">
        <f>[1]!'2637.BidPrice'</f>
        <v>22.75</v>
      </c>
      <c r="O301">
        <f>[1]!'2637.AskPrice'</f>
        <v>22.8</v>
      </c>
      <c r="P301">
        <f>[1]!'2637.Price'</f>
        <v>22.8</v>
      </c>
      <c r="Q301">
        <f>[1]!'2637.Volume'</f>
        <v>19</v>
      </c>
      <c r="R301">
        <f>[1]!'2637.CumulativeVolume'</f>
        <v>1547</v>
      </c>
      <c r="S301">
        <f>[1]!'2637.PreviousVolume'</f>
        <v>1459</v>
      </c>
      <c r="T301">
        <f t="shared" si="46"/>
        <v>6.6225165562914853E-3</v>
      </c>
      <c r="U301">
        <f>((T301*AB301)*D4)</f>
        <v>4.0388956239330732E-2</v>
      </c>
      <c r="V301" s="5">
        <f t="shared" si="47"/>
        <v>0</v>
      </c>
      <c r="W301" s="5">
        <f t="shared" si="48"/>
        <v>433200</v>
      </c>
      <c r="X301">
        <v>2637</v>
      </c>
      <c r="Y301" s="5">
        <v>7464051990</v>
      </c>
      <c r="Z301" s="3">
        <f>((D2*AB301)/P301)/10</f>
        <v>2.6987029619373493E-2</v>
      </c>
      <c r="AA301" s="3">
        <f>((M301*AB301)*D2)</f>
        <v>5.4146776228310982E-2</v>
      </c>
      <c r="AB301" s="3">
        <f>AE301/AE323</f>
        <v>4.7720201281349129E-4</v>
      </c>
      <c r="AC301" s="3">
        <f>AF301/AF323</f>
        <v>4.6862125234243483E-4</v>
      </c>
      <c r="AD301" s="5">
        <f t="shared" si="49"/>
        <v>17018038537.200001</v>
      </c>
      <c r="AE301" s="5">
        <f t="shared" si="50"/>
        <v>17018038537.200001</v>
      </c>
      <c r="AF301" s="5">
        <f t="shared" si="51"/>
        <v>16868757497.4</v>
      </c>
      <c r="AG301">
        <f t="shared" si="52"/>
        <v>0</v>
      </c>
      <c r="AH301">
        <f t="shared" si="53"/>
        <v>0</v>
      </c>
      <c r="AI301" t="str">
        <f t="shared" si="54"/>
        <v>UAM10-50</v>
      </c>
      <c r="AJ301">
        <f t="shared" si="55"/>
        <v>0</v>
      </c>
      <c r="AK301" t="str">
        <f>IF(Q301&lt;32,"down",IF(Q301=32,32,IF(Q301&gt;32,"up")))</f>
        <v>down</v>
      </c>
    </row>
    <row r="302" spans="1:37" x14ac:dyDescent="0.25">
      <c r="A302">
        <f>IF(X302=9908,9908,"Error")</f>
        <v>9908</v>
      </c>
      <c r="B302" t="str">
        <f>IF(K302&lt;30.55,"down",IF(K302=30.55,"low",IF(K302=30.75,"high",IF(AND(K302&gt;30.55,K302&lt;30.75),"normal","up"))))</f>
        <v>normal</v>
      </c>
      <c r="C302" t="str">
        <f>IF(K302&lt;30.55,"down",IF(K302=30.55,"low",IF(K302=30.75,"high",IF(AND(K302&gt;30.55,K302&lt;30.75),"normal","up"))))</f>
        <v>normal</v>
      </c>
      <c r="D302" t="str">
        <f>IF(K302&lt;30.55,"down",IF(K302=30.55,"low",IF(K302=30.75,"high",IF(AND(K302&gt;30.55,K302&lt;30.75),"normal","up"))))</f>
        <v>normal</v>
      </c>
      <c r="E302" t="str">
        <f>IF(K302&lt;30.25,"down",IF(K302=30.25,"low",IF(K302=30.75,"high",IF(AND(K302&gt;30.25,K302&lt;30.75),"normal","up"))))</f>
        <v>normal</v>
      </c>
      <c r="F302" t="str">
        <f>IF(P302&lt;30.7,"PVP-down",IF(P302=30.7,30.7,IF(P302&gt;30.7,"PVP-up")))</f>
        <v>PVP-down</v>
      </c>
      <c r="G302" t="str">
        <f>IF(R302&lt;40,"PVV-down",IF(R302=40,40,IF(R302&gt;40,"PVV-up")))</f>
        <v>PVV-down</v>
      </c>
      <c r="H302" s="3">
        <f t="shared" si="45"/>
        <v>6.5845789161783099E-5</v>
      </c>
      <c r="I302">
        <f>[1]!'9908.PreviousPrice'</f>
        <v>30.6</v>
      </c>
      <c r="J302">
        <f>[1]!'9908.PreOpenPrice'</f>
        <v>30.65</v>
      </c>
      <c r="K302">
        <f>[1]!'9908.Open'</f>
        <v>30.6</v>
      </c>
      <c r="L302">
        <f>[1]!'9908.Change'</f>
        <v>0.05</v>
      </c>
      <c r="M302">
        <f>[1]!'9908.ChangePercent'</f>
        <v>1.6000000000000001E-3</v>
      </c>
      <c r="N302">
        <f>[1]!'9908.BidPrice'</f>
        <v>30.65</v>
      </c>
      <c r="O302">
        <f>[1]!'9908.AskPrice'</f>
        <v>30.7</v>
      </c>
      <c r="P302">
        <f>[1]!'9908.Price'</f>
        <v>30.65</v>
      </c>
      <c r="Q302">
        <f>[1]!'9908.Volume'</f>
        <v>1</v>
      </c>
      <c r="R302">
        <f>[1]!'9908.CumulativeVolume'</f>
        <v>34</v>
      </c>
      <c r="S302">
        <f>[1]!'9908.PreviousVolume'</f>
        <v>101</v>
      </c>
      <c r="T302">
        <f t="shared" si="46"/>
        <v>1.6339869281044822E-3</v>
      </c>
      <c r="U302">
        <f>((T302*AB302)*D4)</f>
        <v>9.267445509926156E-3</v>
      </c>
      <c r="V302" s="5">
        <f t="shared" si="47"/>
        <v>30650</v>
      </c>
      <c r="W302" s="5">
        <f t="shared" si="48"/>
        <v>0</v>
      </c>
      <c r="X302">
        <v>9908</v>
      </c>
      <c r="Y302" s="5">
        <v>5163580000</v>
      </c>
      <c r="Z302" s="3">
        <f>((D2*AB302)/P302)/10</f>
        <v>1.8669442092404905E-2</v>
      </c>
      <c r="AA302" s="3">
        <f>((M302*AB302)*D2)</f>
        <v>9.1554944021153654E-3</v>
      </c>
      <c r="AB302" s="3">
        <f>AE302/AE323</f>
        <v>4.4378656749822419E-4</v>
      </c>
      <c r="AC302" s="3">
        <f>AF302/AF323</f>
        <v>4.3894612743247571E-4</v>
      </c>
      <c r="AD302" s="5">
        <f t="shared" si="49"/>
        <v>15826372700</v>
      </c>
      <c r="AE302" s="5">
        <f t="shared" si="50"/>
        <v>15826372700</v>
      </c>
      <c r="AF302" s="5">
        <f t="shared" si="51"/>
        <v>15800554800</v>
      </c>
      <c r="AG302">
        <f t="shared" si="52"/>
        <v>0</v>
      </c>
      <c r="AH302">
        <f t="shared" si="53"/>
        <v>0</v>
      </c>
      <c r="AI302">
        <f t="shared" si="54"/>
        <v>0</v>
      </c>
      <c r="AJ302" t="str">
        <f t="shared" si="55"/>
        <v>UBL10</v>
      </c>
      <c r="AK302" t="str">
        <f>IF(Q302&lt;0,"down",IF(Q302=0,0,IF(Q302&gt;0,"up")))</f>
        <v>up</v>
      </c>
    </row>
    <row r="303" spans="1:37" x14ac:dyDescent="0.25">
      <c r="A303">
        <f>IF(X303=2511,2511,"Error")</f>
        <v>2511</v>
      </c>
      <c r="B303" t="str">
        <f>IF(K303&lt;9.62,"down",IF(K303=9.62,"low",IF(K303=9.85,"high",IF(AND(K303&gt;9.62,K303&lt;9.85),"normal","up"))))</f>
        <v>normal</v>
      </c>
      <c r="C303" t="str">
        <f>IF(K303&lt;9.62,"down",IF(K303=9.62,"low",IF(K303=9.85,"high",IF(AND(K303&gt;9.62,K303&lt;9.85),"normal","up"))))</f>
        <v>normal</v>
      </c>
      <c r="D303" t="str">
        <f>IF(K303&lt;9.62,"down",IF(K303=9.62,"low",IF(K303=9.85,"high",IF(AND(K303&gt;9.62,K303&lt;9.85),"normal","up"))))</f>
        <v>normal</v>
      </c>
      <c r="E303" t="str">
        <f>IF(K303&lt;9.62,"down",IF(K303=9.62,"low",IF(K303=9.85,"high",IF(AND(K303&gt;9.62,K303&lt;9.85),"normal","up"))))</f>
        <v>normal</v>
      </c>
      <c r="F303" t="str">
        <f>IF(P303&lt;9.83,"PVP-down",IF(P303=9.83,9.83,IF(P303&gt;9.83,"PVP-up")))</f>
        <v>PVP-down</v>
      </c>
      <c r="G303" t="str">
        <f>IF(R303&lt;219,"PVV-down",IF(R303=219,219,IF(R303&gt;219,"PVV-up")))</f>
        <v>PVV-up</v>
      </c>
      <c r="H303" s="3">
        <f t="shared" si="45"/>
        <v>3.1355374946720422E-4</v>
      </c>
      <c r="I303">
        <f>[1]!'2511.PreviousPrice'</f>
        <v>9.83</v>
      </c>
      <c r="J303">
        <f>[1]!'2511.PreOpenPrice'</f>
        <v>9.77</v>
      </c>
      <c r="K303">
        <f>[1]!'2511.Open'</f>
        <v>9.83</v>
      </c>
      <c r="L303">
        <f>[1]!'2511.Change'</f>
        <v>-0.06</v>
      </c>
      <c r="M303">
        <f>[1]!'2511.ChangePercent'</f>
        <v>-6.1000000000000004E-3</v>
      </c>
      <c r="N303">
        <f>[1]!'2511.BidPrice'</f>
        <v>9.77</v>
      </c>
      <c r="O303">
        <f>[1]!'2511.AskPrice'</f>
        <v>9.7799999999999994</v>
      </c>
      <c r="P303">
        <f>[1]!'2511.Price'</f>
        <v>9.77</v>
      </c>
      <c r="Q303">
        <f>[1]!'2511.Volume'</f>
        <v>17</v>
      </c>
      <c r="R303">
        <f>[1]!'2511.CumulativeVolume'</f>
        <v>509</v>
      </c>
      <c r="S303">
        <f>[1]!'2511.PreviousVolume'</f>
        <v>1195</v>
      </c>
      <c r="T303">
        <f t="shared" si="46"/>
        <v>-6.1037639877925222E-3</v>
      </c>
      <c r="U303">
        <f>((T303*AB303)*D4)</f>
        <v>-3.4691905495964029E-2</v>
      </c>
      <c r="V303" s="5">
        <f t="shared" si="47"/>
        <v>166090</v>
      </c>
      <c r="W303" s="5">
        <f t="shared" si="48"/>
        <v>0</v>
      </c>
      <c r="X303">
        <v>2511</v>
      </c>
      <c r="Y303" s="5">
        <v>16233261470</v>
      </c>
      <c r="Z303" s="3">
        <f>((D2*AB303)/P303)/10</f>
        <v>5.8692987226891556E-2</v>
      </c>
      <c r="AA303" s="3">
        <f>((M303*AB303)*D2)</f>
        <v>-3.4979259597610557E-2</v>
      </c>
      <c r="AB303" s="3">
        <f>AE303/AE323</f>
        <v>4.4472660555819018E-4</v>
      </c>
      <c r="AC303" s="3">
        <f>AF303/AF323</f>
        <v>4.4330046527681278E-4</v>
      </c>
      <c r="AD303" s="5">
        <f t="shared" si="49"/>
        <v>15859896456.189999</v>
      </c>
      <c r="AE303" s="5">
        <f t="shared" si="50"/>
        <v>15859896456.189999</v>
      </c>
      <c r="AF303" s="5">
        <f t="shared" si="51"/>
        <v>15957296025.01</v>
      </c>
      <c r="AG303" t="str">
        <f t="shared" si="52"/>
        <v>DBM10-50</v>
      </c>
      <c r="AH303">
        <f t="shared" si="53"/>
        <v>0</v>
      </c>
      <c r="AI303">
        <f t="shared" si="54"/>
        <v>0</v>
      </c>
      <c r="AJ303">
        <f t="shared" si="55"/>
        <v>0</v>
      </c>
      <c r="AK303" t="str">
        <f>IF(Q303&lt;1,"down",IF(Q303=1,1,IF(Q303&gt;1,"up")))</f>
        <v>up</v>
      </c>
    </row>
    <row r="304" spans="1:37" x14ac:dyDescent="0.25">
      <c r="A304">
        <f>IF(X304=2023,2023,"Error")</f>
        <v>2023</v>
      </c>
      <c r="B304" t="str">
        <f>IF(K304&lt;8.46,"down",IF(K304=8.46,"low",IF(K304=8.58,"high",IF(AND(K304&gt;8.46,K304&lt;8.58),"normal","up"))))</f>
        <v>normal</v>
      </c>
      <c r="C304" t="str">
        <f>IF(K304&lt;8.46,"down",IF(K304=8.46,"low",IF(K304=8.58,"high",IF(AND(K304&gt;8.46,K304&lt;8.58),"normal","up"))))</f>
        <v>normal</v>
      </c>
      <c r="D304" t="str">
        <f>IF(K304&lt;8.46,"down",IF(K304=8.46,"low",IF(K304=8.58,"high",IF(AND(K304&gt;8.46,K304&lt;8.58),"normal","up"))))</f>
        <v>normal</v>
      </c>
      <c r="E304" t="str">
        <f>IF(K304&lt;8.21,"down",IF(K304=8.21,"low",IF(K304=8.76,"high",IF(AND(K304&gt;8.21,K304&lt;8.76),"normal","up"))))</f>
        <v>normal</v>
      </c>
      <c r="F304" t="str">
        <f>IF(P304&lt;8.5,"PVP-down",IF(P304=8.5,8.5,IF(P304&gt;8.5,"PVP-up")))</f>
        <v>PVP-up</v>
      </c>
      <c r="G304" t="str">
        <f>IF(R304&lt;143,"PVV-down",IF(R304=143,143,IF(R304&gt;143,"PVV-up")))</f>
        <v>PVV-up</v>
      </c>
      <c r="H304" s="3">
        <f t="shared" si="45"/>
        <v>4.416389729675126E-4</v>
      </c>
      <c r="I304">
        <f>[1]!'2023.PreviousPrice'</f>
        <v>8.58</v>
      </c>
      <c r="J304">
        <f>[1]!'2023.PreOpenPrice'</f>
        <v>8.59</v>
      </c>
      <c r="K304">
        <f>[1]!'2023.Open'</f>
        <v>8.5299999999999994</v>
      </c>
      <c r="L304">
        <f>[1]!'2023.Change'</f>
        <v>0.01</v>
      </c>
      <c r="M304">
        <f>[1]!'2023.ChangePercent'</f>
        <v>1.1999999999999999E-3</v>
      </c>
      <c r="N304">
        <f>[1]!'2023.BidPrice'</f>
        <v>8.59</v>
      </c>
      <c r="O304">
        <f>[1]!'2023.AskPrice'</f>
        <v>8.6</v>
      </c>
      <c r="P304">
        <f>[1]!'2023.Price'</f>
        <v>8.59</v>
      </c>
      <c r="Q304">
        <f>[1]!'2023.Volume'</f>
        <v>9</v>
      </c>
      <c r="R304">
        <f>[1]!'2023.CumulativeVolume'</f>
        <v>845</v>
      </c>
      <c r="S304">
        <f>[1]!'2023.PreviousVolume'</f>
        <v>696</v>
      </c>
      <c r="T304">
        <f t="shared" si="46"/>
        <v>7.0339976553341734E-3</v>
      </c>
      <c r="U304">
        <f>((T304*AB304)*D4)</f>
        <v>4.1429984919797012E-2</v>
      </c>
      <c r="V304" s="5">
        <f t="shared" si="47"/>
        <v>77310</v>
      </c>
      <c r="W304" s="5">
        <f t="shared" si="48"/>
        <v>0</v>
      </c>
      <c r="X304">
        <v>2023</v>
      </c>
      <c r="Y304" s="5">
        <v>19133275180</v>
      </c>
      <c r="Z304" s="3">
        <f>((D2*AB304)/P304)/10</f>
        <v>6.9178278057289322E-2</v>
      </c>
      <c r="AA304" s="3">
        <f>((M304*AB304)*D2)</f>
        <v>7.130896902145383E-3</v>
      </c>
      <c r="AB304" s="3">
        <f>AE304/AE323</f>
        <v>4.6086661122391446E-4</v>
      </c>
      <c r="AC304" s="3">
        <f>AF304/AF323</f>
        <v>4.5605318269708196E-4</v>
      </c>
      <c r="AD304" s="5">
        <f t="shared" si="49"/>
        <v>16435483379.620001</v>
      </c>
      <c r="AE304" s="5">
        <f t="shared" si="50"/>
        <v>16435483379.620001</v>
      </c>
      <c r="AF304" s="5">
        <f t="shared" si="51"/>
        <v>16416350104.439999</v>
      </c>
      <c r="AG304">
        <f t="shared" si="52"/>
        <v>0</v>
      </c>
      <c r="AH304">
        <f t="shared" si="53"/>
        <v>0</v>
      </c>
      <c r="AI304">
        <f t="shared" si="54"/>
        <v>0</v>
      </c>
      <c r="AJ304" t="str">
        <f t="shared" si="55"/>
        <v>UBL10</v>
      </c>
      <c r="AK304" t="str">
        <f>IF(Q304&lt;20,"down",IF(Q304=20,20,IF(Q304&gt;20,"up")))</f>
        <v>down</v>
      </c>
    </row>
    <row r="305" spans="1:37" x14ac:dyDescent="0.25">
      <c r="A305">
        <f>IF(X305=9939,9939,"Error")</f>
        <v>9939</v>
      </c>
      <c r="B305" t="str">
        <f>IF(K305&lt;54,"down",IF(K305=54,"low",IF(K305=54.7,"high",IF(AND(K305&gt;54,K305&lt;54.7),"normal","up"))))</f>
        <v>up</v>
      </c>
      <c r="C305" t="str">
        <f>IF(K305&lt;54,"down",IF(K305=54,"low",IF(K305=54.7,"high",IF(AND(K305&gt;54,K305&lt;54.7),"normal","up"))))</f>
        <v>up</v>
      </c>
      <c r="D305" t="str">
        <f>IF(K305&lt;54,"down",IF(K305=54,"low",IF(K305=54.7,"high",IF(AND(K305&gt;54,K305&lt;54.7),"normal","up"))))</f>
        <v>up</v>
      </c>
      <c r="E305" t="str">
        <f>IF(K305&lt;52.9,"down",IF(K305=52.9,"low",IF(K305=54.7,"high",IF(AND(K305&gt;52.9,K305&lt;54.7),"normal","up"))))</f>
        <v>up</v>
      </c>
      <c r="F305">
        <f>IF(P305&lt;54.5,"PVP-down",IF(P305=54.5,54.5,IF(P305&gt;54.5,"PVP-up")))</f>
        <v>54.5</v>
      </c>
      <c r="G305" t="str">
        <f>IF(R305&lt;151,"PVV-down",IF(R305=151,151,IF(R305&gt;151,"PVV-up")))</f>
        <v>PVV-up</v>
      </c>
      <c r="H305" s="3">
        <f t="shared" si="45"/>
        <v>3.9508540306107233E-3</v>
      </c>
      <c r="I305">
        <f>[1]!'9939.PreviousPrice'</f>
        <v>54.3</v>
      </c>
      <c r="J305">
        <f>[1]!'9939.PreOpenPrice'</f>
        <v>54.5</v>
      </c>
      <c r="K305">
        <f>[1]!'9939.Open'</f>
        <v>54.8</v>
      </c>
      <c r="L305">
        <f>[1]!'9939.Change'</f>
        <v>0.2</v>
      </c>
      <c r="M305">
        <f>[1]!'9939.ChangePercent'</f>
        <v>3.7000000000000002E-3</v>
      </c>
      <c r="N305">
        <f>[1]!'9939.BidPrice'</f>
        <v>54.5</v>
      </c>
      <c r="O305">
        <f>[1]!'9939.AskPrice'</f>
        <v>54.6</v>
      </c>
      <c r="P305">
        <f>[1]!'9939.Price'</f>
        <v>54.5</v>
      </c>
      <c r="Q305">
        <f>[1]!'9939.Volume'</f>
        <v>54</v>
      </c>
      <c r="R305">
        <f>[1]!'9939.CumulativeVolume'</f>
        <v>1137</v>
      </c>
      <c r="S305">
        <f>[1]!'9939.PreviousVolume'</f>
        <v>474</v>
      </c>
      <c r="T305">
        <f t="shared" si="46"/>
        <v>-5.4744525547444738E-3</v>
      </c>
      <c r="U305">
        <f>((T305*AB305)*D4)</f>
        <v>-3.0770655871940111E-2</v>
      </c>
      <c r="V305" s="5">
        <f t="shared" si="47"/>
        <v>2943000</v>
      </c>
      <c r="W305" s="5">
        <f t="shared" si="48"/>
        <v>0</v>
      </c>
      <c r="X305">
        <v>9939</v>
      </c>
      <c r="Y305" s="5">
        <v>2877858790</v>
      </c>
      <c r="Z305" s="3">
        <f>((D2*AB305)/P305)/10</f>
        <v>1.0405187492015897E-2</v>
      </c>
      <c r="AA305" s="3">
        <f>((M305*AB305)*D2)</f>
        <v>2.0982060577650053E-2</v>
      </c>
      <c r="AB305" s="3">
        <f>AE305/AE323</f>
        <v>4.3980356624388577E-4</v>
      </c>
      <c r="AC305" s="3">
        <f>AF305/AF323</f>
        <v>4.3411840155399458E-4</v>
      </c>
      <c r="AD305" s="5">
        <f t="shared" si="49"/>
        <v>15684330405.5</v>
      </c>
      <c r="AE305" s="5">
        <f t="shared" si="50"/>
        <v>15684330405.5</v>
      </c>
      <c r="AF305" s="5">
        <f t="shared" si="51"/>
        <v>15626773229.700001</v>
      </c>
      <c r="AG305">
        <f t="shared" si="52"/>
        <v>0</v>
      </c>
      <c r="AH305">
        <f t="shared" si="53"/>
        <v>0</v>
      </c>
      <c r="AI305">
        <f t="shared" si="54"/>
        <v>0</v>
      </c>
      <c r="AJ305" t="str">
        <f t="shared" si="55"/>
        <v>UBM50</v>
      </c>
      <c r="AK305" t="str">
        <f>IF(Q305&lt;5,"down",IF(Q305=5,5,IF(Q305&gt;5,"up")))</f>
        <v>up</v>
      </c>
    </row>
    <row r="306" spans="1:37" x14ac:dyDescent="0.25">
      <c r="A306">
        <f>IF(X306=2231,2231,"Error")</f>
        <v>2231</v>
      </c>
      <c r="B306" t="str">
        <f>IF(K306&lt;117,"down",IF(K306=117,"low",IF(K306=121,"high",IF(AND(K306&gt;117,K306&lt;121),"normal","up"))))</f>
        <v>normal</v>
      </c>
      <c r="C306" t="str">
        <f>IF(K306&lt;117,"down",IF(K306=117,"low",IF(K306=121,"high",IF(AND(K306&gt;117,K306&lt;121),"normal","up"))))</f>
        <v>normal</v>
      </c>
      <c r="D306" t="str">
        <f>IF(K306&lt;117,"down",IF(K306=117,"low",IF(K306=121,"high",IF(AND(K306&gt;117,K306&lt;121),"normal","up"))))</f>
        <v>normal</v>
      </c>
      <c r="E306" t="str">
        <f>IF(K306&lt;117,"down",IF(K306=117,"low",IF(K306=125.5,"high",IF(AND(K306&gt;117,K306&lt;125.5),"normal","up"))))</f>
        <v>normal</v>
      </c>
      <c r="F306" t="str">
        <f>IF(P306&lt;119,"PVP-down",IF(P306=119,119,IF(P306&gt;119,"PVP-up")))</f>
        <v>PVP-down</v>
      </c>
      <c r="G306" t="str">
        <f>IF(R306&lt;175,"PVV-down",IF(R306=175,175,IF(R306&gt;175,"PVV-up")))</f>
        <v>PVV-up</v>
      </c>
      <c r="H306" s="3">
        <f t="shared" si="45"/>
        <v>4.9339999748089182E-3</v>
      </c>
      <c r="I306">
        <f>[1]!'2231.PreviousPrice'</f>
        <v>119</v>
      </c>
      <c r="J306">
        <f>[1]!'2231.PreOpenPrice'</f>
        <v>118</v>
      </c>
      <c r="K306">
        <f>[1]!'2231.Open'</f>
        <v>119.5</v>
      </c>
      <c r="L306">
        <f>[1]!'2231.Change'</f>
        <v>-1</v>
      </c>
      <c r="M306">
        <f>[1]!'2231.ChangePercent'</f>
        <v>-8.3999999999999995E-3</v>
      </c>
      <c r="N306">
        <f>[1]!'2231.BidPrice'</f>
        <v>118</v>
      </c>
      <c r="O306">
        <f>[1]!'2231.AskPrice'</f>
        <v>118.5</v>
      </c>
      <c r="P306">
        <f>[1]!'2231.Price'</f>
        <v>118</v>
      </c>
      <c r="Q306">
        <f>[1]!'2231.Volume'</f>
        <v>31</v>
      </c>
      <c r="R306">
        <f>[1]!'2231.CumulativeVolume'</f>
        <v>606</v>
      </c>
      <c r="S306">
        <f>[1]!'2231.PreviousVolume'</f>
        <v>518</v>
      </c>
      <c r="T306">
        <f t="shared" si="46"/>
        <v>-1.2552301255230125E-2</v>
      </c>
      <c r="U306">
        <f>((T306*AB306)*D4)</f>
        <v>-6.5194193444451737E-2</v>
      </c>
      <c r="V306" s="5">
        <f t="shared" si="47"/>
        <v>3658000</v>
      </c>
      <c r="W306" s="5">
        <f t="shared" si="48"/>
        <v>0</v>
      </c>
      <c r="X306">
        <v>2231</v>
      </c>
      <c r="Y306" s="5">
        <v>1228212410</v>
      </c>
      <c r="Z306" s="3">
        <f>((D2*AB306)/P306)/10</f>
        <v>4.4407253234515724E-3</v>
      </c>
      <c r="AA306" s="3">
        <f>((M306*AB306)*D2)</f>
        <v>-4.4016469406051979E-2</v>
      </c>
      <c r="AB306" s="3">
        <f>AE306/AE323</f>
        <v>4.0639490318542383E-4</v>
      </c>
      <c r="AC306" s="3">
        <f>AF306/AF323</f>
        <v>4.0603112647061583E-4</v>
      </c>
      <c r="AD306" s="5">
        <f t="shared" si="49"/>
        <v>14492906438</v>
      </c>
      <c r="AE306" s="5">
        <f t="shared" si="50"/>
        <v>14492906438</v>
      </c>
      <c r="AF306" s="5">
        <f t="shared" si="51"/>
        <v>14615727679</v>
      </c>
      <c r="AG306" t="str">
        <f t="shared" si="52"/>
        <v>DBM10-50</v>
      </c>
      <c r="AH306">
        <f t="shared" si="53"/>
        <v>0</v>
      </c>
      <c r="AI306">
        <f t="shared" si="54"/>
        <v>0</v>
      </c>
      <c r="AJ306">
        <f t="shared" si="55"/>
        <v>0</v>
      </c>
      <c r="AK306" t="str">
        <f>IF(Q306&lt;8,"down",IF(Q306=8,8,IF(Q306&gt;8,"up")))</f>
        <v>up</v>
      </c>
    </row>
    <row r="307" spans="1:37" x14ac:dyDescent="0.25">
      <c r="A307">
        <f>IF(X307=6464,6464,"Error")</f>
        <v>6464</v>
      </c>
      <c r="B307" t="str">
        <f>IF(K307&lt;122.5,"down",IF(K307=122.5,"low",IF(K307=122.5,"high",IF(AND(K307&gt;122.5,K307&lt;122.5),"normal","up"))))</f>
        <v>down</v>
      </c>
      <c r="C307" t="str">
        <f>IF(K307&lt;122.5,"down",IF(K307=122.5,"low",IF(K307=122.5,"high",IF(AND(K307&gt;122.5,K307&lt;122.5),"normal","up"))))</f>
        <v>down</v>
      </c>
      <c r="D307" t="str">
        <f>IF(K307&lt;122.5,"down",IF(K307=122.5,"low",IF(K307=122.5,"high",IF(AND(K307&gt;122.5,K307&lt;122.5),"normal","up"))))</f>
        <v>down</v>
      </c>
      <c r="E307" t="str">
        <f>IF(K307&lt;120.5,"down",IF(K307=120.5,"low",IF(K307=122.5,"high",IF(AND(K307&gt;120.5,K307&lt;122.5),"normal","up"))))</f>
        <v>normal</v>
      </c>
      <c r="F307" t="str">
        <f>IF(P307&lt;122.5,"PVP-down",IF(P307=122.5,122.5,IF(P307&gt;122.5,"PVP-up")))</f>
        <v>PVP-down</v>
      </c>
      <c r="G307" t="str">
        <f>IF(R307&lt;1,"PVV-down",IF(R307=1,1,IF(R307&gt;1,"PVV-up")))</f>
        <v>PVV-up</v>
      </c>
      <c r="H307" s="3">
        <f t="shared" si="45"/>
        <v>9.780373083089664E-5</v>
      </c>
      <c r="I307">
        <f>[1]!'6464.PreviousPrice'</f>
        <v>122.5</v>
      </c>
      <c r="J307">
        <f>[1]!'6464.PreOpenPrice'</f>
        <v>121</v>
      </c>
      <c r="K307">
        <f>[1]!'6464.Open'</f>
        <v>121</v>
      </c>
      <c r="L307">
        <f>[1]!'6464.Change'</f>
        <v>-1</v>
      </c>
      <c r="M307">
        <f>[1]!'6464.ChangePercent'</f>
        <v>-8.2000000000000007E-3</v>
      </c>
      <c r="N307">
        <f>[1]!'6464.BidPrice'</f>
        <v>121</v>
      </c>
      <c r="O307">
        <f>[1]!'6464.AskPrice'</f>
        <v>121.5</v>
      </c>
      <c r="P307">
        <f>[1]!'6464.Price'</f>
        <v>121.5</v>
      </c>
      <c r="Q307">
        <f>[1]!'6464.Volume'</f>
        <v>2</v>
      </c>
      <c r="R307">
        <f>[1]!'6464.CumulativeVolume'</f>
        <v>12</v>
      </c>
      <c r="S307">
        <f>[1]!'6464.PreviousVolume'</f>
        <v>1</v>
      </c>
      <c r="T307">
        <f t="shared" si="46"/>
        <v>4.1322314049586778E-3</v>
      </c>
      <c r="U307">
        <f>((T307*AB307)*D4)</f>
        <v>2.2075818294179334E-2</v>
      </c>
      <c r="V307" s="5">
        <f t="shared" si="47"/>
        <v>0</v>
      </c>
      <c r="W307" s="5">
        <f t="shared" si="48"/>
        <v>243000</v>
      </c>
      <c r="X307">
        <v>6464</v>
      </c>
      <c r="Y307" s="5">
        <v>1226947060</v>
      </c>
      <c r="Z307" s="3">
        <f>((D2*AB307)/P307)/10</f>
        <v>4.4361503234415737E-3</v>
      </c>
      <c r="AA307" s="3">
        <f>((M307*AB307)*D2)</f>
        <v>-4.4197365672448405E-2</v>
      </c>
      <c r="AB307" s="3">
        <f>AE307/AE323</f>
        <v>4.1801788762071604E-4</v>
      </c>
      <c r="AC307" s="3">
        <f>AF307/AF323</f>
        <v>4.1754260690630003E-4</v>
      </c>
      <c r="AD307" s="5">
        <f t="shared" si="49"/>
        <v>14846059426</v>
      </c>
      <c r="AE307" s="5">
        <f t="shared" si="50"/>
        <v>14907406779</v>
      </c>
      <c r="AF307" s="5">
        <f t="shared" si="51"/>
        <v>15030101485</v>
      </c>
      <c r="AG307">
        <f t="shared" si="52"/>
        <v>0</v>
      </c>
      <c r="AH307" t="str">
        <f t="shared" si="53"/>
        <v>DAL10</v>
      </c>
      <c r="AI307">
        <f t="shared" si="54"/>
        <v>0</v>
      </c>
      <c r="AJ307">
        <f t="shared" si="55"/>
        <v>0</v>
      </c>
      <c r="AK307" t="str">
        <f>IF(Q307&lt;0,"down",IF(Q307=0,0,IF(Q307&gt;0,"up")))</f>
        <v>up</v>
      </c>
    </row>
    <row r="308" spans="1:37" x14ac:dyDescent="0.25">
      <c r="A308">
        <f>IF(X308=1515,1515,"Error")</f>
        <v>1515</v>
      </c>
      <c r="B308" t="str">
        <f>IF(K308&lt;86.5,"down",IF(K308=86.5,"low",IF(K308=93.3,"high",IF(AND(K308&gt;86.5,K308&lt;93.3),"normal","up"))))</f>
        <v>normal</v>
      </c>
      <c r="C308" t="str">
        <f>IF(K308&lt;86.5,"down",IF(K308=86.5,"low",IF(K308=93.3,"high",IF(AND(K308&gt;86.5,K308&lt;93.3),"normal","up"))))</f>
        <v>normal</v>
      </c>
      <c r="D308" t="str">
        <f>IF(K308&lt;86.5,"down",IF(K308=86.5,"low",IF(K308=93.3,"high",IF(AND(K308&gt;86.5,K308&lt;93.3),"normal","up"))))</f>
        <v>normal</v>
      </c>
      <c r="E308" t="str">
        <f>IF(K308&lt;80.6,"down",IF(K308=80.6,"low",IF(K308=93.3,"high",IF(AND(K308&gt;80.6,K308&lt;93.3),"normal","up"))))</f>
        <v>normal</v>
      </c>
      <c r="F308" t="str">
        <f>IF(P308&lt;91,"PVP-down",IF(P308=91,91,IF(P308&gt;91,"PVP-up")))</f>
        <v>PVP-down</v>
      </c>
      <c r="G308" t="str">
        <f>IF(R308&lt;689,"PVV-down",IF(R308=689,689,IF(R308&gt;689,"PVV-up")))</f>
        <v>PVV-up</v>
      </c>
      <c r="H308" s="3">
        <f t="shared" si="45"/>
        <v>2.2995092947455137E-2</v>
      </c>
      <c r="I308">
        <f>[1]!'1515.PreviousPrice'</f>
        <v>86.9</v>
      </c>
      <c r="J308">
        <f>[1]!'1515.PreOpenPrice'</f>
        <v>84.6</v>
      </c>
      <c r="K308">
        <f>[1]!'1515.Open'</f>
        <v>87.4</v>
      </c>
      <c r="L308">
        <f>[1]!'1515.Change'</f>
        <v>-2.2000000000000002</v>
      </c>
      <c r="M308">
        <f>[1]!'1515.ChangePercent'</f>
        <v>-2.53E-2</v>
      </c>
      <c r="N308">
        <f>[1]!'1515.BidPrice'</f>
        <v>84.7</v>
      </c>
      <c r="O308">
        <f>[1]!'1515.AskPrice'</f>
        <v>84.8</v>
      </c>
      <c r="P308">
        <f>[1]!'1515.Price'</f>
        <v>84.7</v>
      </c>
      <c r="Q308">
        <f>[1]!'1515.Volume'</f>
        <v>160</v>
      </c>
      <c r="R308">
        <f>[1]!'1515.CumulativeVolume'</f>
        <v>4173</v>
      </c>
      <c r="S308">
        <f>[1]!'1515.PreviousVolume'</f>
        <v>8861</v>
      </c>
      <c r="T308">
        <f t="shared" si="46"/>
        <v>-3.0892448512585841E-2</v>
      </c>
      <c r="U308">
        <f>((T308*AB308)*D4)</f>
        <v>-0.17016844554757135</v>
      </c>
      <c r="V308" s="5">
        <f t="shared" si="47"/>
        <v>13552000</v>
      </c>
      <c r="W308" s="5">
        <f t="shared" si="48"/>
        <v>0</v>
      </c>
      <c r="X308">
        <v>1515</v>
      </c>
      <c r="Y308" s="5">
        <v>1814735000</v>
      </c>
      <c r="Z308" s="3">
        <f>((D2*AB308)/P308)/10</f>
        <v>6.5613566547938467E-3</v>
      </c>
      <c r="AA308" s="3">
        <f>((M308*AB308)*D2)</f>
        <v>-0.1406039678912428</v>
      </c>
      <c r="AB308" s="3">
        <f>AE308/AE323</f>
        <v>4.310120278121908E-4</v>
      </c>
      <c r="AC308" s="3">
        <f>AF308/AF323</f>
        <v>4.3809861195000889E-4</v>
      </c>
      <c r="AD308" s="5">
        <f t="shared" si="49"/>
        <v>15352658100</v>
      </c>
      <c r="AE308" s="5">
        <f t="shared" si="50"/>
        <v>15370805450</v>
      </c>
      <c r="AF308" s="5">
        <f t="shared" si="51"/>
        <v>15770047150</v>
      </c>
      <c r="AG308" t="str">
        <f t="shared" si="52"/>
        <v>DBM150</v>
      </c>
      <c r="AH308">
        <f t="shared" si="53"/>
        <v>0</v>
      </c>
      <c r="AI308">
        <f t="shared" si="54"/>
        <v>0</v>
      </c>
      <c r="AJ308">
        <f t="shared" si="55"/>
        <v>0</v>
      </c>
      <c r="AK308" t="str">
        <f>IF(Q308&lt;0,"down",IF(Q308=0,0,IF(Q308&gt;0,"up")))</f>
        <v>up</v>
      </c>
    </row>
    <row r="309" spans="1:37" x14ac:dyDescent="0.25">
      <c r="A309">
        <f>IF(X309=4536,4536,"Error")</f>
        <v>4536</v>
      </c>
      <c r="B309" t="str">
        <f>IF(K309&lt;161,"down",IF(K309=161,"low",IF(K309=166.5,"high",IF(AND(K309&gt;161,K309&lt;166.5),"normal","up"))))</f>
        <v>normal</v>
      </c>
      <c r="C309" t="str">
        <f>IF(K309&lt;161,"down",IF(K309=161,"low",IF(K309=166.5,"high",IF(AND(K309&gt;161,K309&lt;166.5),"normal","up"))))</f>
        <v>normal</v>
      </c>
      <c r="D309" t="str">
        <f>IF(K309&lt;161,"down",IF(K309=161,"low",IF(K309=166.5,"high",IF(AND(K309&gt;161,K309&lt;166.5),"normal","up"))))</f>
        <v>normal</v>
      </c>
      <c r="E309" t="str">
        <f>IF(K309&lt;158,"down",IF(K309=158,"low",IF(K309=168,"high",IF(AND(K309&gt;158,K309&lt;168),"normal","up"))))</f>
        <v>normal</v>
      </c>
      <c r="F309" t="str">
        <f>IF(P309&lt;162,"PVP-down",IF(P309=162,162,IF(P309&gt;162,"PVP-up")))</f>
        <v>PVP-down</v>
      </c>
      <c r="G309" t="str">
        <f>IF(R309&lt;72,"PVV-down",IF(R309=72,72,IF(R309&gt;72,"PVV-up")))</f>
        <v>PVV-up</v>
      </c>
      <c r="H309" s="3">
        <f t="shared" si="45"/>
        <v>3.5564853556485356E-3</v>
      </c>
      <c r="I309">
        <f>[1]!'4536.PreviousPrice'</f>
        <v>161.5</v>
      </c>
      <c r="J309">
        <f>[1]!'4536.PreOpenPrice'</f>
        <v>161</v>
      </c>
      <c r="K309">
        <f>[1]!'4536.Open'</f>
        <v>162</v>
      </c>
      <c r="L309">
        <f>[1]!'4536.Change'</f>
        <v>-0.5</v>
      </c>
      <c r="M309">
        <f>[1]!'4536.ChangePercent'</f>
        <v>-3.0999999999999999E-3</v>
      </c>
      <c r="N309">
        <f>[1]!'4536.BidPrice'</f>
        <v>161</v>
      </c>
      <c r="O309">
        <f>[1]!'4536.AskPrice'</f>
        <v>161.5</v>
      </c>
      <c r="P309">
        <f>[1]!'4536.Price'</f>
        <v>161</v>
      </c>
      <c r="Q309">
        <f>[1]!'4536.Volume'</f>
        <v>28</v>
      </c>
      <c r="R309">
        <f>[1]!'4536.CumulativeVolume'</f>
        <v>323</v>
      </c>
      <c r="S309">
        <f>[1]!'4536.PreviousVolume'</f>
        <v>416</v>
      </c>
      <c r="T309">
        <f t="shared" si="46"/>
        <v>-6.1728395061728392E-3</v>
      </c>
      <c r="U309">
        <f>((T309*AB309)*D4)</f>
        <v>-3.2346137885488492E-2</v>
      </c>
      <c r="V309" s="5">
        <f t="shared" si="47"/>
        <v>4508000</v>
      </c>
      <c r="W309" s="5">
        <f t="shared" si="48"/>
        <v>0</v>
      </c>
      <c r="X309">
        <v>4536</v>
      </c>
      <c r="Y309" s="5">
        <v>908200000</v>
      </c>
      <c r="Z309" s="3">
        <f>((D2*AB309)/P309)/10</f>
        <v>3.2836883147587788E-3</v>
      </c>
      <c r="AA309" s="3">
        <f>((M309*AB309)*D2)</f>
        <v>-1.6388888378961061E-2</v>
      </c>
      <c r="AB309" s="3">
        <f>AE309/AE323</f>
        <v>4.1001537046390826E-4</v>
      </c>
      <c r="AC309" s="3">
        <f>AF309/AF323</f>
        <v>4.0746743892100025E-4</v>
      </c>
      <c r="AD309" s="5">
        <f t="shared" si="49"/>
        <v>14622020000</v>
      </c>
      <c r="AE309" s="5">
        <f t="shared" si="50"/>
        <v>14622020000</v>
      </c>
      <c r="AF309" s="5">
        <f t="shared" si="51"/>
        <v>14667430000</v>
      </c>
      <c r="AG309" t="str">
        <f t="shared" si="52"/>
        <v>DBM10-50</v>
      </c>
      <c r="AH309">
        <f t="shared" si="53"/>
        <v>0</v>
      </c>
      <c r="AI309">
        <f t="shared" si="54"/>
        <v>0</v>
      </c>
      <c r="AJ309">
        <f t="shared" si="55"/>
        <v>0</v>
      </c>
      <c r="AK309" t="str">
        <f>IF(Q309&lt;0,"down",IF(Q309=0,0,IF(Q309&gt;0,"up")))</f>
        <v>up</v>
      </c>
    </row>
    <row r="310" spans="1:37" x14ac:dyDescent="0.25">
      <c r="A310">
        <f>IF(X310=6582,6582,"Error")</f>
        <v>6582</v>
      </c>
      <c r="B310" t="str">
        <f>IF(K310&lt;157,"down",IF(K310=157,"low",IF(K310=167.5,"high",IF(AND(K310&gt;157,K310&lt;167.5),"normal","up"))))</f>
        <v>normal</v>
      </c>
      <c r="C310" t="str">
        <f>IF(K310&lt;157,"down",IF(K310=157,"low",IF(K310=167.5,"high",IF(AND(K310&gt;157,K310&lt;167.5),"normal","up"))))</f>
        <v>normal</v>
      </c>
      <c r="D310" t="str">
        <f>IF(K310&lt;157,"down",IF(K310=157,"low",IF(K310=167.5,"high",IF(AND(K310&gt;157,K310&lt;167.5),"normal","up"))))</f>
        <v>normal</v>
      </c>
      <c r="E310" t="str">
        <f>IF(K310&lt;136.5,"down",IF(K310=136.5,"low",IF(K310=167.5,"high",IF(AND(K310&gt;136.5,K310&lt;167.5),"normal","up"))))</f>
        <v>normal</v>
      </c>
      <c r="F310" t="str">
        <f>IF(P310&lt;160,"PVP-down",IF(P310=160,160,IF(P310&gt;160,"PVP-up")))</f>
        <v>PVP-down</v>
      </c>
      <c r="G310" t="str">
        <f>IF(R310&lt;241,"PVV-down",IF(R310=241,241,IF(R310&gt;241,"PVV-up")))</f>
        <v>PVV-up</v>
      </c>
      <c r="H310" s="3">
        <f t="shared" si="45"/>
        <v>1.2947743431901986E-2</v>
      </c>
      <c r="I310">
        <f>[1]!'6582.PreviousPrice'</f>
        <v>160</v>
      </c>
      <c r="J310">
        <f>[1]!'6582.PreOpenPrice'</f>
        <v>159</v>
      </c>
      <c r="K310">
        <f>[1]!'6582.Open'</f>
        <v>161</v>
      </c>
      <c r="L310">
        <f>[1]!'6582.Change'</f>
        <v>-1</v>
      </c>
      <c r="M310">
        <f>[1]!'6582.ChangePercent'</f>
        <v>-6.1999999999999998E-3</v>
      </c>
      <c r="N310">
        <f>[1]!'6582.BidPrice'</f>
        <v>158.5</v>
      </c>
      <c r="O310">
        <f>[1]!'6582.AskPrice'</f>
        <v>159</v>
      </c>
      <c r="P310">
        <f>[1]!'6582.Price'</f>
        <v>159</v>
      </c>
      <c r="Q310">
        <f>[1]!'6582.Volume'</f>
        <v>59</v>
      </c>
      <c r="R310">
        <f>[1]!'6582.CumulativeVolume'</f>
        <v>1358</v>
      </c>
      <c r="S310">
        <f>[1]!'6582.PreviousVolume'</f>
        <v>1795</v>
      </c>
      <c r="T310">
        <f t="shared" si="46"/>
        <v>-1.2422360248447204E-2</v>
      </c>
      <c r="U310">
        <f>((T310*AB310)*D4)</f>
        <v>-7.4239835924854558E-2</v>
      </c>
      <c r="V310" s="5">
        <f t="shared" si="47"/>
        <v>0</v>
      </c>
      <c r="W310" s="5">
        <f t="shared" si="48"/>
        <v>9381000</v>
      </c>
      <c r="X310">
        <v>6582</v>
      </c>
      <c r="Y310" s="5">
        <v>1048831410</v>
      </c>
      <c r="Z310" s="3">
        <f>((D2*AB310)/P310)/10</f>
        <v>3.7921553018817147E-3</v>
      </c>
      <c r="AA310" s="3">
        <f>((M310*AB310)*D2)</f>
        <v>-3.7383066965949938E-2</v>
      </c>
      <c r="AB310" s="3">
        <f>AE310/AE323</f>
        <v>4.6762268729579076E-4</v>
      </c>
      <c r="AC310" s="3">
        <f>AF310/AF323</f>
        <v>4.6619171701392981E-4</v>
      </c>
      <c r="AD310" s="5">
        <f t="shared" si="49"/>
        <v>16676419419</v>
      </c>
      <c r="AE310" s="5">
        <f t="shared" si="50"/>
        <v>16676419419</v>
      </c>
      <c r="AF310" s="5">
        <f t="shared" si="51"/>
        <v>16781302560</v>
      </c>
      <c r="AG310">
        <f t="shared" si="52"/>
        <v>0</v>
      </c>
      <c r="AH310" t="str">
        <f t="shared" si="53"/>
        <v>DAM50</v>
      </c>
      <c r="AI310">
        <f t="shared" si="54"/>
        <v>0</v>
      </c>
      <c r="AJ310">
        <f t="shared" si="55"/>
        <v>0</v>
      </c>
      <c r="AK310" t="str">
        <f>IF(Q310&lt;128,"down",IF(Q310=128,128,IF(Q310&gt;128,"up")))</f>
        <v>down</v>
      </c>
    </row>
    <row r="311" spans="1:37" x14ac:dyDescent="0.25">
      <c r="A311">
        <f>IF(X311=9925,9925,"Error")</f>
        <v>9925</v>
      </c>
      <c r="B311" t="str">
        <f>IF(K311&lt;35.95,"down",IF(K311=35.95,"low",IF(K311=36.05,"high",IF(AND(K311&gt;35.95,K311&lt;36.05),"normal","up"))))</f>
        <v>low</v>
      </c>
      <c r="C311" t="str">
        <f>IF(K311&lt;35.95,"down",IF(K311=35.95,"low",IF(K311=36.05,"high",IF(AND(K311&gt;35.95,K311&lt;36.05),"normal","up"))))</f>
        <v>low</v>
      </c>
      <c r="D311" t="str">
        <f>IF(K311&lt;35.95,"down",IF(K311=35.95,"low",IF(K311=36.05,"high",IF(AND(K311&gt;35.95,K311&lt;36.05),"normal","up"))))</f>
        <v>low</v>
      </c>
      <c r="E311" t="str">
        <f>IF(K311&lt;35.5,"down",IF(K311=35.5,"low",IF(K311=37.75,"high",IF(AND(K311&gt;35.5,K311&lt;37.75),"normal","up"))))</f>
        <v>normal</v>
      </c>
      <c r="F311" t="str">
        <f>IF(P311&lt;36,"PVP-down",IF(P311=36,36,IF(P311&gt;36,"PVP-up")))</f>
        <v>PVP-down</v>
      </c>
      <c r="G311" t="str">
        <f>IF(R311&lt;117,"PVV-down",IF(R311=117,117,IF(R311&gt;117,"PVV-up")))</f>
        <v>PVV-up</v>
      </c>
      <c r="H311" s="3">
        <f t="shared" si="45"/>
        <v>4.4571518161297153E-4</v>
      </c>
      <c r="I311">
        <f>[1]!'9925.PreviousPrice'</f>
        <v>35.950000000000003</v>
      </c>
      <c r="J311">
        <f>[1]!'9925.PreOpenPrice'</f>
        <v>35.950000000000003</v>
      </c>
      <c r="K311">
        <f>[1]!'9925.Open'</f>
        <v>35.950000000000003</v>
      </c>
      <c r="L311">
        <f>[1]!'9925.Change'</f>
        <v>0</v>
      </c>
      <c r="M311">
        <f>[1]!'9925.ChangePercent'</f>
        <v>0</v>
      </c>
      <c r="N311">
        <f>[1]!'9925.BidPrice'</f>
        <v>35.9</v>
      </c>
      <c r="O311">
        <f>[1]!'9925.AskPrice'</f>
        <v>35.950000000000003</v>
      </c>
      <c r="P311">
        <f>[1]!'9925.Price'</f>
        <v>35.950000000000003</v>
      </c>
      <c r="Q311">
        <f>[1]!'9925.Volume'</f>
        <v>15</v>
      </c>
      <c r="R311">
        <f>[1]!'9925.CumulativeVolume'</f>
        <v>171</v>
      </c>
      <c r="S311">
        <f>[1]!'9925.PreviousVolume'</f>
        <v>170</v>
      </c>
      <c r="T311">
        <f t="shared" si="46"/>
        <v>0</v>
      </c>
      <c r="U311">
        <f>((T311*AB311)*D4)</f>
        <v>0</v>
      </c>
      <c r="V311" s="5">
        <f t="shared" si="47"/>
        <v>0</v>
      </c>
      <c r="W311" s="5">
        <f t="shared" si="48"/>
        <v>539250</v>
      </c>
      <c r="X311">
        <v>9925</v>
      </c>
      <c r="Y311" s="5">
        <v>3836530750</v>
      </c>
      <c r="Z311" s="3">
        <f>((D2*AB311)/P311)/10</f>
        <v>1.3871362247288849E-2</v>
      </c>
      <c r="AA311" s="3">
        <f>((M311*AB311)*D2)</f>
        <v>0</v>
      </c>
      <c r="AB311" s="3">
        <f>AE311/AE323</f>
        <v>3.8675001767491399E-4</v>
      </c>
      <c r="AC311" s="3">
        <f>AF311/AF323</f>
        <v>3.8315673473565378E-4</v>
      </c>
      <c r="AD311" s="5">
        <f t="shared" si="49"/>
        <v>13792328046.25</v>
      </c>
      <c r="AE311" s="5">
        <f t="shared" si="50"/>
        <v>13792328046.25</v>
      </c>
      <c r="AF311" s="5">
        <f t="shared" si="51"/>
        <v>13792328046.25</v>
      </c>
      <c r="AG311">
        <f t="shared" si="52"/>
        <v>0</v>
      </c>
      <c r="AH311">
        <f t="shared" si="53"/>
        <v>0</v>
      </c>
      <c r="AI311">
        <f t="shared" si="54"/>
        <v>0</v>
      </c>
      <c r="AJ311">
        <f t="shared" si="55"/>
        <v>0</v>
      </c>
      <c r="AK311" t="str">
        <f>IF(Q311&lt;0,"down",IF(Q311=0,0,IF(Q311&gt;0,"up")))</f>
        <v>up</v>
      </c>
    </row>
    <row r="312" spans="1:37" x14ac:dyDescent="0.25">
      <c r="A312">
        <f>IF(X312=1325,1325,"Error")</f>
        <v>1325</v>
      </c>
      <c r="B312" t="str">
        <f>IF(K312&lt;188.5,"down",IF(K312=188.5,"low",IF(K312=201.5,"high",IF(AND(K312&gt;188.5,K312&lt;201.5),"normal","up"))))</f>
        <v>down</v>
      </c>
      <c r="C312" t="str">
        <f>IF(K312&lt;188.5,"down",IF(K312=188.5,"low",IF(K312=201.5,"high",IF(AND(K312&gt;188.5,K312&lt;201.5),"normal","up"))))</f>
        <v>down</v>
      </c>
      <c r="D312" t="str">
        <f>IF(K312&lt;188.5,"down",IF(K312=188.5,"low",IF(K312=201.5,"high",IF(AND(K312&gt;188.5,K312&lt;201.5),"normal","up"))))</f>
        <v>down</v>
      </c>
      <c r="E312" t="str">
        <f>IF(K312&lt;178,"down",IF(K312=178,"low",IF(K312=210,"high",IF(AND(K312&gt;178,K312&lt;210),"normal","up"))))</f>
        <v>normal</v>
      </c>
      <c r="F312" t="str">
        <f>IF(P312&lt;198,"PVP-down",IF(P312=198,198,IF(P312&gt;198,"PVP-up")))</f>
        <v>PVP-down</v>
      </c>
      <c r="G312" t="str">
        <f>IF(R312&lt;1443,"PVV-down",IF(R312=1443,1443,IF(R312&gt;1443,"PVV-up")))</f>
        <v>PVV-up</v>
      </c>
      <c r="H312" s="3">
        <f t="shared" si="45"/>
        <v>0.18992463028017031</v>
      </c>
      <c r="I312">
        <f>[1]!'1325.PreviousPrice'</f>
        <v>198</v>
      </c>
      <c r="J312">
        <f>[1]!'1325.PreOpenPrice'</f>
        <v>178.5</v>
      </c>
      <c r="K312">
        <f>[1]!'1325.Open'</f>
        <v>178.5</v>
      </c>
      <c r="L312">
        <f>[1]!'1325.Change'</f>
        <v>-19.5</v>
      </c>
      <c r="M312">
        <f>[1]!'1325.ChangePercent'</f>
        <v>-9.8500000000000004E-2</v>
      </c>
      <c r="N312">
        <f>[1]!'1325.BidPrice'</f>
        <v>178.5</v>
      </c>
      <c r="O312">
        <f>[1]!'1325.AskPrice'</f>
        <v>178.5</v>
      </c>
      <c r="P312">
        <f>[1]!'1325.Price'</f>
        <v>178.5</v>
      </c>
      <c r="Q312">
        <f>[1]!'1325.Volume'</f>
        <v>26</v>
      </c>
      <c r="R312">
        <f>[1]!'1325.CumulativeVolume'</f>
        <v>16197</v>
      </c>
      <c r="S312">
        <f>[1]!'1325.PreviousVolume'</f>
        <v>13764</v>
      </c>
      <c r="T312">
        <f t="shared" si="46"/>
        <v>0</v>
      </c>
      <c r="U312">
        <f>((T312*AB312)*D4)</f>
        <v>0</v>
      </c>
      <c r="V312" s="5">
        <f t="shared" si="47"/>
        <v>4641000</v>
      </c>
      <c r="W312" s="5">
        <f t="shared" si="48"/>
        <v>4641000</v>
      </c>
      <c r="X312">
        <v>1325</v>
      </c>
      <c r="Y312" s="5">
        <v>852811980</v>
      </c>
      <c r="Z312" s="3">
        <f>((D2*AB312)/P312)/10</f>
        <v>3.0834273655717869E-3</v>
      </c>
      <c r="AA312" s="3">
        <f>((M312*AB312)*D2)</f>
        <v>-0.54213590798324551</v>
      </c>
      <c r="AB312" s="3">
        <f>AE312/AE323</f>
        <v>4.2685883725342329E-4</v>
      </c>
      <c r="AC312" s="3">
        <f>AF312/AF323</f>
        <v>4.690912889825004E-4</v>
      </c>
      <c r="AD312" s="5">
        <f t="shared" si="49"/>
        <v>15222693843</v>
      </c>
      <c r="AE312" s="5">
        <f t="shared" si="50"/>
        <v>15222693843</v>
      </c>
      <c r="AF312" s="5">
        <f t="shared" si="51"/>
        <v>16885677204</v>
      </c>
      <c r="AG312" t="str">
        <f t="shared" si="52"/>
        <v>DBM10-50</v>
      </c>
      <c r="AH312" t="str">
        <f t="shared" si="53"/>
        <v>DAM10-50</v>
      </c>
      <c r="AI312">
        <f t="shared" si="54"/>
        <v>0</v>
      </c>
      <c r="AJ312">
        <f t="shared" si="55"/>
        <v>0</v>
      </c>
      <c r="AK312" t="str">
        <f>IF(Q312&lt;730,"down",IF(Q312=730,730,IF(Q312&gt;730,"up")))</f>
        <v>down</v>
      </c>
    </row>
    <row r="313" spans="1:37" x14ac:dyDescent="0.25">
      <c r="A313">
        <f>IF(X313=9907,9907,"Error")</f>
        <v>9907</v>
      </c>
      <c r="B313" t="str">
        <f>IF(K313&lt;8.99,"down",IF(K313=8.99,"low",IF(K313=9.08,"high",IF(AND(K313&gt;8.99,K313&lt;9.08),"normal","up"))))</f>
        <v>up</v>
      </c>
      <c r="C313" t="str">
        <f>IF(K313&lt;8.99,"down",IF(K313=8.99,"low",IF(K313=9.08,"high",IF(AND(K313&gt;8.99,K313&lt;9.08),"normal","up"))))</f>
        <v>up</v>
      </c>
      <c r="D313" t="str">
        <f>IF(K313&lt;8.99,"down",IF(K313=8.99,"low",IF(K313=9.08,"high",IF(AND(K313&gt;8.99,K313&lt;9.08),"normal","up"))))</f>
        <v>up</v>
      </c>
      <c r="E313" t="str">
        <f>IF(K313&lt;8.95,"down",IF(K313=8.95,"low",IF(K313=9.15,"high",IF(AND(K313&gt;8.95,K313&lt;9.15),"normal","up"))))</f>
        <v>up</v>
      </c>
      <c r="F313" t="str">
        <f>IF(P313&lt;9.05,"PVP-down",IF(P313=9.05,9.05,IF(P313&gt;9.05,"PVP-up")))</f>
        <v>PVP-up</v>
      </c>
      <c r="G313" t="str">
        <f>IF(R313&lt;260,"PVV-down",IF(R313=260,260,IF(R313&gt;260,"PVV-up")))</f>
        <v>PVV-up</v>
      </c>
      <c r="H313" s="3">
        <f t="shared" si="45"/>
        <v>2.2930124946029195E-3</v>
      </c>
      <c r="I313">
        <f>[1]!'9907.PreviousPrice'</f>
        <v>9.07</v>
      </c>
      <c r="J313">
        <f>[1]!'9907.PreOpenPrice'</f>
        <v>9.1999999999999993</v>
      </c>
      <c r="K313">
        <f>[1]!'9907.Open'</f>
        <v>9.18</v>
      </c>
      <c r="L313">
        <f>[1]!'9907.Change'</f>
        <v>0.13</v>
      </c>
      <c r="M313">
        <f>[1]!'9907.ChangePercent'</f>
        <v>1.43E-2</v>
      </c>
      <c r="N313">
        <f>[1]!'9907.BidPrice'</f>
        <v>9.19</v>
      </c>
      <c r="O313">
        <f>[1]!'9907.AskPrice'</f>
        <v>9.1999999999999993</v>
      </c>
      <c r="P313">
        <f>[1]!'9907.Price'</f>
        <v>9.1999999999999993</v>
      </c>
      <c r="Q313">
        <f>[1]!'9907.Volume'</f>
        <v>73</v>
      </c>
      <c r="R313">
        <f>[1]!'9907.CumulativeVolume'</f>
        <v>3621</v>
      </c>
      <c r="S313">
        <f>[1]!'9907.PreviousVolume'</f>
        <v>1129</v>
      </c>
      <c r="T313">
        <f t="shared" si="46"/>
        <v>2.1786492374727207E-3</v>
      </c>
      <c r="U313">
        <f>((T313*AB313)*D4)</f>
        <v>1.1342984010901488E-2</v>
      </c>
      <c r="V313" s="5">
        <f t="shared" si="47"/>
        <v>0</v>
      </c>
      <c r="W313" s="5">
        <f t="shared" si="48"/>
        <v>671599.99999999988</v>
      </c>
      <c r="X313">
        <v>9907</v>
      </c>
      <c r="Y313" s="5">
        <v>15791453420</v>
      </c>
      <c r="Z313" s="3">
        <f>((D2*AB313)/P313)/10</f>
        <v>5.7095585849274988E-2</v>
      </c>
      <c r="AA313" s="3">
        <f>((M313*AB313)*D2)</f>
        <v>7.5114952743306165E-2</v>
      </c>
      <c r="AB313" s="3">
        <f>AE313/AE323</f>
        <v>4.0738280581148587E-4</v>
      </c>
      <c r="AC313" s="3">
        <f>AF313/AF323</f>
        <v>3.9789481151586312E-4</v>
      </c>
      <c r="AD313" s="5">
        <f t="shared" si="49"/>
        <v>14528137146.4</v>
      </c>
      <c r="AE313" s="5">
        <f t="shared" si="50"/>
        <v>14528137146.4</v>
      </c>
      <c r="AF313" s="5">
        <f t="shared" si="51"/>
        <v>14322848251.939999</v>
      </c>
      <c r="AG313">
        <f t="shared" si="52"/>
        <v>0</v>
      </c>
      <c r="AH313">
        <f t="shared" si="53"/>
        <v>0</v>
      </c>
      <c r="AI313" t="str">
        <f t="shared" si="54"/>
        <v>UAM50</v>
      </c>
      <c r="AJ313">
        <f t="shared" si="55"/>
        <v>0</v>
      </c>
      <c r="AK313" t="str">
        <f>IF(Q313&lt;20,"down",IF(Q313=20,20,IF(Q313&gt;20,"up")))</f>
        <v>up</v>
      </c>
    </row>
    <row r="314" spans="1:37" x14ac:dyDescent="0.25">
      <c r="A314">
        <f>IF(X314=2607,2607,"Error")</f>
        <v>2607</v>
      </c>
      <c r="B314" t="str">
        <f>IF(K314&lt;13.3,"down",IF(K314=13.3,"low",IF(K314=13.5,"high",IF(AND(K314&gt;13.3,K314&lt;13.5),"normal","up"))))</f>
        <v>high</v>
      </c>
      <c r="C314" t="str">
        <f>IF(K314&lt;13.3,"down",IF(K314=13.3,"low",IF(K314=13.5,"high",IF(AND(K314&gt;13.3,K314&lt;13.5),"normal","up"))))</f>
        <v>high</v>
      </c>
      <c r="D314" t="str">
        <f>IF(K314&lt;13.3,"down",IF(K314=13.3,"low",IF(K314=13.5,"high",IF(AND(K314&gt;13.3,K314&lt;13.5),"normal","up"))))</f>
        <v>high</v>
      </c>
      <c r="E314" t="str">
        <f>IF(K314&lt;13.1,"down",IF(K314=13.1,"low",IF(K314=13.5,"high",IF(AND(K314&gt;13.1,K314&lt;13.5),"normal","up"))))</f>
        <v>high</v>
      </c>
      <c r="F314" t="str">
        <f>IF(P314&lt;13.4,"PVP-down",IF(P314=13.4,13.4,IF(P314&gt;13.4,"PVP-up")))</f>
        <v>PVP-up</v>
      </c>
      <c r="G314" t="str">
        <f>IF(R314&lt;822,"PVV-down",IF(R314=822,822,IF(R314&gt;822,"PVV-up")))</f>
        <v>PVV-up</v>
      </c>
      <c r="H314" s="3">
        <f t="shared" si="45"/>
        <v>9.5020237314560765E-4</v>
      </c>
      <c r="I314">
        <f>[1]!'2607.PreviousPrice'</f>
        <v>13.45</v>
      </c>
      <c r="J314">
        <f>[1]!'2607.PreOpenPrice'</f>
        <v>13.45</v>
      </c>
      <c r="K314">
        <f>[1]!'2607.Open'</f>
        <v>13.5</v>
      </c>
      <c r="L314">
        <f>[1]!'2607.Change'</f>
        <v>0</v>
      </c>
      <c r="M314">
        <f>[1]!'2607.ChangePercent'</f>
        <v>0</v>
      </c>
      <c r="N314">
        <f>[1]!'2607.BidPrice'</f>
        <v>13.4</v>
      </c>
      <c r="O314">
        <f>[1]!'2607.AskPrice'</f>
        <v>13.5</v>
      </c>
      <c r="P314">
        <f>[1]!'2607.Price'</f>
        <v>13.45</v>
      </c>
      <c r="Q314">
        <f>[1]!'2607.Volume'</f>
        <v>20</v>
      </c>
      <c r="R314">
        <f>[1]!'2607.CumulativeVolume'</f>
        <v>1014</v>
      </c>
      <c r="S314">
        <f>[1]!'2607.PreviousVolume'</f>
        <v>1710</v>
      </c>
      <c r="T314">
        <f t="shared" si="46"/>
        <v>-3.7037037037037563E-3</v>
      </c>
      <c r="U314">
        <f>((T314*AB314)*D4)</f>
        <v>-1.905067810509423E-2</v>
      </c>
      <c r="V314" s="5">
        <f t="shared" si="47"/>
        <v>0</v>
      </c>
      <c r="W314" s="5">
        <f t="shared" si="48"/>
        <v>0</v>
      </c>
      <c r="X314">
        <v>2607</v>
      </c>
      <c r="Y314" s="5">
        <v>10671410940</v>
      </c>
      <c r="Z314" s="3">
        <f>((D2*AB314)/P314)/10</f>
        <v>3.8583558033106133E-2</v>
      </c>
      <c r="AA314" s="3">
        <f>((M314*AB314)*D2)</f>
        <v>0</v>
      </c>
      <c r="AB314" s="3">
        <f>AE314/AE323</f>
        <v>4.0247313133649564E-4</v>
      </c>
      <c r="AC314" s="3">
        <f>AF314/AF323</f>
        <v>3.9873376541471389E-4</v>
      </c>
      <c r="AD314" s="5">
        <f t="shared" si="49"/>
        <v>14353047714.299999</v>
      </c>
      <c r="AE314" s="5">
        <f t="shared" si="50"/>
        <v>14353047714.299999</v>
      </c>
      <c r="AF314" s="5">
        <f t="shared" si="51"/>
        <v>14353047714.299999</v>
      </c>
      <c r="AG314">
        <f t="shared" si="52"/>
        <v>0</v>
      </c>
      <c r="AH314">
        <f t="shared" si="53"/>
        <v>0</v>
      </c>
      <c r="AI314">
        <f t="shared" si="54"/>
        <v>0</v>
      </c>
      <c r="AJ314">
        <f t="shared" si="55"/>
        <v>0</v>
      </c>
      <c r="AK314" t="str">
        <f>IF(Q314&lt;3,"down",IF(Q314=3,3,IF(Q314&gt;3,"up")))</f>
        <v>up</v>
      </c>
    </row>
    <row r="315" spans="1:37" x14ac:dyDescent="0.25">
      <c r="A315">
        <f>IF(X315=9937,9937,"Error")</f>
        <v>9937</v>
      </c>
      <c r="B315" t="str">
        <f>IF(K315&lt;44.6,"down",IF(K315=44.6,"low",IF(K315=45.15,"high",IF(AND(K315&gt;44.6,K315&lt;45.15),"normal","up"))))</f>
        <v>up</v>
      </c>
      <c r="C315" t="str">
        <f>IF(K315&lt;44.6,"down",IF(K315=44.6,"low",IF(K315=45.15,"high",IF(AND(K315&gt;44.6,K315&lt;45.15),"normal","up"))))</f>
        <v>up</v>
      </c>
      <c r="D315" t="str">
        <f>IF(K315&lt;44.6,"down",IF(K315=44.6,"low",IF(K315=45.15,"high",IF(AND(K315&gt;44.6,K315&lt;45.15),"normal","up"))))</f>
        <v>up</v>
      </c>
      <c r="E315" t="str">
        <f>IF(K315&lt;44.1,"down",IF(K315=44.1,"low",IF(K315=45.55,"high",IF(AND(K315&gt;44.1,K315&lt;45.55),"normal","up"))))</f>
        <v>normal</v>
      </c>
      <c r="F315" t="str">
        <f>IF(P315&lt;44.7,"PVP-down",IF(P315=44.7,44.7,IF(P315&gt;44.7,"PVP-up")))</f>
        <v>PVP-up</v>
      </c>
      <c r="G315" t="str">
        <f>IF(R315&lt;15,"PVV-down",IF(R315=15,15,IF(R315&gt;15,"PVV-up")))</f>
        <v>PVV-down</v>
      </c>
      <c r="H315" s="3">
        <f t="shared" si="45"/>
        <v>3.235795665975285E-6</v>
      </c>
      <c r="I315">
        <f>[1]!'9937.PreviousPrice'</f>
        <v>45.05</v>
      </c>
      <c r="J315" t="e">
        <f>[1]!'9937.PreOpenPrice'</f>
        <v>#N/A</v>
      </c>
      <c r="K315">
        <f>[1]!'9937.Open'</f>
        <v>45.25</v>
      </c>
      <c r="L315">
        <f>[1]!'9937.Change'</f>
        <v>0.2</v>
      </c>
      <c r="M315">
        <f>[1]!'9937.ChangePercent'</f>
        <v>4.4000000000000003E-3</v>
      </c>
      <c r="N315">
        <f>[1]!'9937.BidPrice'</f>
        <v>44.7</v>
      </c>
      <c r="O315">
        <f>[1]!'9937.AskPrice'</f>
        <v>45.1</v>
      </c>
      <c r="P315">
        <f>[1]!'9937.Price'</f>
        <v>45.25</v>
      </c>
      <c r="Q315">
        <f>[1]!'9937.Volume'</f>
        <v>1</v>
      </c>
      <c r="R315">
        <f>[1]!'9937.CumulativeVolume'</f>
        <v>1</v>
      </c>
      <c r="S315">
        <f>[1]!'9937.PreviousVolume'</f>
        <v>39</v>
      </c>
      <c r="T315">
        <f t="shared" si="46"/>
        <v>0</v>
      </c>
      <c r="U315">
        <f>((T315*AB315)*D4)</f>
        <v>0</v>
      </c>
      <c r="V315" s="5">
        <f t="shared" si="47"/>
        <v>0</v>
      </c>
      <c r="W315" s="5">
        <f t="shared" si="48"/>
        <v>45250</v>
      </c>
      <c r="X315">
        <v>9937</v>
      </c>
      <c r="Y315" s="5">
        <v>3090430000</v>
      </c>
      <c r="Z315" s="3">
        <f>((D2*AB315)/P315)/10</f>
        <v>1.117376005128823E-2</v>
      </c>
      <c r="AA315" s="3">
        <f>((M315*AB315)*D2)</f>
        <v>2.2246956262114866E-2</v>
      </c>
      <c r="AB315" s="3">
        <f>AE315/AE323</f>
        <v>3.9213017087078673E-4</v>
      </c>
      <c r="AC315" s="3">
        <f>AF315/AF323</f>
        <v>3.8676983191173527E-4</v>
      </c>
      <c r="AD315" s="5">
        <f t="shared" si="49"/>
        <v>13922387150</v>
      </c>
      <c r="AE315" s="5">
        <f t="shared" si="50"/>
        <v>13984195750</v>
      </c>
      <c r="AF315" s="5">
        <f t="shared" si="51"/>
        <v>13922387150</v>
      </c>
      <c r="AG315">
        <f t="shared" si="52"/>
        <v>0</v>
      </c>
      <c r="AH315">
        <f t="shared" si="53"/>
        <v>0</v>
      </c>
      <c r="AI315" t="str">
        <f t="shared" si="54"/>
        <v>UAL10</v>
      </c>
      <c r="AJ315">
        <f t="shared" si="55"/>
        <v>0</v>
      </c>
      <c r="AK315">
        <f>IF(Q315&lt;1,"down",IF(Q315=1,1,IF(Q315&gt;1,"up")))</f>
        <v>1</v>
      </c>
    </row>
    <row r="316" spans="1:37" x14ac:dyDescent="0.25">
      <c r="A316">
        <f>IF(X316=1710,1710,"Error")</f>
        <v>1710</v>
      </c>
      <c r="B316" t="str">
        <f>IF(K316&lt;15.8,"down",IF(K316=15.8,"low",IF(K316=16.15,"high",IF(AND(K316&gt;15.8,K316&lt;16.15),"normal","up"))))</f>
        <v>high</v>
      </c>
      <c r="C316" t="str">
        <f>IF(K316&lt;15.8,"down",IF(K316=15.8,"low",IF(K316=16.15,"high",IF(AND(K316&gt;15.8,K316&lt;16.15),"normal","up"))))</f>
        <v>high</v>
      </c>
      <c r="D316" t="str">
        <f>IF(K316&lt;15.8,"down",IF(K316=15.8,"low",IF(K316=16.15,"high",IF(AND(K316&gt;15.8,K316&lt;16.15),"normal","up"))))</f>
        <v>high</v>
      </c>
      <c r="E316" t="str">
        <f>IF(K316&lt;15.2,"down",IF(K316=15.2,"low",IF(K316=16.15,"high",IF(AND(K316&gt;15.2,K316&lt;16.15),"normal","up"))))</f>
        <v>high</v>
      </c>
      <c r="F316" t="str">
        <f>IF(P316&lt;16.05,"PVP-down",IF(P316=16.05,16.05,IF(P316&gt;16.05,"PVP-up")))</f>
        <v>PVP-up</v>
      </c>
      <c r="G316" t="str">
        <f>IF(R316&lt;420,"PVV-down",IF(R316=420,420,IF(R316&gt;420,"PVV-up")))</f>
        <v>PVV-up</v>
      </c>
      <c r="H316" s="3">
        <f t="shared" si="45"/>
        <v>9.3936677730386317E-4</v>
      </c>
      <c r="I316">
        <f>[1]!'1710.PreviousPrice'</f>
        <v>16.149999999999999</v>
      </c>
      <c r="J316">
        <f>[1]!'1710.PreOpenPrice'</f>
        <v>16.100000000000001</v>
      </c>
      <c r="K316">
        <f>[1]!'1710.Open'</f>
        <v>16.149999999999999</v>
      </c>
      <c r="L316">
        <f>[1]!'1710.Change'</f>
        <v>-0.05</v>
      </c>
      <c r="M316">
        <f>[1]!'1710.ChangePercent'</f>
        <v>-3.0999999999999999E-3</v>
      </c>
      <c r="N316">
        <f>[1]!'1710.BidPrice'</f>
        <v>16.100000000000001</v>
      </c>
      <c r="O316">
        <f>[1]!'1710.AskPrice'</f>
        <v>16.2</v>
      </c>
      <c r="P316">
        <f>[1]!'1710.Price'</f>
        <v>16.100000000000001</v>
      </c>
      <c r="Q316">
        <f>[1]!'1710.Volume'</f>
        <v>12</v>
      </c>
      <c r="R316">
        <f>[1]!'1710.CumulativeVolume'</f>
        <v>832</v>
      </c>
      <c r="S316">
        <f>[1]!'1710.PreviousVolume'</f>
        <v>1348</v>
      </c>
      <c r="T316">
        <f t="shared" si="46"/>
        <v>-3.0959752321979665E-3</v>
      </c>
      <c r="U316">
        <f>((T316*AB316)*D4)</f>
        <v>-1.5821277868255049E-2</v>
      </c>
      <c r="V316" s="5">
        <f t="shared" si="47"/>
        <v>193200.00000000003</v>
      </c>
      <c r="W316" s="5">
        <f t="shared" si="48"/>
        <v>0</v>
      </c>
      <c r="X316">
        <v>1710</v>
      </c>
      <c r="Y316" s="5">
        <v>8857030290</v>
      </c>
      <c r="Z316" s="3">
        <f>((D2*AB316)/P316)/10</f>
        <v>3.2023482566326297E-2</v>
      </c>
      <c r="AA316" s="3">
        <f>((M316*AB316)*D2)</f>
        <v>-1.5982920148853458E-2</v>
      </c>
      <c r="AB316" s="3">
        <f>AE316/AE323</f>
        <v>3.9985890283686485E-4</v>
      </c>
      <c r="AC316" s="3">
        <f>AF316/AF323</f>
        <v>3.9737408596256598E-4</v>
      </c>
      <c r="AD316" s="5">
        <f t="shared" si="49"/>
        <v>14259818766.9</v>
      </c>
      <c r="AE316" s="5">
        <f t="shared" si="50"/>
        <v>14259818766.9</v>
      </c>
      <c r="AF316" s="5">
        <f t="shared" si="51"/>
        <v>14304103918.35</v>
      </c>
      <c r="AG316" t="str">
        <f t="shared" si="52"/>
        <v>DBM10-50</v>
      </c>
      <c r="AH316">
        <f t="shared" si="53"/>
        <v>0</v>
      </c>
      <c r="AI316">
        <f t="shared" si="54"/>
        <v>0</v>
      </c>
      <c r="AJ316">
        <f t="shared" si="55"/>
        <v>0</v>
      </c>
      <c r="AK316" t="str">
        <f>IF(Q316&lt;8,"down",IF(Q316=8,8,IF(Q316&gt;8,"up")))</f>
        <v>up</v>
      </c>
    </row>
    <row r="317" spans="1:37" x14ac:dyDescent="0.25">
      <c r="A317">
        <f>IF(X317=1304,1304,"Error")</f>
        <v>1304</v>
      </c>
      <c r="B317" t="str">
        <f>IF(K317&lt;12,"down",IF(K317=12,"low",IF(K317=12.25,"high",IF(AND(K317&gt;12,K317&lt;12.25),"normal","up"))))</f>
        <v>normal</v>
      </c>
      <c r="C317" t="str">
        <f>IF(K317&lt;12,"down",IF(K317=12,"low",IF(K317=12.25,"high",IF(AND(K317&gt;12,K317&lt;12.25),"normal","up"))))</f>
        <v>normal</v>
      </c>
      <c r="D317" t="str">
        <f>IF(K317&lt;12,"down",IF(K317=12,"low",IF(K317=12.25,"high",IF(AND(K317&gt;12,K317&lt;12.25),"normal","up"))))</f>
        <v>normal</v>
      </c>
      <c r="E317" t="str">
        <f>IF(K317&lt;11.35,"down",IF(K317=11.35,"low",IF(K317=12.25,"high",IF(AND(K317&gt;11.35,K317&lt;12.25),"normal","up"))))</f>
        <v>normal</v>
      </c>
      <c r="F317">
        <f>IF(P317&lt;12.2,"PVP-down",IF(P317=12.2,12.2,IF(P317&gt;12.2,"PVP-up")))</f>
        <v>12.2</v>
      </c>
      <c r="G317" t="str">
        <f>IF(R317&lt;571,"PVV-down",IF(R317=571,571,IF(R317&gt;571,"PVV-up")))</f>
        <v>PVV-up</v>
      </c>
      <c r="H317" s="3">
        <f t="shared" si="45"/>
        <v>1.1978833468557876E-3</v>
      </c>
      <c r="I317">
        <f>[1]!'1304.PreviousPrice'</f>
        <v>12.2</v>
      </c>
      <c r="J317">
        <f>[1]!'1304.PreOpenPrice'</f>
        <v>12.2</v>
      </c>
      <c r="K317">
        <f>[1]!'1304.Open'</f>
        <v>12.2</v>
      </c>
      <c r="L317">
        <f>[1]!'1304.Change'</f>
        <v>0</v>
      </c>
      <c r="M317">
        <f>[1]!'1304.ChangePercent'</f>
        <v>0</v>
      </c>
      <c r="N317">
        <f>[1]!'1304.BidPrice'</f>
        <v>12.15</v>
      </c>
      <c r="O317">
        <f>[1]!'1304.AskPrice'</f>
        <v>12.2</v>
      </c>
      <c r="P317">
        <f>[1]!'1304.Price'</f>
        <v>12.2</v>
      </c>
      <c r="Q317">
        <f>[1]!'1304.Volume'</f>
        <v>27</v>
      </c>
      <c r="R317">
        <f>[1]!'1304.CumulativeVolume'</f>
        <v>1424</v>
      </c>
      <c r="S317">
        <f>[1]!'1304.PreviousVolume'</f>
        <v>1813</v>
      </c>
      <c r="T317">
        <f t="shared" si="46"/>
        <v>0</v>
      </c>
      <c r="U317">
        <f>((T317*AB317)*D4)</f>
        <v>0</v>
      </c>
      <c r="V317" s="5">
        <f t="shared" si="47"/>
        <v>0</v>
      </c>
      <c r="W317" s="5">
        <f t="shared" si="48"/>
        <v>329400</v>
      </c>
      <c r="X317">
        <v>1304</v>
      </c>
      <c r="Y317" s="5">
        <v>11887635000</v>
      </c>
      <c r="Z317" s="3">
        <f>((D2*AB317)/P317)/10</f>
        <v>4.2980938273086841E-2</v>
      </c>
      <c r="AA317" s="3">
        <f>((M317*AB317)*D2)</f>
        <v>0</v>
      </c>
      <c r="AB317" s="3">
        <f>AE317/AE323</f>
        <v>4.0667554438627229E-4</v>
      </c>
      <c r="AC317" s="3">
        <f>AF317/AF323</f>
        <v>4.0289713396953158E-4</v>
      </c>
      <c r="AD317" s="5">
        <f t="shared" si="49"/>
        <v>14502914700</v>
      </c>
      <c r="AE317" s="5">
        <f t="shared" si="50"/>
        <v>14502914700</v>
      </c>
      <c r="AF317" s="5">
        <f t="shared" si="51"/>
        <v>14502914700</v>
      </c>
      <c r="AG317">
        <f t="shared" si="52"/>
        <v>0</v>
      </c>
      <c r="AH317">
        <f t="shared" si="53"/>
        <v>0</v>
      </c>
      <c r="AI317">
        <f t="shared" si="54"/>
        <v>0</v>
      </c>
      <c r="AJ317">
        <f t="shared" si="55"/>
        <v>0</v>
      </c>
      <c r="AK317" t="str">
        <f>IF(Q317&lt;20,"down",IF(Q317=20,20,IF(Q317&gt;20,"up")))</f>
        <v>up</v>
      </c>
    </row>
    <row r="318" spans="1:37" x14ac:dyDescent="0.25">
      <c r="A318">
        <f>IF(X318=2524,2524,"Error")</f>
        <v>2524</v>
      </c>
      <c r="B318" t="str">
        <f>IF(K318&lt;36.75,"down",IF(K318=36.75,"low",IF(K318=38.3,"high",IF(AND(K318&gt;36.75,K318&lt;38.3),"normal","up"))))</f>
        <v>normal</v>
      </c>
      <c r="C318" t="str">
        <f>IF(K318&lt;36.75,"down",IF(K318=36.75,"low",IF(K318=38.3,"high",IF(AND(K318&gt;36.75,K318&lt;38.3),"normal","up"))))</f>
        <v>normal</v>
      </c>
      <c r="D318" t="str">
        <f>IF(K318&lt;36.75,"down",IF(K318=36.75,"low",IF(K318=38.3,"high",IF(AND(K318&gt;36.75,K318&lt;38.3),"normal","up"))))</f>
        <v>normal</v>
      </c>
      <c r="E318" t="str">
        <f>IF(K318&lt;35.3,"down",IF(K318=35.3,"low",IF(K318=38.3,"high",IF(AND(K318&gt;35.3,K318&lt;38.3),"normal","up"))))</f>
        <v>normal</v>
      </c>
      <c r="F318" t="str">
        <f>IF(P318&lt;37.1,"PVP-down",IF(P318=37.1,37.1,IF(P318&gt;37.1,"PVP-up")))</f>
        <v>PVP-up</v>
      </c>
      <c r="G318" t="str">
        <f>IF(R318&lt;174,"PVV-down",IF(R318=174,174,IF(R318&gt;174,"PVV-up")))</f>
        <v>PVV-up</v>
      </c>
      <c r="H318" s="3">
        <f t="shared" si="45"/>
        <v>4.7219344569246626E-4</v>
      </c>
      <c r="I318">
        <f>[1]!'2524.PreviousPrice'</f>
        <v>38.1</v>
      </c>
      <c r="J318">
        <f>[1]!'2524.PreOpenPrice'</f>
        <v>37.450000000000003</v>
      </c>
      <c r="K318">
        <f>[1]!'2524.Open'</f>
        <v>38.1</v>
      </c>
      <c r="L318">
        <f>[1]!'2524.Change'</f>
        <v>-0.65</v>
      </c>
      <c r="M318">
        <f>[1]!'2524.ChangePercent'</f>
        <v>-1.7100000000000001E-2</v>
      </c>
      <c r="N318">
        <f>[1]!'2524.BidPrice'</f>
        <v>37.450000000000003</v>
      </c>
      <c r="O318">
        <f>[1]!'2524.AskPrice'</f>
        <v>37.5</v>
      </c>
      <c r="P318">
        <f>[1]!'2524.Price'</f>
        <v>37.450000000000003</v>
      </c>
      <c r="Q318">
        <f>[1]!'2524.Volume'</f>
        <v>56</v>
      </c>
      <c r="R318">
        <f>[1]!'2524.CumulativeVolume'</f>
        <v>177</v>
      </c>
      <c r="S318">
        <f>[1]!'2524.PreviousVolume'</f>
        <v>1316</v>
      </c>
      <c r="T318">
        <f t="shared" si="46"/>
        <v>-1.7060367454068203E-2</v>
      </c>
      <c r="U318">
        <f>((T318*AB318)*D4)</f>
        <v>-8.5826932187512583E-2</v>
      </c>
      <c r="V318" s="5">
        <f t="shared" si="47"/>
        <v>2097200.0000000005</v>
      </c>
      <c r="W318" s="5">
        <f t="shared" si="48"/>
        <v>0</v>
      </c>
      <c r="X318">
        <v>2524</v>
      </c>
      <c r="Y318" s="5">
        <v>3748463720</v>
      </c>
      <c r="Z318" s="3">
        <f>((D2*AB318)/P318)/10</f>
        <v>1.3552947055341578E-2</v>
      </c>
      <c r="AA318" s="3">
        <f>((M318*AB318)*D2)</f>
        <v>-8.6792395295054697E-2</v>
      </c>
      <c r="AB318" s="3">
        <f>AE318/AE323</f>
        <v>3.9363879883863974E-4</v>
      </c>
      <c r="AC318" s="3">
        <f>AF318/AF323</f>
        <v>3.9675021692622164E-4</v>
      </c>
      <c r="AD318" s="5">
        <f t="shared" si="49"/>
        <v>14037996631.4</v>
      </c>
      <c r="AE318" s="5">
        <f t="shared" si="50"/>
        <v>14037996631.4</v>
      </c>
      <c r="AF318" s="5">
        <f t="shared" si="51"/>
        <v>14281646773.200001</v>
      </c>
      <c r="AG318" t="str">
        <f t="shared" si="52"/>
        <v>DBM50</v>
      </c>
      <c r="AH318">
        <f t="shared" si="53"/>
        <v>0</v>
      </c>
      <c r="AI318">
        <f t="shared" si="54"/>
        <v>0</v>
      </c>
      <c r="AJ318">
        <f t="shared" si="55"/>
        <v>0</v>
      </c>
      <c r="AK318" t="str">
        <f>IF(Q318&lt;4,"down",IF(Q318=4,4,IF(Q318&gt;4,"up")))</f>
        <v>up</v>
      </c>
    </row>
    <row r="319" spans="1:37" x14ac:dyDescent="0.25">
      <c r="A319">
        <f>IF(X319=4438,4438,"Error")</f>
        <v>4438</v>
      </c>
      <c r="B319" t="str">
        <f>IF(K319&lt;132,"down",IF(K319=132,"low",IF(K319=133,"high",IF(AND(K319&gt;132,K319&lt;133),"normal","up"))))</f>
        <v>normal</v>
      </c>
      <c r="C319" t="str">
        <f>IF(K319&lt;132,"down",IF(K319=132,"low",IF(K319=133,"high",IF(AND(K319&gt;132,K319&lt;133),"normal","up"))))</f>
        <v>normal</v>
      </c>
      <c r="D319" t="str">
        <f>IF(K319&lt;132,"down",IF(K319=132,"low",IF(K319=133,"high",IF(AND(K319&gt;132,K319&lt;133),"normal","up"))))</f>
        <v>normal</v>
      </c>
      <c r="E319" t="str">
        <f>IF(K319&lt;127,"down",IF(K319=127,"low",IF(K319=133,"high",IF(AND(K319&gt;127,K319&lt;133),"normal","up"))))</f>
        <v>normal</v>
      </c>
      <c r="F319" t="str">
        <f>IF(P319&lt;133,"PVP-down",IF(P319=133,133,IF(P319&gt;133,"PVP-up")))</f>
        <v>PVP-down</v>
      </c>
      <c r="G319" t="str">
        <f>IF(R319&lt;31,"PVV-down",IF(R319=31,31,IF(R319&gt;31,"PVV-up")))</f>
        <v>PVV-up</v>
      </c>
      <c r="H319" s="3">
        <f t="shared" si="45"/>
        <v>5.2236853657448433E-4</v>
      </c>
      <c r="I319">
        <f>[1]!'4438.PreviousPrice'</f>
        <v>132.5</v>
      </c>
      <c r="J319">
        <f>[1]!'4438.PreOpenPrice'</f>
        <v>131</v>
      </c>
      <c r="K319">
        <f>[1]!'4438.Open'</f>
        <v>132.5</v>
      </c>
      <c r="L319">
        <f>[1]!'4438.Change'</f>
        <v>-1.5</v>
      </c>
      <c r="M319">
        <f>[1]!'4438.ChangePercent'</f>
        <v>-1.1299999999999999E-2</v>
      </c>
      <c r="N319">
        <f>[1]!'4438.BidPrice'</f>
        <v>131</v>
      </c>
      <c r="O319">
        <f>[1]!'4438.AskPrice'</f>
        <v>131.5</v>
      </c>
      <c r="P319">
        <f>[1]!'4438.Price'</f>
        <v>131</v>
      </c>
      <c r="Q319">
        <f>[1]!'4438.Volume'</f>
        <v>3</v>
      </c>
      <c r="R319">
        <f>[1]!'4438.CumulativeVolume'</f>
        <v>54</v>
      </c>
      <c r="S319">
        <f>[1]!'4438.PreviousVolume'</f>
        <v>67</v>
      </c>
      <c r="T319">
        <f t="shared" si="46"/>
        <v>-1.1320754716981131E-2</v>
      </c>
      <c r="U319">
        <f>((T319*AB319)*D4)</f>
        <v>-5.4940612931614348E-2</v>
      </c>
      <c r="V319" s="5">
        <f t="shared" si="47"/>
        <v>393000</v>
      </c>
      <c r="W319" s="5">
        <f t="shared" si="48"/>
        <v>0</v>
      </c>
      <c r="X319">
        <v>4438</v>
      </c>
      <c r="Y319" s="5">
        <v>1033752920</v>
      </c>
      <c r="Z319" s="3">
        <f>((D2*AB319)/P319)/10</f>
        <v>3.7376375068836889E-3</v>
      </c>
      <c r="AA319" s="3">
        <f>((M319*AB319)*D2)</f>
        <v>-5.5328248014399235E-2</v>
      </c>
      <c r="AB319" s="3">
        <f>AE319/AE323</f>
        <v>3.7973515852471166E-4</v>
      </c>
      <c r="AC319" s="3">
        <f>AF319/AF323</f>
        <v>3.8051476475162654E-4</v>
      </c>
      <c r="AD319" s="5">
        <f t="shared" si="49"/>
        <v>13542163252</v>
      </c>
      <c r="AE319" s="5">
        <f t="shared" si="50"/>
        <v>13542163252</v>
      </c>
      <c r="AF319" s="5">
        <f t="shared" si="51"/>
        <v>13697226190</v>
      </c>
      <c r="AG319" t="str">
        <f t="shared" si="52"/>
        <v>DBL10</v>
      </c>
      <c r="AH319">
        <f t="shared" si="53"/>
        <v>0</v>
      </c>
      <c r="AI319">
        <f t="shared" si="54"/>
        <v>0</v>
      </c>
      <c r="AJ319">
        <f t="shared" si="55"/>
        <v>0</v>
      </c>
      <c r="AK319" t="str">
        <f>IF(Q319&lt;0,"down",IF(Q319=0,0,IF(Q319&gt;0,"up")))</f>
        <v>up</v>
      </c>
    </row>
    <row r="320" spans="1:37" x14ac:dyDescent="0.25">
      <c r="A320">
        <f>IF(X320=5007,5007,"Error")</f>
        <v>5007</v>
      </c>
      <c r="B320" t="str">
        <f>IF(K320&lt;45.65,"down",IF(K320=45.65,"low",IF(K320=46.25,"high",IF(AND(K320&gt;45.65,K320&lt;46.25),"normal","up"))))</f>
        <v>down</v>
      </c>
      <c r="C320" t="str">
        <f>IF(K320&lt;45.65,"down",IF(K320=45.65,"low",IF(K320=46.25,"high",IF(AND(K320&gt;45.65,K320&lt;46.25),"normal","up"))))</f>
        <v>down</v>
      </c>
      <c r="D320" t="str">
        <f>IF(K320&lt;45.65,"down",IF(K320=45.65,"low",IF(K320=46.25,"high",IF(AND(K320&gt;45.65,K320&lt;46.25),"normal","up"))))</f>
        <v>down</v>
      </c>
      <c r="E320" t="str">
        <f>IF(K320&lt;44.85,"down",IF(K320=44.85,"low",IF(K320=46.3,"high",IF(AND(K320&gt;44.85,K320&lt;46.3),"normal","up"))))</f>
        <v>normal</v>
      </c>
      <c r="F320" t="str">
        <f>IF(P320&lt;45.9,"PVP-down",IF(P320=45.9,45.9,IF(P320&gt;45.9,"PVP-up")))</f>
        <v>PVP-down</v>
      </c>
      <c r="G320" t="str">
        <f>IF(R320&lt;10,"PVV-down",IF(R320=10,10,IF(R320&gt;10,"PVV-up")))</f>
        <v>PVV-up</v>
      </c>
      <c r="H320" s="3">
        <f t="shared" si="45"/>
        <v>2.0343110012751943E-4</v>
      </c>
      <c r="I320">
        <f>[1]!'5007.PreviousPrice'</f>
        <v>45.65</v>
      </c>
      <c r="J320">
        <f>[1]!'5007.PreOpenPrice'</f>
        <v>45.8</v>
      </c>
      <c r="K320">
        <f>[1]!'5007.Open'</f>
        <v>45.6</v>
      </c>
      <c r="L320">
        <f>[1]!'5007.Change'</f>
        <v>0.15</v>
      </c>
      <c r="M320">
        <f>[1]!'5007.ChangePercent'</f>
        <v>3.3E-3</v>
      </c>
      <c r="N320">
        <f>[1]!'5007.BidPrice'</f>
        <v>45.3</v>
      </c>
      <c r="O320">
        <f>[1]!'5007.AskPrice'</f>
        <v>45.8</v>
      </c>
      <c r="P320">
        <f>[1]!'5007.Price'</f>
        <v>45.8</v>
      </c>
      <c r="Q320">
        <f>[1]!'5007.Volume'</f>
        <v>5</v>
      </c>
      <c r="R320">
        <f>[1]!'5007.CumulativeVolume'</f>
        <v>60</v>
      </c>
      <c r="S320">
        <f>[1]!'5007.PreviousVolume'</f>
        <v>37</v>
      </c>
      <c r="T320">
        <f t="shared" si="46"/>
        <v>4.3859649122806078E-3</v>
      </c>
      <c r="U320">
        <f>((T320*AB320)*D4)</f>
        <v>2.1232181017051127E-2</v>
      </c>
      <c r="V320" s="5">
        <f t="shared" si="47"/>
        <v>0</v>
      </c>
      <c r="W320" s="5">
        <f t="shared" si="48"/>
        <v>229000</v>
      </c>
      <c r="X320">
        <v>5007</v>
      </c>
      <c r="Y320" s="5">
        <v>2949401540</v>
      </c>
      <c r="Z320" s="3">
        <f>((D2*AB320)/P320)/10</f>
        <v>1.0663857490012712E-2</v>
      </c>
      <c r="AA320" s="3">
        <f>((M320*AB320)*D2)</f>
        <v>1.6117354210405214E-2</v>
      </c>
      <c r="AB320" s="3">
        <f>AE320/AE323</f>
        <v>3.7878445249153264E-4</v>
      </c>
      <c r="AC320" s="3">
        <f>AF320/AF323</f>
        <v>3.7403614295831089E-4</v>
      </c>
      <c r="AD320" s="5">
        <f t="shared" si="49"/>
        <v>13508259053.199999</v>
      </c>
      <c r="AE320" s="5">
        <f t="shared" si="50"/>
        <v>13508259053.199999</v>
      </c>
      <c r="AF320" s="5">
        <f t="shared" si="51"/>
        <v>13464018030.1</v>
      </c>
      <c r="AG320">
        <f t="shared" si="52"/>
        <v>0</v>
      </c>
      <c r="AH320">
        <f t="shared" si="53"/>
        <v>0</v>
      </c>
      <c r="AI320" t="str">
        <f t="shared" si="54"/>
        <v>UAL10</v>
      </c>
      <c r="AJ320">
        <f t="shared" si="55"/>
        <v>0</v>
      </c>
      <c r="AK320" t="str">
        <f>IF(Q320&lt;4,"down",IF(Q320=4,4,IF(Q320&gt;4,"up")))</f>
        <v>up</v>
      </c>
    </row>
    <row r="321" spans="1:37" x14ac:dyDescent="0.25">
      <c r="A321">
        <f>IF(X321=1419,1419,"Error")</f>
        <v>1419</v>
      </c>
      <c r="B321" t="str">
        <f>IF(K321&lt;42.15,"down",IF(K321=42.15,"low",IF(K321=46.4,"high",IF(AND(K321&gt;42.15,K321&lt;46.4),"normal","up"))))</f>
        <v>normal</v>
      </c>
      <c r="C321" t="str">
        <f>IF(K321&lt;42.15,"down",IF(K321=42.15,"low",IF(K321=46.4,"high",IF(AND(K321&gt;42.15,K321&lt;46.4),"normal","up"))))</f>
        <v>normal</v>
      </c>
      <c r="D321" t="str">
        <f>IF(K321&lt;42.15,"down",IF(K321=42.15,"low",IF(K321=46.4,"high",IF(AND(K321&gt;42.15,K321&lt;46.4),"normal","up"))))</f>
        <v>normal</v>
      </c>
      <c r="E321" t="str">
        <f>IF(K321&lt;42,"down",IF(K321=42,"low",IF(K321=46.4,"high",IF(AND(K321&gt;42,K321&lt;46.4),"normal","up"))))</f>
        <v>normal</v>
      </c>
      <c r="F321" t="str">
        <f>IF(P321&lt;46.4,"PVP-down",IF(P321=46.4,46.4,IF(P321&gt;46.4,"PVP-up")))</f>
        <v>PVP-down</v>
      </c>
      <c r="G321" t="str">
        <f>IF(R321&lt;363,"PVV-down",IF(R321=363,363,IF(R321&gt;363,"PVV-up")))</f>
        <v>PVV-down</v>
      </c>
      <c r="H321" s="3">
        <f t="shared" si="45"/>
        <v>5.2659420730374158E-4</v>
      </c>
      <c r="I321">
        <f>[1]!'1419.PreviousPrice'</f>
        <v>46</v>
      </c>
      <c r="J321">
        <f>[1]!'1419.PreOpenPrice'</f>
        <v>46</v>
      </c>
      <c r="K321">
        <f>[1]!'1419.Open'</f>
        <v>45.8</v>
      </c>
      <c r="L321">
        <f>[1]!'1419.Change'</f>
        <v>-1</v>
      </c>
      <c r="M321">
        <f>[1]!'1419.ChangePercent'</f>
        <v>-2.1700000000000001E-2</v>
      </c>
      <c r="N321">
        <f>[1]!'1419.BidPrice'</f>
        <v>44.85</v>
      </c>
      <c r="O321">
        <f>[1]!'1419.AskPrice'</f>
        <v>45.45</v>
      </c>
      <c r="P321">
        <f>[1]!'1419.Price'</f>
        <v>45</v>
      </c>
      <c r="Q321">
        <f>[1]!'1419.Volume'</f>
        <v>2</v>
      </c>
      <c r="R321">
        <f>[1]!'1419.CumulativeVolume'</f>
        <v>158</v>
      </c>
      <c r="S321">
        <f>[1]!'1419.PreviousVolume'</f>
        <v>603</v>
      </c>
      <c r="T321">
        <f t="shared" si="46"/>
        <v>-1.7467248908296883E-2</v>
      </c>
      <c r="U321">
        <f>((T321*AB321)*D4)</f>
        <v>-8.451778500278459E-2</v>
      </c>
      <c r="V321" s="5">
        <f t="shared" si="47"/>
        <v>0</v>
      </c>
      <c r="W321" s="5">
        <f t="shared" si="48"/>
        <v>0</v>
      </c>
      <c r="X321">
        <v>1419</v>
      </c>
      <c r="Y321" s="5">
        <v>3000412800</v>
      </c>
      <c r="Z321" s="3">
        <f>((D2*AB321)/P321)/10</f>
        <v>1.0848293823841299E-2</v>
      </c>
      <c r="AA321" s="3">
        <f>((M321*AB321)*D2)</f>
        <v>-0.10593358918981029</v>
      </c>
      <c r="AB321" s="3">
        <f>AE321/AE323</f>
        <v>3.7860494964546182E-4</v>
      </c>
      <c r="AC321" s="3">
        <f>AF321/AF323</f>
        <v>3.8342261656474388E-4</v>
      </c>
      <c r="AD321" s="5">
        <f t="shared" si="49"/>
        <v>13801898880</v>
      </c>
      <c r="AE321" s="5">
        <f t="shared" si="50"/>
        <v>13501857600</v>
      </c>
      <c r="AF321" s="5">
        <f t="shared" si="51"/>
        <v>13801898880</v>
      </c>
      <c r="AG321">
        <f t="shared" si="52"/>
        <v>0</v>
      </c>
      <c r="AH321">
        <f t="shared" si="53"/>
        <v>0</v>
      </c>
      <c r="AI321">
        <f t="shared" si="54"/>
        <v>0</v>
      </c>
      <c r="AJ321">
        <f t="shared" si="55"/>
        <v>0</v>
      </c>
      <c r="AK321" t="str">
        <f>IF(Q321&lt;0,"down",IF(Q321=0,0,IF(Q321&gt;0,"up")))</f>
        <v>up</v>
      </c>
    </row>
    <row r="322" spans="1:37" x14ac:dyDescent="0.25">
      <c r="A322">
        <f>IF(X322=6452,6452,"Error")</f>
        <v>6452</v>
      </c>
      <c r="B322" t="str">
        <f>IF(K322&lt;95.4,"down",IF(K322=95.4,"low",IF(K322=95.4,"high",IF(AND(K322&gt;95.4,K322&lt;95.4),"normal","up"))))</f>
        <v>down</v>
      </c>
      <c r="C322" t="str">
        <f>IF(K322&lt;95.4,"down",IF(K322=95.4,"low",IF(K322=95.4,"high",IF(AND(K322&gt;95.4,K322&lt;95.4),"normal","up"))))</f>
        <v>down</v>
      </c>
      <c r="D322" t="str">
        <f>IF(K322&lt;95.4,"down",IF(K322=95.4,"low",IF(K322=95.4,"high",IF(AND(K322&gt;95.4,K322&lt;95.4),"normal","up"))))</f>
        <v>down</v>
      </c>
      <c r="E322" t="str">
        <f>IF(K322&lt;95.4,"down",IF(K322=95.4,"low",IF(K322=132,"high",IF(AND(K322&gt;95.4,K322&lt;132),"normal","up"))))</f>
        <v>down</v>
      </c>
      <c r="F322" t="str">
        <f>IF(P322&lt;95.4,"PVP-down",IF(P322=95.4,95.4,IF(P322&gt;95.4,"PVP-up")))</f>
        <v>PVP-down</v>
      </c>
      <c r="G322" t="str">
        <f>IF(R322&lt;360,"PVV-down",IF(R322=360,360,IF(R322&gt;360,"PVV-up")))</f>
        <v>PVV-down</v>
      </c>
      <c r="H322" s="3">
        <f t="shared" si="45"/>
        <v>1.4381116587242788E-3</v>
      </c>
      <c r="I322">
        <f>[1]!'6452.PreviousPrice'</f>
        <v>95.4</v>
      </c>
      <c r="J322">
        <f>[1]!'6452.PreOpenPrice'</f>
        <v>85.9</v>
      </c>
      <c r="K322">
        <f>[1]!'6452.Open'</f>
        <v>85.9</v>
      </c>
      <c r="L322">
        <f>[1]!'6452.Change'</f>
        <v>-9.5</v>
      </c>
      <c r="M322">
        <f>[1]!'6452.ChangePercent'</f>
        <v>-9.9599999999999994E-2</v>
      </c>
      <c r="N322" t="e">
        <f>[1]!'6452.BidPrice'</f>
        <v>#N/A</v>
      </c>
      <c r="O322">
        <f>[1]!'6452.AskPrice'</f>
        <v>85.9</v>
      </c>
      <c r="P322">
        <f>[1]!'6452.Price'</f>
        <v>85.9</v>
      </c>
      <c r="Q322">
        <f>[1]!'6452.Volume'</f>
        <v>1</v>
      </c>
      <c r="R322">
        <f>[1]!'6452.CumulativeVolume'</f>
        <v>144</v>
      </c>
      <c r="S322">
        <f>[1]!'6452.PreviousVolume'</f>
        <v>360</v>
      </c>
      <c r="T322">
        <f t="shared" si="46"/>
        <v>0</v>
      </c>
      <c r="U322">
        <f>((T322*AB322)*D4)</f>
        <v>0</v>
      </c>
      <c r="V322" s="5" t="e">
        <f t="shared" si="47"/>
        <v>#N/A</v>
      </c>
      <c r="W322" s="5">
        <f t="shared" si="48"/>
        <v>85900</v>
      </c>
      <c r="X322">
        <v>6452</v>
      </c>
      <c r="Y322" s="5">
        <v>1001313070</v>
      </c>
      <c r="Z322" s="3">
        <f>((D2*AB322)/P322)/10</f>
        <v>3.6203479711233626E-3</v>
      </c>
      <c r="AA322" s="3">
        <f>((M322*AB322)*D2)</f>
        <v>-0.30974393915661885</v>
      </c>
      <c r="AB322" s="3">
        <f>AE322/AE323</f>
        <v>2.4118806477392343E-4</v>
      </c>
      <c r="AC322" s="3">
        <f>AF322/AF323</f>
        <v>2.6537325112186463E-4</v>
      </c>
      <c r="AD322" s="5">
        <f t="shared" si="49"/>
        <v>8601279271.2999992</v>
      </c>
      <c r="AE322" s="5">
        <f t="shared" si="50"/>
        <v>8601279271.2999992</v>
      </c>
      <c r="AF322" s="5">
        <f t="shared" si="51"/>
        <v>9552526687.7999992</v>
      </c>
      <c r="AG322" t="e">
        <f t="shared" si="52"/>
        <v>#N/A</v>
      </c>
      <c r="AH322" t="str">
        <f t="shared" si="53"/>
        <v>DAL10</v>
      </c>
      <c r="AI322">
        <f t="shared" si="54"/>
        <v>0</v>
      </c>
      <c r="AJ322" t="e">
        <f t="shared" si="55"/>
        <v>#N/A</v>
      </c>
      <c r="AK322" t="str">
        <f>IF(Q322&lt;67,"down",IF(Q322=67,67,IF(Q322&gt;67,"up")))</f>
        <v>down</v>
      </c>
    </row>
    <row r="323" spans="1:37" x14ac:dyDescent="0.25">
      <c r="A323" t="s">
        <v>109</v>
      </c>
      <c r="B323" t="s">
        <v>110</v>
      </c>
      <c r="C323" t="s">
        <v>111</v>
      </c>
      <c r="D323" t="s">
        <v>112</v>
      </c>
      <c r="E323" t="s">
        <v>113</v>
      </c>
      <c r="F323" t="s">
        <v>114</v>
      </c>
      <c r="G323" t="s">
        <v>115</v>
      </c>
      <c r="H323" t="s">
        <v>116</v>
      </c>
      <c r="I323" t="s">
        <v>117</v>
      </c>
      <c r="J323" t="s">
        <v>118</v>
      </c>
      <c r="K323" t="s">
        <v>119</v>
      </c>
      <c r="L323" t="s">
        <v>120</v>
      </c>
      <c r="M323" t="s">
        <v>121</v>
      </c>
      <c r="N323" t="s">
        <v>46</v>
      </c>
      <c r="O323" t="s">
        <v>47</v>
      </c>
      <c r="P323" t="s">
        <v>122</v>
      </c>
      <c r="Q323" t="s">
        <v>123</v>
      </c>
      <c r="R323" t="s">
        <v>124</v>
      </c>
      <c r="S323" t="s">
        <v>125</v>
      </c>
      <c r="T323" t="s">
        <v>126</v>
      </c>
      <c r="U323" t="s">
        <v>127</v>
      </c>
      <c r="V323" s="5">
        <f t="array" ref="V323">SUM(IF(ISNUMBER(V38:V322),V38:V322))*1000</f>
        <v>8874179310000</v>
      </c>
      <c r="W323" s="5">
        <f t="array" ref="W323">SUM(IF(ISNUMBER(W38:W322),W38:W322))*1000</f>
        <v>2325214990000</v>
      </c>
      <c r="X323" t="s">
        <v>109</v>
      </c>
      <c r="Y323" t="s">
        <v>130</v>
      </c>
      <c r="Z323" t="s">
        <v>131</v>
      </c>
      <c r="AA323" t="s">
        <v>127</v>
      </c>
      <c r="AB323" t="s">
        <v>132</v>
      </c>
      <c r="AC323" t="s">
        <v>133</v>
      </c>
      <c r="AD323" s="5">
        <f t="array" ref="AD323">SUM(IF(ISNUMBER(AD38:AD322),AD38:AD322))</f>
        <v>35662261069782.984</v>
      </c>
      <c r="AE323" s="5">
        <f t="array" ref="AE323">SUM(IF(ISNUMBER(AE38:AE322),AE38:AE322))</f>
        <v>35662126479444.039</v>
      </c>
      <c r="AF323" s="5">
        <f t="array" ref="AF323">SUM(IF(ISNUMBER(AF38:AF322),AF38:AF322))</f>
        <v>35996569539004.859</v>
      </c>
      <c r="AG323" t="s">
        <v>137</v>
      </c>
      <c r="AH323" t="s">
        <v>138</v>
      </c>
      <c r="AI323" t="s">
        <v>139</v>
      </c>
      <c r="AJ323" t="s">
        <v>140</v>
      </c>
    </row>
  </sheetData>
  <phoneticPr fontId="18" type="noConversion"/>
  <conditionalFormatting sqref="B18">
    <cfRule type="cellIs" dxfId="32" priority="33" operator="greaterThan">
      <formula>0</formula>
    </cfRule>
  </conditionalFormatting>
  <conditionalFormatting sqref="D18">
    <cfRule type="cellIs" dxfId="31" priority="32" operator="greaterThan">
      <formula>0</formula>
    </cfRule>
  </conditionalFormatting>
  <conditionalFormatting sqref="F18">
    <cfRule type="cellIs" dxfId="30" priority="31" operator="greaterThan">
      <formula>0</formula>
    </cfRule>
  </conditionalFormatting>
  <conditionalFormatting sqref="H18">
    <cfRule type="cellIs" dxfId="29" priority="30" operator="greaterThan">
      <formula>0</formula>
    </cfRule>
  </conditionalFormatting>
  <conditionalFormatting sqref="J18">
    <cfRule type="cellIs" dxfId="28" priority="29" operator="greaterThan">
      <formula>0</formula>
    </cfRule>
  </conditionalFormatting>
  <conditionalFormatting sqref="B20">
    <cfRule type="cellIs" dxfId="27" priority="28" operator="greaterThan">
      <formula>0</formula>
    </cfRule>
  </conditionalFormatting>
  <conditionalFormatting sqref="D20">
    <cfRule type="cellIs" dxfId="26" priority="27" operator="greaterThan">
      <formula>0</formula>
    </cfRule>
  </conditionalFormatting>
  <conditionalFormatting sqref="F20">
    <cfRule type="cellIs" dxfId="25" priority="26" operator="greaterThan">
      <formula>0</formula>
    </cfRule>
  </conditionalFormatting>
  <conditionalFormatting sqref="H20">
    <cfRule type="cellIs" dxfId="24" priority="25" operator="greaterThan">
      <formula>0</formula>
    </cfRule>
  </conditionalFormatting>
  <conditionalFormatting sqref="J20">
    <cfRule type="cellIs" dxfId="23" priority="24" operator="greaterThan">
      <formula>0</formula>
    </cfRule>
  </conditionalFormatting>
  <conditionalFormatting sqref="L18">
    <cfRule type="cellIs" dxfId="22" priority="23" operator="greaterThan">
      <formula>0</formula>
    </cfRule>
  </conditionalFormatting>
  <conditionalFormatting sqref="N18">
    <cfRule type="cellIs" dxfId="21" priority="22" operator="greaterThan">
      <formula>0</formula>
    </cfRule>
  </conditionalFormatting>
  <conditionalFormatting sqref="P18">
    <cfRule type="cellIs" dxfId="20" priority="21" operator="greaterThan">
      <formula>0</formula>
    </cfRule>
  </conditionalFormatting>
  <conditionalFormatting sqref="R18">
    <cfRule type="cellIs" dxfId="19" priority="20" operator="greaterThan">
      <formula>0</formula>
    </cfRule>
  </conditionalFormatting>
  <conditionalFormatting sqref="T18">
    <cfRule type="cellIs" dxfId="18" priority="19" operator="greaterThan">
      <formula>0</formula>
    </cfRule>
  </conditionalFormatting>
  <conditionalFormatting sqref="L20">
    <cfRule type="cellIs" dxfId="17" priority="18" operator="greaterThan">
      <formula>0</formula>
    </cfRule>
  </conditionalFormatting>
  <conditionalFormatting sqref="N20">
    <cfRule type="cellIs" dxfId="16" priority="17" operator="greaterThan">
      <formula>0</formula>
    </cfRule>
  </conditionalFormatting>
  <conditionalFormatting sqref="P20">
    <cfRule type="cellIs" dxfId="15" priority="16" operator="greaterThan">
      <formula>0</formula>
    </cfRule>
  </conditionalFormatting>
  <conditionalFormatting sqref="R20">
    <cfRule type="cellIs" dxfId="14" priority="15" operator="greaterThan">
      <formula>0</formula>
    </cfRule>
  </conditionalFormatting>
  <conditionalFormatting sqref="T20">
    <cfRule type="cellIs" dxfId="13" priority="14" operator="greaterThan">
      <formula>0</formula>
    </cfRule>
  </conditionalFormatting>
  <conditionalFormatting sqref="A22">
    <cfRule type="cellIs" dxfId="12" priority="13" operator="greaterThan">
      <formula>0</formula>
    </cfRule>
  </conditionalFormatting>
  <conditionalFormatting sqref="C22">
    <cfRule type="cellIs" dxfId="11" priority="12" operator="greaterThan">
      <formula>0</formula>
    </cfRule>
  </conditionalFormatting>
  <conditionalFormatting sqref="E22">
    <cfRule type="cellIs" dxfId="10" priority="11" operator="greaterThan">
      <formula>0</formula>
    </cfRule>
  </conditionalFormatting>
  <conditionalFormatting sqref="G22">
    <cfRule type="cellIs" dxfId="9" priority="10" operator="greaterThan">
      <formula>0</formula>
    </cfRule>
  </conditionalFormatting>
  <conditionalFormatting sqref="I22">
    <cfRule type="cellIs" dxfId="8" priority="9" operator="greaterThan">
      <formula>0</formula>
    </cfRule>
  </conditionalFormatting>
  <conditionalFormatting sqref="K22">
    <cfRule type="cellIs" dxfId="7" priority="8" operator="greaterThan">
      <formula>0</formula>
    </cfRule>
  </conditionalFormatting>
  <conditionalFormatting sqref="M22">
    <cfRule type="cellIs" dxfId="6" priority="7" operator="greaterThan">
      <formula>0</formula>
    </cfRule>
  </conditionalFormatting>
  <conditionalFormatting sqref="O22">
    <cfRule type="cellIs" dxfId="5" priority="6" operator="greaterThan">
      <formula>0</formula>
    </cfRule>
  </conditionalFormatting>
  <conditionalFormatting sqref="Q22">
    <cfRule type="cellIs" dxfId="4" priority="5" operator="greaterThan">
      <formula>0</formula>
    </cfRule>
  </conditionalFormatting>
  <conditionalFormatting sqref="S22">
    <cfRule type="cellIs" dxfId="3" priority="4" operator="greaterThan">
      <formula>0</formula>
    </cfRule>
  </conditionalFormatting>
  <conditionalFormatting sqref="I9">
    <cfRule type="cellIs" dxfId="2" priority="3" operator="greaterThan">
      <formula>0</formula>
    </cfRule>
  </conditionalFormatting>
  <conditionalFormatting sqref="N9">
    <cfRule type="cellIs" dxfId="1" priority="2" operator="greaterThan">
      <formula>0</formula>
    </cfRule>
  </conditionalFormatting>
  <conditionalFormatting sqref="S9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Yeswin_DDE_2020-08-10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</dc:creator>
  <cp:lastModifiedBy>robot</cp:lastModifiedBy>
  <dcterms:created xsi:type="dcterms:W3CDTF">2020-08-10T13:50:45Z</dcterms:created>
  <dcterms:modified xsi:type="dcterms:W3CDTF">2020-08-11T05:41:39Z</dcterms:modified>
</cp:coreProperties>
</file>